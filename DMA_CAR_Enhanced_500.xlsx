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5"/>
    <sheet state="visible" name="🔍 DMA SCANNER" sheetId="2" r:id="rId6"/>
    <sheet state="visible" name="Sheet3" sheetId="3" r:id="rId7"/>
    <sheet state="visible" name="NIFTY_DATA" sheetId="4" r:id="rId8"/>
    <sheet state="visible" name="👁 NEAR-BULL WATCH" sheetId="5" r:id="rId9"/>
    <sheet state="visible" name="📋 TRADING LOG" sheetId="6" r:id="rId10"/>
    <sheet state="visible" name="📈 15k CHAIN" sheetId="7" r:id="rId11"/>
    <sheet state="visible" name="📈 20k CHAIN" sheetId="8" r:id="rId12"/>
    <sheet state="visible" name="📈 20k → 1Cr PROJECTION" sheetId="9" r:id="rId13"/>
  </sheets>
  <definedNames>
    <definedName hidden="1" localSheetId="1" name="_xlnm._FilterDatabase">'🔍 DMA SCANNER'!$AG$4:$AG$503</definedName>
  </definedNames>
  <calcPr/>
</workbook>
</file>

<file path=xl/sharedStrings.xml><?xml version="1.0" encoding="utf-8"?>
<sst xmlns="http://schemas.openxmlformats.org/spreadsheetml/2006/main" count="1828" uniqueCount="773">
  <si>
    <t>DMA-DMA + CAR ENHANCED TRADING SYSTEM  ▸  LIVE DASHBOARD</t>
  </si>
  <si>
    <t>Last Updated: 22 Mar 2026  |  Starting Capital: ₹15,000 per chain  |  Target per trade: 6.28%  |  Strategy: DMA-DMA Filter + CAR (No Stop-Loss)</t>
  </si>
  <si>
    <t>MARKET REGIME (Manual Update Daily)</t>
  </si>
  <si>
    <t>Nifty DMA Status</t>
  </si>
  <si>
    <t>Unconfirmed</t>
  </si>
  <si>
    <t>ℹ Update from your GSheets scanner</t>
  </si>
  <si>
    <t>% Stocks In Bull Run</t>
  </si>
  <si>
    <t>7.6%</t>
  </si>
  <si>
    <t>ℹ From DMA Scanner tab</t>
  </si>
  <si>
    <t>Avg % from 200 DMA</t>
  </si>
  <si>
    <t>-7.82%</t>
  </si>
  <si>
    <t>Market Regime Decision</t>
  </si>
  <si>
    <t>⚠ REDUCED EXPOSURE</t>
  </si>
  <si>
    <t>ℹ AUTO: &lt;15% Bull Run = Reduced</t>
  </si>
  <si>
    <t>Position Size Multiplier</t>
  </si>
  <si>
    <t>0.5×</t>
  </si>
  <si>
    <t>ℹ Manual: 0.5x if Unconfirmed / 0x if Bear</t>
  </si>
  <si>
    <t>WEEKLY ENTRY DECISION RULES</t>
  </si>
  <si>
    <t>⛔ DO NOT ENTER if:</t>
  </si>
  <si>
    <t>Nifty In Bear Run OR &lt;7% stocks In Bull Run → Wait, park idle capital in LTGILTBEES</t>
  </si>
  <si>
    <t>⚠ ENTER at 50% SIZE if:</t>
  </si>
  <si>
    <t>Nifty Unconfirmed OR 7-15% stocks In Bull Run → Only Conviction Score ≥9 stocks</t>
  </si>
  <si>
    <t>✅ ENTER FULL SIZE if:</t>
  </si>
  <si>
    <t>Nifty In Bull Run AND &gt;15% stocks In Bull Run → All Conviction ≥7 stocks eligible</t>
  </si>
  <si>
    <t>📅 BEST ENTRY DAYS:</t>
  </si>
  <si>
    <t>Tuesday (freshest signal) → Wednesday (acceptable) → Friday (post-expiry OK) → AVOID Thursday</t>
  </si>
  <si>
    <t>🔍 SIGNAL AGE RULE:</t>
  </si>
  <si>
    <t>Only enter if stock NEWLY turned Bull Run ≤3 trading days ago. Older = missed opportunity</t>
  </si>
  <si>
    <t>CONVICTION SCORE SYSTEM (0-10)</t>
  </si>
  <si>
    <t>Criterion</t>
  </si>
  <si>
    <t>Max Pts</t>
  </si>
  <si>
    <t>How to Check</t>
  </si>
  <si>
    <t>Formula (Excel)</t>
  </si>
  <si>
    <t>Golden DMA Alignment (50&gt;100&gt;200)</t>
  </si>
  <si>
    <t>3 pts</t>
  </si>
  <si>
    <t>DMA Scanner col H</t>
  </si>
  <si>
    <t>=IF(AND(c&gt;d,d&gt;e),3,0)</t>
  </si>
  <si>
    <t>Distance from 200 DMA (3-12% above)</t>
  </si>
  <si>
    <t>4 pts</t>
  </si>
  <si>
    <t>DMA Scanner col G</t>
  </si>
  <si>
    <t>=IF(AND(g&gt;=3,g&lt;=12),4,IF(AND(g&gt;=0,g&lt;3),2,0))</t>
  </si>
  <si>
    <t>CAR = Buy/Average Out</t>
  </si>
  <si>
    <t>2 pts</t>
  </si>
  <si>
    <t>DMA Scanner col K</t>
  </si>
  <si>
    <t>=IF(k="Buy/Average Out",2,0)</t>
  </si>
  <si>
    <t>Data Integrity (all 3 DMAs distinct)</t>
  </si>
  <si>
    <t>1 pt</t>
  </si>
  <si>
    <t>Auto-checked</t>
  </si>
  <si>
    <t>=IF(AND(c&lt;&gt;d,d&lt;&gt;e,c&gt;0),1,0)</t>
  </si>
  <si>
    <t>TOTAL — Trade if ≥7, Watch if 5-6, Skip if &lt;5</t>
  </si>
  <si>
    <t>10 pts</t>
  </si>
  <si>
    <t>=sum of above</t>
  </si>
  <si>
    <t>30-DAY TRADE REVIEW PROTOCOL  ▸  If open trade &gt; 30 days with no target hit, apply this check:</t>
  </si>
  <si>
    <t>Step 1</t>
  </si>
  <si>
    <t>Check DMA Status in your scanner</t>
  </si>
  <si>
    <t>Still In Bull Run?  →  Continue to Step 2  |  Unconfirmed?  →  Step 3  |  Bear Run?  →  Execute Reverse Trade</t>
  </si>
  <si>
    <t>Step 2</t>
  </si>
  <si>
    <t>Check CAR Status</t>
  </si>
  <si>
    <t>CAR = Buy/Average Out?  →  HOLD patiently. Signal intact.  |  CAR = Avoid/Hold?  →  Set 50 DMA as soft exit line</t>
  </si>
  <si>
    <t>Step 3</t>
  </si>
  <si>
    <t>Recompute Conviction Score</t>
  </si>
  <si>
    <t>Score ≥7?  →  HOLD  |  Score 5-6?  →  WATCH with tight stop at 50 DMA  |  Score &lt;5?  →  Exit</t>
  </si>
  <si>
    <t>Step 4</t>
  </si>
  <si>
    <t>Execute Decision</t>
  </si>
  <si>
    <t>Bear Run Confirmed  →  Reverse Trade: Sell shares, immediately buy LTGILTBEES with full proceeds</t>
  </si>
  <si>
    <t>DMA-DMA ENHANCED SCANNER  ▸  Nifty 50-250 Universe  ▸  Update CMP/DMA Cols B-E daily from Google Sheets</t>
  </si>
  <si>
    <t>COLOUR CODE: 🟡 = Manual Input (Yellow Cells)  |  🔵 = Auto-calculated Formula (Do Not Edit)</t>
  </si>
  <si>
    <t>NSE Code</t>
  </si>
  <si>
    <t>CMP (₹)</t>
  </si>
  <si>
    <t>50 DMA</t>
  </si>
  <si>
    <t>100 DMA</t>
  </si>
  <si>
    <t>200 DMA</t>
  </si>
  <si>
    <t>DMA Status</t>
  </si>
  <si>
    <t>% from 200 DMA</t>
  </si>
  <si>
    <t>Golden DMA
(50&gt;100&gt;200)</t>
  </si>
  <si>
    <t>Pts: Golden
(3 max)</t>
  </si>
  <si>
    <t>Pts: Distance
(4 max)</t>
  </si>
  <si>
    <t>CAR Signal</t>
  </si>
  <si>
    <t>Pts: CAR
(2 max)</t>
  </si>
  <si>
    <t>Data OK
(1 pt)</t>
  </si>
  <si>
    <t>CONVICTION
SCORE /10</t>
  </si>
  <si>
    <t>Sector</t>
  </si>
  <si>
    <t>TRADE SIGNAL</t>
  </si>
  <si>
    <t>ATR %
(Manual)</t>
  </si>
  <si>
    <t>Max Entry
Window</t>
  </si>
  <si>
    <t>Volume Ratio</t>
  </si>
  <si>
    <t>Volume Signal</t>
  </si>
  <si>
    <t>Beta</t>
  </si>
  <si>
    <t>Beta Signal</t>
  </si>
  <si>
    <t>%from 52 week High</t>
  </si>
  <si>
    <t>52-week Range Position</t>
  </si>
  <si>
    <t>52-week Zone</t>
  </si>
  <si>
    <t>Relative Strength vs Nifty (1-month)</t>
  </si>
  <si>
    <t>RS Signal</t>
  </si>
  <si>
    <t>RSI 14-day</t>
  </si>
  <si>
    <t>RSI Signal</t>
  </si>
  <si>
    <t>EPS Check</t>
  </si>
  <si>
    <t>Speed Score (0–10)</t>
  </si>
  <si>
    <t>Enhanced Conviction Score (0–15)</t>
  </si>
  <si>
    <t>Master Signal (replaces old TRADE SIGNAL)</t>
  </si>
  <si>
    <t>googlefinance(a,"price")</t>
  </si>
  <si>
    <t>Fetch 50-day MA</t>
  </si>
  <si>
    <t>Fetch 100-day MA</t>
  </si>
  <si>
    <t>Fetch 200-day MA</t>
  </si>
  <si>
    <t>formula</t>
  </si>
  <si>
    <t>CAR Formula (GSheets)</t>
  </si>
  <si>
    <t>SUM(I:M)</t>
  </si>
  <si>
    <t>Type manually</t>
  </si>
  <si>
    <t>e.g. 1.5</t>
  </si>
  <si>
    <t>Vol Ration (Today/Avg)</t>
  </si>
  <si>
    <t xml:space="preserve">Volume Signal </t>
  </si>
  <si>
    <t xml:space="preserve">Beta Signal </t>
  </si>
  <si>
    <t>%from 52wk High</t>
  </si>
  <si>
    <t>52wk Range Position %</t>
  </si>
  <si>
    <t>52wk Zone</t>
  </si>
  <si>
    <t>RS vs Nifty 1m %</t>
  </si>
  <si>
    <t>RSI 14</t>
  </si>
  <si>
    <t>SPEED SCORE /10</t>
  </si>
  <si>
    <t>ENHANCED SCORE /15</t>
  </si>
  <si>
    <t>MASTER SIGNAL</t>
  </si>
  <si>
    <t>NSE:KPITTECH</t>
  </si>
  <si>
    <t>IT</t>
  </si>
  <si>
    <t>NSE:HEXT</t>
  </si>
  <si>
    <t>NSE:SYNGENE</t>
  </si>
  <si>
    <t>Healthcare</t>
  </si>
  <si>
    <t>NSE:COFORGE</t>
  </si>
  <si>
    <t>NSE:DIXON</t>
  </si>
  <si>
    <t>Electronics</t>
  </si>
  <si>
    <t>NSE:SUZLON</t>
  </si>
  <si>
    <t>Renewable Energy</t>
  </si>
  <si>
    <t>NSE:GODFRYPHLP</t>
  </si>
  <si>
    <t>FMCG</t>
  </si>
  <si>
    <t>NSE:AWL</t>
  </si>
  <si>
    <t>NSE:LODHA</t>
  </si>
  <si>
    <t>Real Estate</t>
  </si>
  <si>
    <t>NSE:NAUKRI</t>
  </si>
  <si>
    <t>NSE:FACT</t>
  </si>
  <si>
    <t>Chemicals</t>
  </si>
  <si>
    <t>NSE:LTTS</t>
  </si>
  <si>
    <t>NSE:PREMIERENE</t>
  </si>
  <si>
    <t>NSE:INDIGO</t>
  </si>
  <si>
    <t>Aviation</t>
  </si>
  <si>
    <t>NSE:PAGEIND</t>
  </si>
  <si>
    <t>Textile</t>
  </si>
  <si>
    <t>NSE:TRENT</t>
  </si>
  <si>
    <t>Retail</t>
  </si>
  <si>
    <t>NSE:NIACL</t>
  </si>
  <si>
    <t>Insurance</t>
  </si>
  <si>
    <t>NSE:DLF</t>
  </si>
  <si>
    <t>NSE:TATAELXSI</t>
  </si>
  <si>
    <t>NSE:IRCTC</t>
  </si>
  <si>
    <t>Travel/Tourism</t>
  </si>
  <si>
    <t>NSE:BAJAJHFL</t>
  </si>
  <si>
    <t>NBFC</t>
  </si>
  <si>
    <t>NSE:ITCHOTELS</t>
  </si>
  <si>
    <t>Hotels</t>
  </si>
  <si>
    <t>NSE:KALYANKJIL</t>
  </si>
  <si>
    <t>Jewellery</t>
  </si>
  <si>
    <t>NSE:JIOFIN</t>
  </si>
  <si>
    <t>NSE:IREDA</t>
  </si>
  <si>
    <t>Power Finance</t>
  </si>
  <si>
    <t>NSE:SWIGGY</t>
  </si>
  <si>
    <t>Tech/Platform</t>
  </si>
  <si>
    <t>NSE:ETERNAL</t>
  </si>
  <si>
    <t>NSE:HUDCO</t>
  </si>
  <si>
    <t>Housing Finance</t>
  </si>
  <si>
    <t>NSE:ATGL</t>
  </si>
  <si>
    <t>Gas Distribution</t>
  </si>
  <si>
    <t>NSE:IGL</t>
  </si>
  <si>
    <t>NSE:IRFC</t>
  </si>
  <si>
    <t>Railway Finance</t>
  </si>
  <si>
    <t>NSE:ITC</t>
  </si>
  <si>
    <t>NSE:MOTILALOFS</t>
  </si>
  <si>
    <t>Financial Services</t>
  </si>
  <si>
    <t>NSE:LTM</t>
  </si>
  <si>
    <t>Capital Goods</t>
  </si>
  <si>
    <t>NSE:KPRMILL</t>
  </si>
  <si>
    <t>NSE:GODREJPROP</t>
  </si>
  <si>
    <t>NSE:WIPRO</t>
  </si>
  <si>
    <t>NSE:SJVN</t>
  </si>
  <si>
    <t>Power PSU</t>
  </si>
  <si>
    <t>NSE:JUBLFOOD</t>
  </si>
  <si>
    <t>QSR</t>
  </si>
  <si>
    <t>NSE:VMM</t>
  </si>
  <si>
    <t>NSE:BERGEPAINT</t>
  </si>
  <si>
    <t>Paints</t>
  </si>
  <si>
    <t>NSE:POLICYBZR</t>
  </si>
  <si>
    <t>Fintech</t>
  </si>
  <si>
    <t>NSE:MPHASIS</t>
  </si>
  <si>
    <t>NSE:RVNL</t>
  </si>
  <si>
    <t>Railway Infra</t>
  </si>
  <si>
    <t>NSE:ACC</t>
  </si>
  <si>
    <t>Cement</t>
  </si>
  <si>
    <t>NSE:OFSS</t>
  </si>
  <si>
    <t>NSE:AMBUJACEM</t>
  </si>
  <si>
    <t>NSE:PRESTIGE</t>
  </si>
  <si>
    <t>NSE:TCS</t>
  </si>
  <si>
    <t>NSE:EXIDEIND</t>
  </si>
  <si>
    <t>Auto Ancillary</t>
  </si>
  <si>
    <t>NSE:PGHH</t>
  </si>
  <si>
    <t>NSE:HONAUT</t>
  </si>
  <si>
    <t>NSE:SBICARD</t>
  </si>
  <si>
    <t>NSE:INDHOTEL</t>
  </si>
  <si>
    <t>NSE:BAJAJHLDNG</t>
  </si>
  <si>
    <t>Holding Co</t>
  </si>
  <si>
    <t>NSE:TATATECH</t>
  </si>
  <si>
    <t>NSE:GODREJIND</t>
  </si>
  <si>
    <t>NSE:WAAREEENER</t>
  </si>
  <si>
    <t>NSE:COCHINSHIP</t>
  </si>
  <si>
    <t>Defence/Shipbuilding</t>
  </si>
  <si>
    <t>NSE:PIIND</t>
  </si>
  <si>
    <t>Agro Chemicals</t>
  </si>
  <si>
    <t>NSE:PERSISTENT</t>
  </si>
  <si>
    <t>NSE:BDL</t>
  </si>
  <si>
    <t>Defence</t>
  </si>
  <si>
    <t>NSE:SHREECEM</t>
  </si>
  <si>
    <t>NSE:CRISIL</t>
  </si>
  <si>
    <t>NSE:DEEPAKNTR</t>
  </si>
  <si>
    <t>NSE:TMPV</t>
  </si>
  <si>
    <t>Logistics</t>
  </si>
  <si>
    <t>NSE:GAIL</t>
  </si>
  <si>
    <t>Gas/Energy</t>
  </si>
  <si>
    <t>NSE:INFY</t>
  </si>
  <si>
    <t>NSE:ADANIGREEN</t>
  </si>
  <si>
    <t>NSE:ADANIENT</t>
  </si>
  <si>
    <t>Conglomerate</t>
  </si>
  <si>
    <t>NSE:DALBHARAT</t>
  </si>
  <si>
    <t>NSE:MAZDOCK</t>
  </si>
  <si>
    <t>NSE:JKCEMENT</t>
  </si>
  <si>
    <t>NSE:TATACOMM</t>
  </si>
  <si>
    <t>Telecom</t>
  </si>
  <si>
    <t>NSE:NTPCGREEN</t>
  </si>
  <si>
    <t>NSE:COROMANDEL</t>
  </si>
  <si>
    <t>NSE:PATANJALI</t>
  </si>
  <si>
    <t>NSE:TECHM</t>
  </si>
  <si>
    <t>NSE:UCOBANK</t>
  </si>
  <si>
    <t>Banking</t>
  </si>
  <si>
    <t>NSE:HDFCBANK</t>
  </si>
  <si>
    <t>NSE:OBEROIRLTY</t>
  </si>
  <si>
    <t>NSE:HDFCLIFE</t>
  </si>
  <si>
    <t>NSE:CONCOR</t>
  </si>
  <si>
    <t>NSE:RECLTD</t>
  </si>
  <si>
    <t>NSE:SRF</t>
  </si>
  <si>
    <t>NSE:TATAINVEST</t>
  </si>
  <si>
    <t>NSE:LLOYDSME</t>
  </si>
  <si>
    <t>NSE:ASIANPAINT</t>
  </si>
  <si>
    <t>NSE:IOB</t>
  </si>
  <si>
    <t>NSE:APOLLOTYRE</t>
  </si>
  <si>
    <t>NSE:HAL</t>
  </si>
  <si>
    <t>NSE:UPL</t>
  </si>
  <si>
    <t>NSE:HCLTECH</t>
  </si>
  <si>
    <t>NSE:LICHSGFIN</t>
  </si>
  <si>
    <t>NSE:BOSCHLTD</t>
  </si>
  <si>
    <t>NSE:PAYTM</t>
  </si>
  <si>
    <t>NSE:CIPLA</t>
  </si>
  <si>
    <t>Pharma</t>
  </si>
  <si>
    <t>NSE:IDFCFIRSTB</t>
  </si>
  <si>
    <t>NSE:MEDANTA</t>
  </si>
  <si>
    <t>NSE:GUJGASLTD</t>
  </si>
  <si>
    <t>NSE:UNOMINDA</t>
  </si>
  <si>
    <t>NSE:NHPC</t>
  </si>
  <si>
    <t>NSE:JSWINFRA</t>
  </si>
  <si>
    <t>Infrastructure</t>
  </si>
  <si>
    <t>NSE:BALKRISIND</t>
  </si>
  <si>
    <t>NSE:HINDPETRO</t>
  </si>
  <si>
    <t>Oil &amp; Gas</t>
  </si>
  <si>
    <t>NSE:FLUOROCHEM</t>
  </si>
  <si>
    <t>NSE:BHARTIHEXA</t>
  </si>
  <si>
    <t>NSE:HAVELLS</t>
  </si>
  <si>
    <t>NSE:GLAXO</t>
  </si>
  <si>
    <t>NSE:ESCORTS</t>
  </si>
  <si>
    <t>Auto</t>
  </si>
  <si>
    <t>NSE:HYUNDAI</t>
  </si>
  <si>
    <t>NSE:MAXHEALTH</t>
  </si>
  <si>
    <t>NSE:ABBOTINDIA</t>
  </si>
  <si>
    <t>NSE:GODREJCP</t>
  </si>
  <si>
    <t>NSE:BAJAJFINSV</t>
  </si>
  <si>
    <t>NSE:MANKIND</t>
  </si>
  <si>
    <t>NSE:LICI</t>
  </si>
  <si>
    <t>NSE:HINDUNILVR</t>
  </si>
  <si>
    <t>NSE:IRB</t>
  </si>
  <si>
    <t>NSE:ICICIBANK</t>
  </si>
  <si>
    <t>NSE:ENDURANCE</t>
  </si>
  <si>
    <t>NSE:MRF</t>
  </si>
  <si>
    <t>NSE:HDFCAMC</t>
  </si>
  <si>
    <t>NSE:TIINDIA</t>
  </si>
  <si>
    <t>NSE:MARUTI</t>
  </si>
  <si>
    <t>NSE:PIDILITIND</t>
  </si>
  <si>
    <t>NSE:DABUR</t>
  </si>
  <si>
    <t>NSE:YESBANK</t>
  </si>
  <si>
    <t>NSE:VBL</t>
  </si>
  <si>
    <t>NSE:M&amp;M</t>
  </si>
  <si>
    <t>NSE:360ONE</t>
  </si>
  <si>
    <t>NSE:KOTAKBANK</t>
  </si>
  <si>
    <t>NSE:JSWENERGY</t>
  </si>
  <si>
    <t>Power Private</t>
  </si>
  <si>
    <t>NSE:DMART</t>
  </si>
  <si>
    <t>NSE:ZYDUSLIFE</t>
  </si>
  <si>
    <t>NSE:BHARTIARTL</t>
  </si>
  <si>
    <t>NSE:ICICIPRULI</t>
  </si>
  <si>
    <t>NSE:ULTRACEMCO</t>
  </si>
  <si>
    <t>NSE:ENRIN</t>
  </si>
  <si>
    <t>NSE:PHOENIXLTD</t>
  </si>
  <si>
    <t>NSE:COLPAL</t>
  </si>
  <si>
    <t>NSE:THERMAX</t>
  </si>
  <si>
    <t>NSE:CHOLAFIN</t>
  </si>
  <si>
    <t>NSE:GICRE</t>
  </si>
  <si>
    <t>NSE:BAJFINANCE</t>
  </si>
  <si>
    <t>NSE:SUPREMEIND</t>
  </si>
  <si>
    <t>Plastic/Pipes</t>
  </si>
  <si>
    <t>NSE:TATAPOWER</t>
  </si>
  <si>
    <t>NSE:JSL</t>
  </si>
  <si>
    <t>Steel</t>
  </si>
  <si>
    <t>NSE:UBL</t>
  </si>
  <si>
    <t>NSE:GRASIM</t>
  </si>
  <si>
    <t>NSE:BPCL</t>
  </si>
  <si>
    <t>NSE:TATACONSUM</t>
  </si>
  <si>
    <t>NSE:RELIANCE</t>
  </si>
  <si>
    <t>NSE:ICICIGI</t>
  </si>
  <si>
    <t>NSE:PETRONET</t>
  </si>
  <si>
    <t>NSE:FORTIS</t>
  </si>
  <si>
    <t>NSE:NAM-INDIA</t>
  </si>
  <si>
    <t>NSE:UNITDSPR</t>
  </si>
  <si>
    <t>NSE:PFC</t>
  </si>
  <si>
    <t>NSE:DIVISLAB</t>
  </si>
  <si>
    <t>NSE:NLCINDIA</t>
  </si>
  <si>
    <t>NSE:GMRAIRPORT</t>
  </si>
  <si>
    <t>Aviation Infrastructure</t>
  </si>
  <si>
    <t>NSE:BHEL</t>
  </si>
  <si>
    <t>NSE:PNB</t>
  </si>
  <si>
    <t>NSE:ADANIPORTS</t>
  </si>
  <si>
    <t>Ports/Logistics</t>
  </si>
  <si>
    <t>NSE:LT</t>
  </si>
  <si>
    <t>NSE:SBILIFE</t>
  </si>
  <si>
    <t>NSE:CGPOWER</t>
  </si>
  <si>
    <t>NSE:NESTLEIND</t>
  </si>
  <si>
    <t>NSE:MUTHOOTFIN</t>
  </si>
  <si>
    <t>NSE:BRITANNIA</t>
  </si>
  <si>
    <t>NSE:SIEMENS</t>
  </si>
  <si>
    <t>NSE:ALKEM</t>
  </si>
  <si>
    <t>NSE:AIAENG</t>
  </si>
  <si>
    <t>NSE:DRREDDY</t>
  </si>
  <si>
    <t>NSE:MFSL</t>
  </si>
  <si>
    <t>NSE:BIOCON</t>
  </si>
  <si>
    <t>NSE:POWERGRID</t>
  </si>
  <si>
    <t>NSE:APOLLOHOSP</t>
  </si>
  <si>
    <t>NSE:ADANIPOWER</t>
  </si>
  <si>
    <t>NSE:IPCALAB</t>
  </si>
  <si>
    <t>NSE:IOC</t>
  </si>
  <si>
    <t>NSE:HEROMOTOCO</t>
  </si>
  <si>
    <t>NSE:NYKAA</t>
  </si>
  <si>
    <t>NSE:3MINDIA</t>
  </si>
  <si>
    <t>NSE:SONACOMS</t>
  </si>
  <si>
    <t>NSE:LINDEINDIA</t>
  </si>
  <si>
    <t>Industrial Gases</t>
  </si>
  <si>
    <t>NSE:ABCAPITAL</t>
  </si>
  <si>
    <t>NSE:LTF</t>
  </si>
  <si>
    <t>NSE:SOLARINDS</t>
  </si>
  <si>
    <t>NSE:BLUESTARCO</t>
  </si>
  <si>
    <t>NSE:IDBI</t>
  </si>
  <si>
    <t>NSE:NMDC</t>
  </si>
  <si>
    <t>Mining</t>
  </si>
  <si>
    <t>NSE:SCHAEFFLER</t>
  </si>
  <si>
    <t>NSE:TORNTPOWER</t>
  </si>
  <si>
    <t>NSE:VOLTAS</t>
  </si>
  <si>
    <t>NSE:AXISBANK</t>
  </si>
  <si>
    <t>NSE:BSE</t>
  </si>
  <si>
    <t>NSE:SUNPHARMA</t>
  </si>
  <si>
    <t>NSE:BAJAJ-AUTO</t>
  </si>
  <si>
    <t>NSE:SUNDARMFIN</t>
  </si>
  <si>
    <t>NSE:JSWSTEEL</t>
  </si>
  <si>
    <t>NSE:INDUSINDBK</t>
  </si>
  <si>
    <t>NSE:BANKBARODA</t>
  </si>
  <si>
    <t>NSE:MARICO</t>
  </si>
  <si>
    <t>NSE:ADANIENSOL</t>
  </si>
  <si>
    <t>NSE:AUROPHARMA</t>
  </si>
  <si>
    <t>NSE:CANBK</t>
  </si>
  <si>
    <t>NSE:SAIL</t>
  </si>
  <si>
    <t>NSE:MOTHERSON</t>
  </si>
  <si>
    <t>NSE:TVSMOTOR</t>
  </si>
  <si>
    <t>NSE:GLENMARK</t>
  </si>
  <si>
    <t>NSE:AUBANK</t>
  </si>
  <si>
    <t>NSE:ABB</t>
  </si>
  <si>
    <t>NSE:OIL</t>
  </si>
  <si>
    <t>NSE:ASTRAL</t>
  </si>
  <si>
    <t>NSE:JINDALSTEL</t>
  </si>
  <si>
    <t>NSE:IDEA</t>
  </si>
  <si>
    <t>NSE:TATASTEEL</t>
  </si>
  <si>
    <t>NSE:ONGC</t>
  </si>
  <si>
    <t>NSE:NTPC</t>
  </si>
  <si>
    <t>NSE:EICHERMOT</t>
  </si>
  <si>
    <t>NSE:INDUSTOWER</t>
  </si>
  <si>
    <t>Telecom Infra</t>
  </si>
  <si>
    <t>NSE:TITAN</t>
  </si>
  <si>
    <t>NSE:COALINDIA</t>
  </si>
  <si>
    <t>NSE:BEL</t>
  </si>
  <si>
    <t>NSE:AJANTPHARM</t>
  </si>
  <si>
    <t>NSE:M&amp;MFIN</t>
  </si>
  <si>
    <t>NSE:MAHABANK</t>
  </si>
  <si>
    <t>NSE:BANKINDIA</t>
  </si>
  <si>
    <t>NSE:HINDZINC</t>
  </si>
  <si>
    <t>NSE:LUPIN</t>
  </si>
  <si>
    <t>NSE:APLAPOLLO</t>
  </si>
  <si>
    <t>NSE:POLYCAB</t>
  </si>
  <si>
    <t>Cables/Wires</t>
  </si>
  <si>
    <t>NSE:KEI</t>
  </si>
  <si>
    <t>NSE:APARINDS</t>
  </si>
  <si>
    <t>NSE:TORNTPHARM</t>
  </si>
  <si>
    <t>NSE:CUMMINSIND</t>
  </si>
  <si>
    <t>NSE:INDIANB</t>
  </si>
  <si>
    <t>NSE:FEDERALBNK</t>
  </si>
  <si>
    <t>NSE:SBIN</t>
  </si>
  <si>
    <t>NSE:UNIONBANK</t>
  </si>
  <si>
    <t>NSE:HINDALCO</t>
  </si>
  <si>
    <t>Metals</t>
  </si>
  <si>
    <t>NSE:SHRIRAMFIN</t>
  </si>
  <si>
    <t>NSE:ASHOKLEY</t>
  </si>
  <si>
    <t>NSE:POWERINDIA</t>
  </si>
  <si>
    <t>NSE:GVT&amp;D</t>
  </si>
  <si>
    <t>NSE:BHARATFORG</t>
  </si>
  <si>
    <t>NSE:VEDL</t>
  </si>
  <si>
    <t>NSE:NATIONALUM</t>
  </si>
  <si>
    <t>NSE:DATAPATTNS</t>
  </si>
  <si>
    <t>NSE:KIRLOSENG</t>
  </si>
  <si>
    <t>NSE:MRPL</t>
  </si>
  <si>
    <t>NSE:AARTIIND</t>
  </si>
  <si>
    <t>NSE:AAVAS</t>
  </si>
  <si>
    <t>NSE:ACE</t>
  </si>
  <si>
    <t>NSE:ABFRL</t>
  </si>
  <si>
    <t>NSE:ABREL</t>
  </si>
  <si>
    <t>NSE:ABSLAMC</t>
  </si>
  <si>
    <t>NSE:AEGISLOG</t>
  </si>
  <si>
    <t>NSE:AEGISVOPAK</t>
  </si>
  <si>
    <t>NSE:AFFLE</t>
  </si>
  <si>
    <t>NSE:AKUMS</t>
  </si>
  <si>
    <t>NSE:AKZOINDIA</t>
  </si>
  <si>
    <t>NSE:APLLTD</t>
  </si>
  <si>
    <t>NSE:ALKYLAMINE</t>
  </si>
  <si>
    <t>NSE:ALOKINDS</t>
  </si>
  <si>
    <t>NSE:ARE&amp;M</t>
  </si>
  <si>
    <t>NSE:AMBER</t>
  </si>
  <si>
    <t>NSE:ANANTRAJ</t>
  </si>
  <si>
    <t>NSE:ANGELONE</t>
  </si>
  <si>
    <t>NSE:APTUS</t>
  </si>
  <si>
    <t>NSE:ASAHIINDIA</t>
  </si>
  <si>
    <t>NSE:ASTERDM</t>
  </si>
  <si>
    <t>NSE:ASTRAZEN</t>
  </si>
  <si>
    <t>NSE:ATHERENERG</t>
  </si>
  <si>
    <t>NSE:ATUL</t>
  </si>
  <si>
    <t>NSE:AIIL</t>
  </si>
  <si>
    <t>NSE:BASF</t>
  </si>
  <si>
    <t>NSE:BEML</t>
  </si>
  <si>
    <t>NSE:BLS</t>
  </si>
  <si>
    <t>NSE:BANDHANBNK</t>
  </si>
  <si>
    <t>NSE:BAYERCROP</t>
  </si>
  <si>
    <t>NSE:BIKAJI</t>
  </si>
  <si>
    <t>NSE:BSOFT</t>
  </si>
  <si>
    <t>NSE:BLUEDART</t>
  </si>
  <si>
    <t>NSE:BLUEJET</t>
  </si>
  <si>
    <t>NSE:FIRSTCRY</t>
  </si>
  <si>
    <t>NSE:CESC</t>
  </si>
  <si>
    <t>NSE:CAMPUS</t>
  </si>
  <si>
    <t>NSE:CANFINHOME</t>
  </si>
  <si>
    <t>NSE:CGCL</t>
  </si>
  <si>
    <t>NSE:CARBORUNIV</t>
  </si>
  <si>
    <t>NSE:CASTROLIND</t>
  </si>
  <si>
    <t>NSE:CEATLTD</t>
  </si>
  <si>
    <t>NSE:CENTRALBK</t>
  </si>
  <si>
    <t>NSE:CDSL</t>
  </si>
  <si>
    <t>NSE:CENTURYPLY</t>
  </si>
  <si>
    <t>NSE:CERA</t>
  </si>
  <si>
    <t>NSE:CHALET</t>
  </si>
  <si>
    <t>NSE:CHAMBLFERT</t>
  </si>
  <si>
    <t>NSE:CHENNPETRO</t>
  </si>
  <si>
    <t>NSE:CHOLAHLDNG</t>
  </si>
  <si>
    <t>NSE:CUB</t>
  </si>
  <si>
    <t>NSE:COHANCE</t>
  </si>
  <si>
    <t>NSE:CAMS</t>
  </si>
  <si>
    <t>NSE:CONCORDBIO</t>
  </si>
  <si>
    <t>NSE:CRAFTSMAN</t>
  </si>
  <si>
    <t>NSE:CREDITACC</t>
  </si>
  <si>
    <t>NSE:CROMPTON</t>
  </si>
  <si>
    <t>NSE:CYIENT</t>
  </si>
  <si>
    <t>NSE:DCMSHRIRAM</t>
  </si>
  <si>
    <t>NSE:DEEPAKFERT</t>
  </si>
  <si>
    <t>NSE:DEVYANI</t>
  </si>
  <si>
    <t>NSE:AGARWALEYE</t>
  </si>
  <si>
    <t>NSE:LALPATHLAB</t>
  </si>
  <si>
    <t>NSE:EIDPARRY</t>
  </si>
  <si>
    <t>NSE:EIHOTEL</t>
  </si>
  <si>
    <t>NSE:ELECON</t>
  </si>
  <si>
    <t>NSE:ELGIEQUIP</t>
  </si>
  <si>
    <t>NSE:EMAMILTD</t>
  </si>
  <si>
    <t>NSE:EMCURE</t>
  </si>
  <si>
    <t>NSE:ENGINERSIN</t>
  </si>
  <si>
    <t>NSE:ERIS</t>
  </si>
  <si>
    <t>NSE:FINCABLES</t>
  </si>
  <si>
    <t>NSE:FINPIPE</t>
  </si>
  <si>
    <t>NSE:FSL</t>
  </si>
  <si>
    <t>NSE:FIVESTAR</t>
  </si>
  <si>
    <t>NSE:FORCEMOT</t>
  </si>
  <si>
    <t>NSE:GRSE</t>
  </si>
  <si>
    <t>NSE:GILLETTE</t>
  </si>
  <si>
    <t>NSE:GLAND</t>
  </si>
  <si>
    <t>NSE:GODIGIT</t>
  </si>
  <si>
    <t>NSE:GPIL</t>
  </si>
  <si>
    <t>NSE:GODREJAGRO</t>
  </si>
  <si>
    <t>NSE:GRAPHITE</t>
  </si>
  <si>
    <t>NSE:GRAVITA</t>
  </si>
  <si>
    <t>NSE:GESHIP</t>
  </si>
  <si>
    <t>NSE:GMDCLTD</t>
  </si>
  <si>
    <t>NSE:HEG</t>
  </si>
  <si>
    <t>NSE:HBLENGINE</t>
  </si>
  <si>
    <t>NSE:HFCL</t>
  </si>
  <si>
    <t>NSE:HAPPSTMNDS</t>
  </si>
  <si>
    <t>NSE:HSCL</t>
  </si>
  <si>
    <t>NSE:HINDCOPPER</t>
  </si>
  <si>
    <t>NSE:HONASA</t>
  </si>
  <si>
    <t>NSE:IFCI</t>
  </si>
  <si>
    <t>NSE:IIFL</t>
  </si>
  <si>
    <t>NSE:INOXINDIA</t>
  </si>
  <si>
    <t>NSE:IRCON</t>
  </si>
  <si>
    <t>NSE:INDGN</t>
  </si>
  <si>
    <t>NSE:INDIACEM</t>
  </si>
  <si>
    <t>NSE:INDIAMART</t>
  </si>
  <si>
    <t>NSE:IEX</t>
  </si>
  <si>
    <t>NSE:INTELLECT</t>
  </si>
  <si>
    <t>NSE:IGIL</t>
  </si>
  <si>
    <t>NSE:IKS</t>
  </si>
  <si>
    <t>NSE:JBCHEPHARM</t>
  </si>
  <si>
    <t>NSE:JBMA</t>
  </si>
  <si>
    <t>NSE:JKTYRE</t>
  </si>
  <si>
    <t>NSE:JMFINANCIL</t>
  </si>
  <si>
    <t>NSE:JSWCEMENT</t>
  </si>
  <si>
    <t>NSE:J&amp;KBANK</t>
  </si>
  <si>
    <t>NSE:JINDALSAW</t>
  </si>
  <si>
    <t>NSE:JUBLINGREA</t>
  </si>
  <si>
    <t>NSE:JUBLPHARMA</t>
  </si>
  <si>
    <t>NSE:JWL</t>
  </si>
  <si>
    <t>NSE:JYOTHYLAB</t>
  </si>
  <si>
    <t>NSE:JYOTICNC</t>
  </si>
  <si>
    <t>NSE:KSB</t>
  </si>
  <si>
    <t>NSE:KAJARIACER</t>
  </si>
  <si>
    <t>NSE:KPIL</t>
  </si>
  <si>
    <t>NSE:KARURVYSYA</t>
  </si>
  <si>
    <t>NSE:KAYNES</t>
  </si>
  <si>
    <t>NSE:KEC</t>
  </si>
  <si>
    <t>NSE:KFINTECH</t>
  </si>
  <si>
    <t>NSE:KIRLOSBROS</t>
  </si>
  <si>
    <t>NSE:KIMS</t>
  </si>
  <si>
    <t>NSE:LTFOODS</t>
  </si>
  <si>
    <t>NSE:LATENTVIEW</t>
  </si>
  <si>
    <t>NSE:LAURUSLABS</t>
  </si>
  <si>
    <t>NSE:THELEELA</t>
  </si>
  <si>
    <t>NSE:MGL</t>
  </si>
  <si>
    <t>NSE:MAHSCOOTER</t>
  </si>
  <si>
    <t>NSE:MANAPPURAM</t>
  </si>
  <si>
    <t>NSE:METROPOLIS</t>
  </si>
  <si>
    <t>NSE:MINDACORP</t>
  </si>
  <si>
    <t>NSE:MCX</t>
  </si>
  <si>
    <t>NSE:NATCOPHARM</t>
  </si>
  <si>
    <t>NSE:NCC</t>
  </si>
  <si>
    <t>NSE:NSLNISP</t>
  </si>
  <si>
    <t>NSE:NH</t>
  </si>
  <si>
    <t>NSE:NAVA</t>
  </si>
  <si>
    <t>NSE:NAVINFLUOR</t>
  </si>
  <si>
    <t>NSE:NETWEB</t>
  </si>
  <si>
    <t>NSE:NEWGEN</t>
  </si>
  <si>
    <t>NSE:NIVABUPA</t>
  </si>
  <si>
    <t>NSE:NUVAMA</t>
  </si>
  <si>
    <t>NSE:NUVOCO</t>
  </si>
  <si>
    <t>NSE:OLAELEC</t>
  </si>
  <si>
    <t>NSE:ONESOURCE</t>
  </si>
  <si>
    <t>NSE:PCBL</t>
  </si>
  <si>
    <t>NSE:PGEL</t>
  </si>
  <si>
    <t>NSE:PNBHOUSING</t>
  </si>
  <si>
    <t>NSE:PTCIL</t>
  </si>
  <si>
    <t>NSE:PVRINOX</t>
  </si>
  <si>
    <t>NSE:PFIZER</t>
  </si>
  <si>
    <t>NSE:PPLPHARMA</t>
  </si>
  <si>
    <t>NSE:POONAWALLA</t>
  </si>
  <si>
    <t>NSE:PRAJIND</t>
  </si>
  <si>
    <t>NSE:RRKABEL</t>
  </si>
  <si>
    <t>NSE:RBLBANK</t>
  </si>
  <si>
    <t>NSE:RHIM</t>
  </si>
  <si>
    <t>NSE:RITES</t>
  </si>
  <si>
    <t>NSE:RADICO</t>
  </si>
  <si>
    <t>NSE:RAILTEL</t>
  </si>
  <si>
    <t>NSE:RKFORGE</t>
  </si>
  <si>
    <t>NSE:RCF</t>
  </si>
  <si>
    <t>NSE:REDINGTON</t>
  </si>
  <si>
    <t>NSE:RELINFRA</t>
  </si>
  <si>
    <t>NSE:RPOWER</t>
  </si>
  <si>
    <t>NSE:SBFC</t>
  </si>
  <si>
    <t>NSE:SAGILITY</t>
  </si>
  <si>
    <t>NSE:SAILIFE</t>
  </si>
  <si>
    <t>NSE:SARDAEN</t>
  </si>
  <si>
    <t>NSE:SAREGAMA</t>
  </si>
  <si>
    <t>NSE:SCI</t>
  </si>
  <si>
    <t>NSE:SHYAMMETL</t>
  </si>
  <si>
    <t>NSE:SIGNATURE</t>
  </si>
  <si>
    <t>NSE:SOBHA</t>
  </si>
  <si>
    <t>NSE:SONATSOFTW</t>
  </si>
  <si>
    <t>NSE:STARHEALTH</t>
  </si>
  <si>
    <t>NSE:SUMICHEM</t>
  </si>
  <si>
    <t>NSE:SUNTV</t>
  </si>
  <si>
    <t>NSE:SUNDRMFAST</t>
  </si>
  <si>
    <t>NSE:SWANCORP</t>
  </si>
  <si>
    <t>NSE:SYRMA</t>
  </si>
  <si>
    <t>NSE:TBOTEK</t>
  </si>
  <si>
    <t>NSE:TATACHEM</t>
  </si>
  <si>
    <t>NSE:TTML</t>
  </si>
  <si>
    <t>NSE:TEJASNET</t>
  </si>
  <si>
    <t>NSE:TIMKEN</t>
  </si>
  <si>
    <t>NSE:TITAGARH</t>
  </si>
  <si>
    <t>NSE:TRIDENT</t>
  </si>
  <si>
    <t>NSE:TRIVENI</t>
  </si>
  <si>
    <t>NSE:TRITURBINE</t>
  </si>
  <si>
    <t>NSE:UTIAMC</t>
  </si>
  <si>
    <t>NSE:VGUARD</t>
  </si>
  <si>
    <t>NSE:MANYAVAR</t>
  </si>
  <si>
    <t>NSE:VENTIVE</t>
  </si>
  <si>
    <t>NSE:VIJAYA</t>
  </si>
  <si>
    <t>NSE:WELCORP</t>
  </si>
  <si>
    <t>NSE:WELSPUNLIV</t>
  </si>
  <si>
    <t>NSE:WHIRLPOOL</t>
  </si>
  <si>
    <t>NSE:ZFCVINDIA</t>
  </si>
  <si>
    <t>NSE:ZENTEC</t>
  </si>
  <si>
    <t>NSE:ACMESOLAR</t>
  </si>
  <si>
    <t>NSE:AADHARHFC</t>
  </si>
  <si>
    <t>NSE:ABLBL</t>
  </si>
  <si>
    <t>NSE:AFCONS</t>
  </si>
  <si>
    <t>NSE:ANANDRATHI</t>
  </si>
  <si>
    <t>NSE:BALRAMCHIN</t>
  </si>
  <si>
    <t>NSE:BATAINDIA</t>
  </si>
  <si>
    <t>NSE:BBTC</t>
  </si>
  <si>
    <t>NSE:BRIGADE</t>
  </si>
  <si>
    <t>NSE:MAPMYINDIA</t>
  </si>
  <si>
    <t>NSE:CCL</t>
  </si>
  <si>
    <t>NSE:CAPLIPOINT</t>
  </si>
  <si>
    <t>NSE:CHOICEIN</t>
  </si>
  <si>
    <t>NSE:CLEAN</t>
  </si>
  <si>
    <t>NSE:DOMS</t>
  </si>
  <si>
    <t>NSE:DELHIVERY</t>
  </si>
  <si>
    <t>NSE:GRANULES</t>
  </si>
  <si>
    <t>NSE:GSPL</t>
  </si>
  <si>
    <t>NSE:HOMEFIRST</t>
  </si>
  <si>
    <t>NSE:ITI</t>
  </si>
  <si>
    <t>NSE:INOXWIND</t>
  </si>
  <si>
    <t>NSE:JPPOWER</t>
  </si>
  <si>
    <t>NSE:LEMONTREE</t>
  </si>
  <si>
    <t>NSE:MMTC</t>
  </si>
  <si>
    <t>NSE:MAHSEAMLES</t>
  </si>
  <si>
    <t>NSE:MSUMI</t>
  </si>
  <si>
    <t>NSE:NBCC</t>
  </si>
  <si>
    <t>NSE:NEULANDLAB</t>
  </si>
  <si>
    <t>NSE:OLECTRA</t>
  </si>
  <si>
    <t>NSE:POLYMED</t>
  </si>
  <si>
    <t>NSE:RAINBOW</t>
  </si>
  <si>
    <t>NSE:SAMMAANCAP</t>
  </si>
  <si>
    <t>NSE:SAPPHIRE</t>
  </si>
  <si>
    <t>NSE:SCHNEIDER</t>
  </si>
  <si>
    <t>NSE:TECHNOE</t>
  </si>
  <si>
    <t>NSE:RAMCOCEM</t>
  </si>
  <si>
    <t>NSE:TARIL</t>
  </si>
  <si>
    <t>NSE:USHAMART</t>
  </si>
  <si>
    <t>NSE:DBREALTY</t>
  </si>
  <si>
    <t>NSE:VTL</t>
  </si>
  <si>
    <t>NSE:WOCKPHARMA</t>
  </si>
  <si>
    <t>NSE:ZEEL</t>
  </si>
  <si>
    <t>NSE:ZENSARTECH</t>
  </si>
  <si>
    <t>Ticker</t>
  </si>
  <si>
    <t>NEAR-BULL WATCHLIST  ▸  Stocks within -5% of 200 DMA  ▸  These are your NEXT entry candidates — set price alerts</t>
  </si>
  <si>
    <t>Priority</t>
  </si>
  <si>
    <t>Alert Price
(=200 DMA)</t>
  </si>
  <si>
    <t>Notes</t>
  </si>
  <si>
    <t>Signal Date</t>
  </si>
  <si>
    <t>In Bear Run</t>
  </si>
  <si>
    <t>Avoid/Hold</t>
  </si>
  <si>
    <t>CRITICAL</t>
  </si>
  <si>
    <t>0.02% from Bull Run threshold</t>
  </si>
  <si>
    <t>Near threshold — watch for Bull Run</t>
  </si>
  <si>
    <t>HIGH</t>
  </si>
  <si>
    <t>Very close to 200 DMA</t>
  </si>
  <si>
    <t>DMA structure improving</t>
  </si>
  <si>
    <t>Watch for Bull Run flip</t>
  </si>
  <si>
    <t>Very near threshold</t>
  </si>
  <si>
    <t>MEDIUM</t>
  </si>
  <si>
    <t>DMA alignment still inverted</t>
  </si>
  <si>
    <t>50&gt;100 DMA partial</t>
  </si>
  <si>
    <t>Aviation Infra</t>
  </si>
  <si>
    <t>WATCH</t>
  </si>
  <si>
    <t>Already in your portfolio</t>
  </si>
  <si>
    <t>Very close but Bear Run</t>
  </si>
  <si>
    <t>⚡ ACTION: When any of the above stocks crosses its 200 DMA and your DMA Scanner shows 'In Bull Run' → Immediately check Conviction Score. If ≥7 and Signal Age ≤3 days → ENTER on that day's close.</t>
  </si>
  <si>
    <t>ENHANCED TRADING LOG  ▸  DMA-DMA + CAR Strategy  ▸  Yellow = Manual Input  |  Blue = Auto Formula</t>
  </si>
  <si>
    <t>Chain #</t>
  </si>
  <si>
    <t>Trade Slot
(Row)</t>
  </si>
  <si>
    <t>Investment
₹</t>
  </si>
  <si>
    <t>Target @ 6.28%
₹</t>
  </si>
  <si>
    <t>Entry Date</t>
  </si>
  <si>
    <t>Entry Day
(DOW)</t>
  </si>
  <si>
    <t>Stock Name</t>
  </si>
  <si>
    <t>Entry Price
₹</t>
  </si>
  <si>
    <t>Target Price
₹</t>
  </si>
  <si>
    <t>Avg Reserve
₹ (50%)</t>
  </si>
  <si>
    <t>Profit Booked
Date</t>
  </si>
  <si>
    <t>Avg 1 Date</t>
  </si>
  <si>
    <t>Avg 2 Date</t>
  </si>
  <si>
    <t>Avg 3 Date</t>
  </si>
  <si>
    <t>Current Price
₹</t>
  </si>
  <si>
    <t>% from Target
(M/I-1)×100</t>
  </si>
  <si>
    <t>% Unrealised
(M/H-1)×100</t>
  </si>
  <si>
    <t>Days Held</t>
  </si>
  <si>
    <t>30-Day Review
Due Date</t>
  </si>
  <si>
    <t>DMA Status
(Daily Check)</t>
  </si>
  <si>
    <t>CAR Status
(Daily Check)</t>
  </si>
  <si>
    <t>Conviction
Score @ Entry</t>
  </si>
  <si>
    <t>Status</t>
  </si>
  <si>
    <t>STCG Tax
(20%)</t>
  </si>
  <si>
    <t>Manual</t>
  </si>
  <si>
    <t>From Comp Model</t>
  </si>
  <si>
    <t>=C x 1.0628 AUTO</t>
  </si>
  <si>
    <t>=TEXT(E,"DDD") AUTO</t>
  </si>
  <si>
    <t>⭐ Manual (critical)</t>
  </si>
  <si>
    <t>=H x 1.0628 AUTO</t>
  </si>
  <si>
    <t>=C x 0.5 AUTO</t>
  </si>
  <si>
    <t>Manual when booked</t>
  </si>
  <si>
    <t>Signal-driven</t>
  </si>
  <si>
    <t>⭐ Manual daily</t>
  </si>
  <si>
    <t>=(M/I-1)x100 AUTO</t>
  </si>
  <si>
    <t>=(M/H-1)x100 AUTO</t>
  </si>
  <si>
    <t>=Days AUTO</t>
  </si>
  <si>
    <t>=E+30 AUTO</t>
  </si>
  <si>
    <t>Manual daily</t>
  </si>
  <si>
    <t>Manual at entry</t>
  </si>
  <si>
    <t>AUTO formula</t>
  </si>
  <si>
    <t>AUTO</t>
  </si>
  <si>
    <t>Powergrid</t>
  </si>
  <si>
    <t>In Bull Run</t>
  </si>
  <si>
    <t>⚠ 40 days open – apply 30-day review TODAY</t>
  </si>
  <si>
    <t>GMRAirports</t>
  </si>
  <si>
    <t>Averaged 19 Mar. Recalculate avg cost price manually</t>
  </si>
  <si>
    <t>NLCINDIA</t>
  </si>
  <si>
    <t>26 days open – 30-day review due 27 Mar</t>
  </si>
  <si>
    <t>AuroPharma</t>
  </si>
  <si>
    <t>n/a</t>
  </si>
  <si>
    <t>✅ PROFIT BOOKED in 7 days – template trade</t>
  </si>
  <si>
    <t>Sunpharma</t>
  </si>
  <si>
    <t>Buy/Average Out</t>
  </si>
  <si>
    <t>12 days open – hold</t>
  </si>
  <si>
    <t>Sonacoms</t>
  </si>
  <si>
    <t>⭐ BEST signal (10/10) – watch daily for target</t>
  </si>
  <si>
    <t>BSE</t>
  </si>
  <si>
    <t>15k COMPOUNDING MODEL  ▸  Sequential 6.28% Profit Chain  ▸  Tax: 20% STCG (Post Budget Jul 2024)  ▸  Reinvestment: 50% of after-tax profit</t>
  </si>
  <si>
    <t>KEY ASSUMPTIONS: Profit Target = 6.28% per trade | Brokerage = 0.25% both sides + ₹19 DP | Income Tax = 20% STCG (update if LTCG applies: 12.5% above ₹1.25L) | Self Dividend = 50% of after-tax profit reinvested next trade</t>
  </si>
  <si>
    <t>Trade #</t>
  </si>
  <si>
    <t>Target
@ 6.28% ₹</t>
  </si>
  <si>
    <t>Gross Profit
₹</t>
  </si>
  <si>
    <t>Brokerage
(0.247%) ₹</t>
  </si>
  <si>
    <t>Net Profit
₹</t>
  </si>
  <si>
    <t>STCG Tax
(20%) ₹</t>
  </si>
  <si>
    <t>After-Tax
Profit ₹</t>
  </si>
  <si>
    <t>Self Dividend
(50%) ₹</t>
  </si>
  <si>
    <t>Growth Amount
(Next Trade +) ₹</t>
  </si>
  <si>
    <t>TAX NOTE: Budget 2024 (Jul 2024) changed STCG on listed equity to 20% (was 15%). Model updated. If holding &gt; 12 months (LTCG): 12.5% tax on gains above ₹1.25L. If income &gt; ₹50L, surcharge applies → effective rate ~22.9%. Adjust manually in that case.</t>
  </si>
  <si>
    <t>20k COMPOUNDING MODEL  ▸  Same logic as 15k but starting at ₹20,000 per chain</t>
  </si>
  <si>
    <t>PROJECTION: ₹20,000 → ₹1 CRORE  ▸  Sequential 6.28% Compounding Without Tax/Withdrawal (Gross Model)</t>
  </si>
  <si>
    <t>Investment ₹</t>
  </si>
  <si>
    <t>Target @ 6.28% ₹</t>
  </si>
  <si>
    <t>Gross Profit ₹</t>
  </si>
  <si>
    <t>Brokerage ₹</t>
  </si>
  <si>
    <t>Net Remain Profit 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</si>
</sst>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\%"/>
    <numFmt numFmtId="165" formatCode="0.0\%"/>
    <numFmt numFmtId="166" formatCode="m/d/yyyy h:mm:ss"/>
    <numFmt numFmtId="167" formatCode="dd\-mmm\-yyyy"/>
    <numFmt numFmtId="168" formatCode="d-mmm-yyyy"/>
  </numFmts>
  <fonts count="26">
    <font>
      <sz val="11.0"/>
      <color rgb="FF000000"/>
      <name val="Arial"/>
      <scheme val="minor"/>
    </font>
    <font>
      <b/>
      <sz val="16.0"/>
      <color rgb="FFFFFFFF"/>
      <name val="Arial"/>
    </font>
    <font/>
    <font>
      <i/>
      <sz val="9.0"/>
      <color rgb="FFFFFFFF"/>
      <name val="Arial"/>
    </font>
    <font>
      <sz val="11.0"/>
      <color theme="1"/>
      <name val="Calibri"/>
    </font>
    <font>
      <b/>
      <sz val="11.0"/>
      <color rgb="FFFFFFFF"/>
      <name val="Arial"/>
    </font>
    <font>
      <b/>
      <sz val="10.0"/>
      <color rgb="FF000000"/>
      <name val="Arial"/>
    </font>
    <font>
      <b/>
      <sz val="10.0"/>
      <color rgb="FF2471A3"/>
      <name val="Arial"/>
    </font>
    <font>
      <i/>
      <sz val="9.0"/>
      <color rgb="FF666666"/>
      <name val="Arial"/>
    </font>
    <font>
      <sz val="9.0"/>
      <color rgb="FF000000"/>
      <name val="Arial"/>
    </font>
    <font>
      <b/>
      <sz val="10.0"/>
      <color rgb="FFFFFFFF"/>
      <name val="Arial"/>
    </font>
    <font>
      <b/>
      <sz val="9.0"/>
      <color rgb="FF1E8449"/>
      <name val="Arial"/>
    </font>
    <font>
      <sz val="9.0"/>
      <color rgb="FF1A1A1A"/>
      <name val="Courier New"/>
    </font>
    <font>
      <b/>
      <sz val="9.0"/>
      <color rgb="FF000000"/>
      <name val="Arial"/>
    </font>
    <font>
      <b/>
      <sz val="10.0"/>
      <color rgb="FF0D2137"/>
      <name val="Arial"/>
    </font>
    <font>
      <b/>
      <sz val="12.0"/>
      <color rgb="FFFFFFFF"/>
      <name val="Arial"/>
    </font>
    <font>
      <b/>
      <sz val="9.0"/>
      <color rgb="FFFFFFFF"/>
      <name val="Arial"/>
    </font>
    <font>
      <i/>
      <sz val="8.0"/>
      <color rgb="FF444444"/>
      <name val="Arial"/>
    </font>
    <font>
      <b/>
      <i/>
      <sz val="8.0"/>
      <color rgb="FF444444"/>
      <name val="Arial"/>
    </font>
    <font>
      <b/>
      <sz val="9.0"/>
      <color rgb="FF0D2137"/>
      <name val="Arial"/>
    </font>
    <font>
      <color theme="1"/>
      <name val="Arial"/>
      <scheme val="minor"/>
    </font>
    <font>
      <b/>
      <sz val="9.0"/>
      <color rgb="FF922B21"/>
      <name val="Arial"/>
    </font>
    <font>
      <b/>
      <sz val="9.0"/>
      <color rgb="FF1B4F72"/>
      <name val="Arial"/>
    </font>
    <font>
      <i/>
      <sz val="9.0"/>
      <color rgb="FF444444"/>
      <name val="Arial"/>
    </font>
    <font>
      <i/>
      <sz val="9.0"/>
      <color rgb="FF922B21"/>
      <name val="Arial"/>
    </font>
    <font>
      <b/>
      <sz val="9.0"/>
      <color rgb="FF2471A3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D2137"/>
        <bgColor rgb="FF0D2137"/>
      </patternFill>
    </fill>
    <fill>
      <patternFill patternType="solid">
        <fgColor rgb="FF1B4F72"/>
        <bgColor rgb="FF1B4F72"/>
      </patternFill>
    </fill>
    <fill>
      <patternFill patternType="solid">
        <fgColor rgb="FFF2F7FC"/>
        <bgColor rgb="FFF2F7FC"/>
      </patternFill>
    </fill>
    <fill>
      <patternFill patternType="solid">
        <fgColor rgb="FFFFF2CC"/>
        <bgColor rgb="FFFFF2CC"/>
      </patternFill>
    </fill>
    <fill>
      <patternFill patternType="solid">
        <fgColor rgb="FFFDEDEC"/>
        <bgColor rgb="FFFDEDEC"/>
      </patternFill>
    </fill>
    <fill>
      <patternFill patternType="solid">
        <fgColor rgb="FFFEF9E7"/>
        <bgColor rgb="FFFEF9E7"/>
      </patternFill>
    </fill>
    <fill>
      <patternFill patternType="solid">
        <fgColor rgb="FFEAFAF1"/>
        <bgColor rgb="FFEAFAF1"/>
      </patternFill>
    </fill>
    <fill>
      <patternFill patternType="solid">
        <fgColor rgb="FFEBF5FB"/>
        <bgColor rgb="FFEBF5FB"/>
      </patternFill>
    </fill>
    <fill>
      <patternFill patternType="solid">
        <fgColor rgb="FF2471A3"/>
        <bgColor rgb="FF2471A3"/>
      </patternFill>
    </fill>
    <fill>
      <patternFill patternType="solid">
        <fgColor rgb="FFFFFFFF"/>
        <bgColor rgb="FFFFFFFF"/>
      </patternFill>
    </fill>
    <fill>
      <patternFill patternType="solid">
        <fgColor rgb="FFB7950B"/>
        <bgColor rgb="FFB7950B"/>
      </patternFill>
    </fill>
    <fill>
      <patternFill patternType="solid">
        <fgColor rgb="FF922B21"/>
        <bgColor rgb="FF922B21"/>
      </patternFill>
    </fill>
  </fills>
  <borders count="7">
    <border/>
    <border>
      <left/>
      <top/>
      <bottom/>
    </border>
    <border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ont="1">
      <alignment horizontal="center" shrinkToFit="0" vertical="center" wrapText="1"/>
    </xf>
    <xf borderId="3" fillId="4" fontId="6" numFmtId="0" xfId="0" applyAlignment="1" applyBorder="1" applyFill="1" applyFont="1">
      <alignment horizontal="left" shrinkToFit="0" vertical="center" wrapText="1"/>
    </xf>
    <xf borderId="4" fillId="0" fontId="2" numFmtId="0" xfId="0" applyBorder="1" applyFont="1"/>
    <xf borderId="3" fillId="5" fontId="7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0" fillId="0" fontId="8" numFmtId="0" xfId="0" applyAlignment="1" applyFont="1">
      <alignment horizontal="left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3" fillId="6" fontId="6" numFmtId="0" xfId="0" applyAlignment="1" applyBorder="1" applyFill="1" applyFont="1">
      <alignment horizontal="left" shrinkToFit="0" vertical="center" wrapText="1"/>
    </xf>
    <xf borderId="3" fillId="6" fontId="9" numFmtId="0" xfId="0" applyAlignment="1" applyBorder="1" applyFont="1">
      <alignment horizontal="left" shrinkToFit="0" vertical="center" wrapText="1"/>
    </xf>
    <xf borderId="3" fillId="7" fontId="6" numFmtId="0" xfId="0" applyAlignment="1" applyBorder="1" applyFill="1" applyFont="1">
      <alignment horizontal="left" shrinkToFit="0" vertical="center" wrapText="1"/>
    </xf>
    <xf borderId="3" fillId="7" fontId="9" numFmtId="0" xfId="0" applyAlignment="1" applyBorder="1" applyFont="1">
      <alignment horizontal="left" shrinkToFit="0" vertical="center" wrapText="1"/>
    </xf>
    <xf borderId="3" fillId="8" fontId="6" numFmtId="0" xfId="0" applyAlignment="1" applyBorder="1" applyFill="1" applyFont="1">
      <alignment horizontal="left" shrinkToFit="0" vertical="center" wrapText="1"/>
    </xf>
    <xf borderId="3" fillId="8" fontId="9" numFmtId="0" xfId="0" applyAlignment="1" applyBorder="1" applyFont="1">
      <alignment horizontal="left" shrinkToFit="0" vertical="center" wrapText="1"/>
    </xf>
    <xf borderId="3" fillId="9" fontId="6" numFmtId="0" xfId="0" applyAlignment="1" applyBorder="1" applyFill="1" applyFont="1">
      <alignment horizontal="left" shrinkToFit="0" vertical="center" wrapText="1"/>
    </xf>
    <xf borderId="3" fillId="9" fontId="9" numFmtId="0" xfId="0" applyAlignment="1" applyBorder="1" applyFont="1">
      <alignment horizontal="left" shrinkToFit="0" vertical="center" wrapText="1"/>
    </xf>
    <xf borderId="3" fillId="4" fontId="9" numFmtId="0" xfId="0" applyAlignment="1" applyBorder="1" applyFont="1">
      <alignment horizontal="left" shrinkToFit="0" vertical="center" wrapText="1"/>
    </xf>
    <xf borderId="6" fillId="10" fontId="10" numFmtId="0" xfId="0" applyAlignment="1" applyBorder="1" applyFill="1" applyFont="1">
      <alignment horizontal="center" shrinkToFit="0" vertical="center" wrapText="1"/>
    </xf>
    <xf borderId="3" fillId="10" fontId="10" numFmtId="0" xfId="0" applyAlignment="1" applyBorder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3" fillId="4" fontId="12" numFmtId="0" xfId="0" applyAlignment="1" applyBorder="1" applyFont="1">
      <alignment horizontal="left" shrinkToFit="0" vertical="center" wrapText="1"/>
    </xf>
    <xf borderId="3" fillId="11" fontId="9" numFmtId="0" xfId="0" applyAlignment="1" applyBorder="1" applyFill="1" applyFont="1">
      <alignment horizontal="left" shrinkToFit="0" vertical="center" wrapText="1"/>
    </xf>
    <xf borderId="6" fillId="11" fontId="11" numFmtId="0" xfId="0" applyAlignment="1" applyBorder="1" applyFont="1">
      <alignment horizontal="center" shrinkToFit="0" vertical="center" wrapText="1"/>
    </xf>
    <xf borderId="3" fillId="11" fontId="9" numFmtId="0" xfId="0" applyAlignment="1" applyBorder="1" applyFont="1">
      <alignment horizontal="center" shrinkToFit="0" vertical="center" wrapText="1"/>
    </xf>
    <xf borderId="3" fillId="11" fontId="12" numFmtId="0" xfId="0" applyAlignment="1" applyBorder="1" applyFont="1">
      <alignment horizontal="left" shrinkToFit="0" vertical="center" wrapText="1"/>
    </xf>
    <xf borderId="3" fillId="8" fontId="13" numFmtId="0" xfId="0" applyAlignment="1" applyBorder="1" applyFont="1">
      <alignment horizontal="left" shrinkToFit="0" vertical="center" wrapText="1"/>
    </xf>
    <xf borderId="6" fillId="8" fontId="11" numFmtId="0" xfId="0" applyAlignment="1" applyBorder="1" applyFont="1">
      <alignment horizontal="center" shrinkToFit="0" vertical="center" wrapText="1"/>
    </xf>
    <xf borderId="3" fillId="8" fontId="9" numFmtId="0" xfId="0" applyAlignment="1" applyBorder="1" applyFont="1">
      <alignment horizontal="center" shrinkToFit="0" vertical="center" wrapText="1"/>
    </xf>
    <xf borderId="3" fillId="8" fontId="12" numFmtId="0" xfId="0" applyAlignment="1" applyBorder="1" applyFont="1">
      <alignment horizontal="left" shrinkToFit="0" vertical="center" wrapText="1"/>
    </xf>
    <xf borderId="6" fillId="9" fontId="14" numFmtId="0" xfId="0" applyAlignment="1" applyBorder="1" applyFont="1">
      <alignment horizontal="center" shrinkToFit="0" vertical="center" wrapText="1"/>
    </xf>
    <xf borderId="6" fillId="4" fontId="14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6" fillId="3" fontId="16" numFmtId="0" xfId="0" applyAlignment="1" applyBorder="1" applyFont="1">
      <alignment horizontal="center" shrinkToFit="0" vertical="center" wrapText="1"/>
    </xf>
    <xf borderId="6" fillId="3" fontId="16" numFmtId="0" xfId="0" applyAlignment="1" applyBorder="1" applyFont="1">
      <alignment horizontal="center" shrinkToFit="0" wrapText="1"/>
    </xf>
    <xf borderId="6" fillId="4" fontId="17" numFmtId="0" xfId="0" applyAlignment="1" applyBorder="1" applyFont="1">
      <alignment horizontal="center" shrinkToFit="0" vertical="center" wrapText="1"/>
    </xf>
    <xf borderId="6" fillId="4" fontId="17" numFmtId="0" xfId="0" applyAlignment="1" applyBorder="1" applyFont="1">
      <alignment horizontal="center" readingOrder="0" shrinkToFit="0" vertical="center" wrapText="1"/>
    </xf>
    <xf borderId="6" fillId="4" fontId="17" numFmtId="0" xfId="0" applyAlignment="1" applyBorder="1" applyFont="1">
      <alignment horizontal="center" shrinkToFit="0" wrapText="1"/>
    </xf>
    <xf borderId="6" fillId="4" fontId="18" numFmtId="0" xfId="0" applyAlignment="1" applyBorder="1" applyFont="1">
      <alignment horizontal="center" shrinkToFit="0" wrapText="1"/>
    </xf>
    <xf borderId="6" fillId="4" fontId="19" numFmtId="0" xfId="0" applyAlignment="1" applyBorder="1" applyFont="1">
      <alignment horizontal="left" shrinkToFit="0" vertical="center" wrapText="1"/>
    </xf>
    <xf borderId="6" fillId="5" fontId="9" numFmtId="4" xfId="0" applyAlignment="1" applyBorder="1" applyFont="1" applyNumberFormat="1">
      <alignment horizontal="right" readingOrder="0" shrinkToFit="0" vertical="center" wrapText="0"/>
    </xf>
    <xf borderId="6" fillId="5" fontId="9" numFmtId="4" xfId="0" applyAlignment="1" applyBorder="1" applyFont="1" applyNumberFormat="1">
      <alignment horizontal="right" shrinkToFit="0" vertical="center" wrapText="0"/>
    </xf>
    <xf borderId="6" fillId="0" fontId="13" numFmtId="0" xfId="0" applyAlignment="1" applyBorder="1" applyFont="1">
      <alignment horizontal="center" shrinkToFit="0" vertical="center" wrapText="1"/>
    </xf>
    <xf borderId="6" fillId="0" fontId="9" numFmtId="164" xfId="0" applyAlignment="1" applyBorder="1" applyFont="1" applyNumberFormat="1">
      <alignment horizontal="right" shrinkToFit="0" vertical="center" wrapText="0"/>
    </xf>
    <xf borderId="6" fillId="0" fontId="9" numFmtId="0" xfId="0" applyAlignment="1" applyBorder="1" applyFont="1">
      <alignment horizontal="center" shrinkToFit="0" vertical="center" wrapText="1"/>
    </xf>
    <xf borderId="6" fillId="5" fontId="9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horizontal="center" shrinkToFit="0" vertical="center" wrapText="1"/>
    </xf>
    <xf borderId="6" fillId="11" fontId="9" numFmtId="0" xfId="0" applyAlignment="1" applyBorder="1" applyFont="1">
      <alignment horizontal="left" shrinkToFit="0" vertical="center" wrapText="1"/>
    </xf>
    <xf borderId="6" fillId="5" fontId="9" numFmtId="164" xfId="0" applyAlignment="1" applyBorder="1" applyFont="1" applyNumberFormat="1">
      <alignment horizontal="center" shrinkToFit="0" vertical="center" wrapText="1"/>
    </xf>
    <xf borderId="6" fillId="0" fontId="9" numFmtId="165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readingOrder="0"/>
    </xf>
    <xf borderId="0" fillId="0" fontId="20" numFmtId="0" xfId="0" applyFont="1"/>
    <xf borderId="0" fillId="0" fontId="20" numFmtId="166" xfId="0" applyFont="1" applyNumberFormat="1"/>
    <xf borderId="1" fillId="12" fontId="15" numFmtId="0" xfId="0" applyAlignment="1" applyBorder="1" applyFill="1" applyFont="1">
      <alignment horizontal="center" shrinkToFit="0" vertical="center" wrapText="1"/>
    </xf>
    <xf borderId="6" fillId="12" fontId="16" numFmtId="0" xfId="0" applyAlignment="1" applyBorder="1" applyFont="1">
      <alignment horizontal="center" shrinkToFit="0" vertical="center" wrapText="1"/>
    </xf>
    <xf borderId="6" fillId="7" fontId="13" numFmtId="0" xfId="0" applyAlignment="1" applyBorder="1" applyFont="1">
      <alignment horizontal="left" shrinkToFit="0" vertical="center" wrapText="1"/>
    </xf>
    <xf borderId="6" fillId="7" fontId="9" numFmtId="4" xfId="0" applyAlignment="1" applyBorder="1" applyFont="1" applyNumberFormat="1">
      <alignment horizontal="right" shrinkToFit="0" vertical="center" wrapText="0"/>
    </xf>
    <xf borderId="6" fillId="7" fontId="9" numFmtId="164" xfId="0" applyAlignment="1" applyBorder="1" applyFont="1" applyNumberFormat="1">
      <alignment horizontal="right" shrinkToFit="0" vertical="center" wrapText="0"/>
    </xf>
    <xf borderId="6" fillId="7" fontId="9" numFmtId="0" xfId="0" applyAlignment="1" applyBorder="1" applyFont="1">
      <alignment horizontal="center" shrinkToFit="0" vertical="center" wrapText="1"/>
    </xf>
    <xf borderId="6" fillId="7" fontId="9" numFmtId="0" xfId="0" applyAlignment="1" applyBorder="1" applyFont="1">
      <alignment horizontal="left" shrinkToFit="0" vertical="center" wrapText="1"/>
    </xf>
    <xf borderId="6" fillId="6" fontId="21" numFmtId="0" xfId="0" applyAlignment="1" applyBorder="1" applyFont="1">
      <alignment horizontal="center" shrinkToFit="0" vertical="center" wrapText="1"/>
    </xf>
    <xf borderId="6" fillId="7" fontId="9" numFmtId="0" xfId="0" applyAlignment="1" applyBorder="1" applyFont="1">
      <alignment horizontal="right" shrinkToFit="0" vertical="center" wrapText="0"/>
    </xf>
    <xf borderId="6" fillId="5" fontId="13" numFmtId="0" xfId="0" applyAlignment="1" applyBorder="1" applyFont="1">
      <alignment horizontal="left" shrinkToFit="0" vertical="center" wrapText="1"/>
    </xf>
    <xf borderId="6" fillId="5" fontId="9" numFmtId="164" xfId="0" applyAlignment="1" applyBorder="1" applyFont="1" applyNumberFormat="1">
      <alignment horizontal="right" shrinkToFit="0" vertical="center" wrapText="0"/>
    </xf>
    <xf borderId="6" fillId="5" fontId="9" numFmtId="0" xfId="0" applyAlignment="1" applyBorder="1" applyFont="1">
      <alignment horizontal="left" shrinkToFit="0" vertical="center" wrapText="1"/>
    </xf>
    <xf borderId="6" fillId="5" fontId="13" numFmtId="0" xfId="0" applyAlignment="1" applyBorder="1" applyFont="1">
      <alignment horizontal="center" shrinkToFit="0" vertical="center" wrapText="1"/>
    </xf>
    <xf borderId="6" fillId="5" fontId="9" numFmtId="0" xfId="0" applyAlignment="1" applyBorder="1" applyFont="1">
      <alignment horizontal="right" shrinkToFit="0" vertical="center" wrapText="0"/>
    </xf>
    <xf borderId="6" fillId="11" fontId="13" numFmtId="0" xfId="0" applyAlignment="1" applyBorder="1" applyFont="1">
      <alignment horizontal="left" shrinkToFit="0" vertical="center" wrapText="1"/>
    </xf>
    <xf borderId="6" fillId="11" fontId="9" numFmtId="164" xfId="0" applyAlignment="1" applyBorder="1" applyFont="1" applyNumberFormat="1">
      <alignment horizontal="right" shrinkToFit="0" vertical="center" wrapText="0"/>
    </xf>
    <xf borderId="6" fillId="11" fontId="9" numFmtId="0" xfId="0" applyAlignment="1" applyBorder="1" applyFont="1">
      <alignment horizontal="center" shrinkToFit="0" vertical="center" wrapText="1"/>
    </xf>
    <xf borderId="6" fillId="11" fontId="13" numFmtId="0" xfId="0" applyAlignment="1" applyBorder="1" applyFont="1">
      <alignment horizontal="center" shrinkToFit="0" vertical="center" wrapText="1"/>
    </xf>
    <xf borderId="6" fillId="11" fontId="9" numFmtId="0" xfId="0" applyAlignment="1" applyBorder="1" applyFont="1">
      <alignment horizontal="right" shrinkToFit="0" vertical="center" wrapText="0"/>
    </xf>
    <xf borderId="3" fillId="9" fontId="19" numFmtId="0" xfId="0" applyAlignment="1" applyBorder="1" applyFont="1">
      <alignment horizontal="left" shrinkToFit="0" vertical="center" wrapText="1"/>
    </xf>
    <xf borderId="6" fillId="3" fontId="16" numFmtId="0" xfId="0" applyAlignment="1" applyBorder="1" applyFont="1">
      <alignment horizontal="center" readingOrder="0" shrinkToFit="0" vertical="center" wrapText="1"/>
    </xf>
    <xf borderId="6" fillId="11" fontId="9" numFmtId="167" xfId="0" applyAlignment="1" applyBorder="1" applyFont="1" applyNumberFormat="1">
      <alignment horizontal="center" shrinkToFit="0" vertical="center" wrapText="1"/>
    </xf>
    <xf borderId="6" fillId="11" fontId="22" numFmtId="0" xfId="0" applyAlignment="1" applyBorder="1" applyFont="1">
      <alignment horizontal="center" shrinkToFit="0" vertical="center" wrapText="1"/>
    </xf>
    <xf borderId="6" fillId="11" fontId="9" numFmtId="4" xfId="0" applyAlignment="1" applyBorder="1" applyFont="1" applyNumberFormat="1">
      <alignment horizontal="right" shrinkToFit="0" vertical="center" wrapText="0"/>
    </xf>
    <xf borderId="6" fillId="9" fontId="9" numFmtId="4" xfId="0" applyAlignment="1" applyBorder="1" applyFont="1" applyNumberFormat="1">
      <alignment horizontal="right" shrinkToFit="0" vertical="center" wrapText="0"/>
    </xf>
    <xf borderId="6" fillId="9" fontId="9" numFmtId="0" xfId="0" applyAlignment="1" applyBorder="1" applyFont="1">
      <alignment horizontal="center" shrinkToFit="0" vertical="center" wrapText="1"/>
    </xf>
    <xf borderId="6" fillId="11" fontId="19" numFmtId="0" xfId="0" applyAlignment="1" applyBorder="1" applyFont="1">
      <alignment horizontal="left" shrinkToFit="0" vertical="center" wrapText="1"/>
    </xf>
    <xf borderId="6" fillId="11" fontId="9" numFmtId="167" xfId="0" applyAlignment="1" applyBorder="1" applyFont="1" applyNumberFormat="1">
      <alignment horizontal="center" readingOrder="0" shrinkToFit="0" vertical="center" wrapText="1"/>
    </xf>
    <xf borderId="6" fillId="9" fontId="9" numFmtId="164" xfId="0" applyAlignment="1" applyBorder="1" applyFont="1" applyNumberFormat="1">
      <alignment horizontal="right" shrinkToFit="0" vertical="center" wrapText="0"/>
    </xf>
    <xf borderId="6" fillId="9" fontId="9" numFmtId="167" xfId="0" applyAlignment="1" applyBorder="1" applyFont="1" applyNumberFormat="1">
      <alignment horizontal="center" shrinkToFit="0" vertical="center" wrapText="1"/>
    </xf>
    <xf borderId="6" fillId="11" fontId="19" numFmtId="0" xfId="0" applyAlignment="1" applyBorder="1" applyFont="1">
      <alignment horizontal="center" shrinkToFit="0" vertical="center" wrapText="1"/>
    </xf>
    <xf borderId="6" fillId="5" fontId="9" numFmtId="168" xfId="0" applyAlignment="1" applyBorder="1" applyFont="1" applyNumberFormat="1">
      <alignment horizontal="right" readingOrder="0" shrinkToFit="0" vertical="center" wrapText="0"/>
    </xf>
    <xf borderId="6" fillId="8" fontId="22" numFmtId="0" xfId="0" applyAlignment="1" applyBorder="1" applyFont="1">
      <alignment horizontal="center" shrinkToFit="0" vertical="center" wrapText="1"/>
    </xf>
    <xf borderId="6" fillId="8" fontId="9" numFmtId="0" xfId="0" applyAlignment="1" applyBorder="1" applyFont="1">
      <alignment horizontal="center" shrinkToFit="0" vertical="center" wrapText="1"/>
    </xf>
    <xf borderId="6" fillId="8" fontId="9" numFmtId="4" xfId="0" applyAlignment="1" applyBorder="1" applyFont="1" applyNumberFormat="1">
      <alignment horizontal="right" shrinkToFit="0" vertical="center" wrapText="0"/>
    </xf>
    <xf borderId="6" fillId="8" fontId="19" numFmtId="0" xfId="0" applyAlignment="1" applyBorder="1" applyFont="1">
      <alignment horizontal="left" shrinkToFit="0" vertical="center" wrapText="1"/>
    </xf>
    <xf borderId="6" fillId="8" fontId="9" numFmtId="167" xfId="0" applyAlignment="1" applyBorder="1" applyFont="1" applyNumberFormat="1">
      <alignment horizontal="center" shrinkToFit="0" vertical="center" wrapText="1"/>
    </xf>
    <xf borderId="6" fillId="8" fontId="19" numFmtId="0" xfId="0" applyAlignment="1" applyBorder="1" applyFont="1">
      <alignment horizontal="center" shrinkToFit="0" vertical="center" wrapText="1"/>
    </xf>
    <xf borderId="6" fillId="8" fontId="9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readingOrder="0" shrinkToFit="0" vertical="bottom" wrapText="0"/>
    </xf>
    <xf borderId="6" fillId="11" fontId="19" numFmtId="0" xfId="0" applyAlignment="1" applyBorder="1" applyFont="1">
      <alignment horizontal="left" readingOrder="0" shrinkToFit="0" vertical="center" wrapText="1"/>
    </xf>
    <xf borderId="6" fillId="9" fontId="9" numFmtId="14" xfId="0" applyAlignment="1" applyBorder="1" applyFont="1" applyNumberFormat="1">
      <alignment horizontal="center" shrinkToFit="0" vertical="center" wrapText="1"/>
    </xf>
    <xf borderId="1" fillId="4" fontId="23" numFmtId="0" xfId="0" applyAlignment="1" applyBorder="1" applyFont="1">
      <alignment horizontal="left" shrinkToFit="0" vertical="center" wrapText="1"/>
    </xf>
    <xf borderId="6" fillId="8" fontId="11" numFmtId="4" xfId="0" applyAlignment="1" applyBorder="1" applyFont="1" applyNumberFormat="1">
      <alignment horizontal="right" shrinkToFit="0" vertical="center" wrapText="0"/>
    </xf>
    <xf borderId="6" fillId="4" fontId="22" numFmtId="0" xfId="0" applyAlignment="1" applyBorder="1" applyFont="1">
      <alignment horizontal="center" shrinkToFit="0" vertical="center" wrapText="1"/>
    </xf>
    <xf borderId="6" fillId="4" fontId="9" numFmtId="4" xfId="0" applyAlignment="1" applyBorder="1" applyFont="1" applyNumberFormat="1">
      <alignment horizontal="right" shrinkToFit="0" vertical="center" wrapText="0"/>
    </xf>
    <xf borderId="3" fillId="6" fontId="24" numFmtId="0" xfId="0" applyAlignment="1" applyBorder="1" applyFont="1">
      <alignment horizontal="left" shrinkToFit="0" vertical="center" wrapText="1"/>
    </xf>
    <xf borderId="6" fillId="10" fontId="16" numFmtId="0" xfId="0" applyAlignment="1" applyBorder="1" applyFont="1">
      <alignment horizontal="center" shrinkToFit="0" vertical="center" wrapText="1"/>
    </xf>
    <xf borderId="6" fillId="4" fontId="25" numFmtId="0" xfId="0" applyAlignment="1" applyBorder="1" applyFont="1">
      <alignment horizontal="center" shrinkToFit="0" vertical="center" wrapText="1"/>
    </xf>
    <xf borderId="6" fillId="11" fontId="25" numFmtId="0" xfId="0" applyAlignment="1" applyBorder="1" applyFont="1">
      <alignment horizontal="center" shrinkToFit="0" vertical="center" wrapText="1"/>
    </xf>
    <xf borderId="1" fillId="13" fontId="5" numFmtId="0" xfId="0" applyAlignment="1" applyBorder="1" applyFill="1" applyFont="1">
      <alignment horizontal="center" shrinkToFit="0" vertical="center" wrapText="1"/>
    </xf>
    <xf borderId="6" fillId="13" fontId="16" numFmtId="0" xfId="0" applyAlignment="1" applyBorder="1" applyFont="1">
      <alignment horizontal="center" shrinkToFit="0" vertical="center" wrapText="1"/>
    </xf>
    <xf borderId="6" fillId="4" fontId="21" numFmtId="0" xfId="0" applyAlignment="1" applyBorder="1" applyFont="1">
      <alignment horizontal="center" shrinkToFit="0" vertical="center" wrapText="1"/>
    </xf>
    <xf borderId="6" fillId="11" fontId="21" numFmtId="0" xfId="0" applyAlignment="1" applyBorder="1" applyFont="1">
      <alignment horizontal="center" shrinkToFit="0" vertical="center" wrapText="1"/>
    </xf>
    <xf borderId="6" fillId="6" fontId="21" numFmtId="4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sz val="9.0"/>
        <color rgb="FF922B21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2137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7.5"/>
    <col customWidth="1" min="3" max="4" width="12.25"/>
    <col customWidth="1" min="5" max="6" width="15.75"/>
    <col customWidth="1" min="7" max="7" width="19.25"/>
    <col customWidth="1" min="8" max="8" width="14.0"/>
    <col customWidth="1" min="9" max="14" width="10.5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8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5.0" customHeight="1">
      <c r="A4" s="5" t="s">
        <v>2</v>
      </c>
      <c r="B4" s="2"/>
      <c r="C4" s="2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ht="15.0" customHeight="1">
      <c r="A5" s="6" t="s">
        <v>3</v>
      </c>
      <c r="B5" s="7"/>
      <c r="C5" s="8" t="s">
        <v>4</v>
      </c>
      <c r="D5" s="9"/>
      <c r="E5" s="7"/>
      <c r="F5" s="10" t="s">
        <v>5</v>
      </c>
    </row>
    <row r="6" ht="15.0" customHeight="1">
      <c r="A6" s="6" t="s">
        <v>6</v>
      </c>
      <c r="B6" s="7"/>
      <c r="C6" s="8" t="s">
        <v>7</v>
      </c>
      <c r="D6" s="9"/>
      <c r="E6" s="7"/>
      <c r="F6" s="10" t="s">
        <v>8</v>
      </c>
    </row>
    <row r="7" ht="15.0" customHeight="1">
      <c r="A7" s="6" t="s">
        <v>9</v>
      </c>
      <c r="B7" s="7"/>
      <c r="C7" s="8" t="s">
        <v>10</v>
      </c>
      <c r="D7" s="9"/>
      <c r="E7" s="7"/>
      <c r="F7" s="10" t="s">
        <v>8</v>
      </c>
    </row>
    <row r="8" ht="15.0" customHeight="1">
      <c r="A8" s="6" t="s">
        <v>11</v>
      </c>
      <c r="B8" s="7"/>
      <c r="C8" s="8" t="s">
        <v>12</v>
      </c>
      <c r="D8" s="9"/>
      <c r="E8" s="7"/>
      <c r="F8" s="10" t="s">
        <v>13</v>
      </c>
    </row>
    <row r="9" ht="15.0" customHeight="1">
      <c r="A9" s="6" t="s">
        <v>14</v>
      </c>
      <c r="B9" s="7"/>
      <c r="C9" s="8" t="s">
        <v>15</v>
      </c>
      <c r="D9" s="9"/>
      <c r="E9" s="7"/>
      <c r="F9" s="10" t="s">
        <v>16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.0" customHeight="1">
      <c r="A11" s="11" t="s">
        <v>17</v>
      </c>
      <c r="B11" s="2"/>
      <c r="C11" s="2"/>
      <c r="D11" s="2"/>
      <c r="E11" s="2"/>
      <c r="F11" s="4"/>
      <c r="G11" s="4"/>
      <c r="H11" s="4"/>
      <c r="I11" s="4"/>
      <c r="J11" s="4"/>
      <c r="K11" s="4"/>
      <c r="L11" s="4"/>
      <c r="M11" s="4"/>
      <c r="N11" s="4"/>
    </row>
    <row r="12" ht="15.0" customHeight="1">
      <c r="A12" s="12" t="s">
        <v>18</v>
      </c>
      <c r="B12" s="7"/>
      <c r="C12" s="13" t="s">
        <v>19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7"/>
    </row>
    <row r="13" ht="15.0" customHeight="1">
      <c r="A13" s="14" t="s">
        <v>20</v>
      </c>
      <c r="B13" s="7"/>
      <c r="C13" s="15" t="s">
        <v>21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7"/>
    </row>
    <row r="14" ht="15.0" customHeight="1">
      <c r="A14" s="16" t="s">
        <v>22</v>
      </c>
      <c r="B14" s="7"/>
      <c r="C14" s="17" t="s">
        <v>23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7"/>
    </row>
    <row r="15" ht="15.0" customHeight="1">
      <c r="A15" s="18" t="s">
        <v>24</v>
      </c>
      <c r="B15" s="7"/>
      <c r="C15" s="19" t="s">
        <v>25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7"/>
    </row>
    <row r="16" ht="15.0" customHeight="1">
      <c r="A16" s="6" t="s">
        <v>26</v>
      </c>
      <c r="B16" s="7"/>
      <c r="C16" s="20" t="s">
        <v>27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7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.0" customHeight="1">
      <c r="A18" s="5" t="s">
        <v>28</v>
      </c>
      <c r="B18" s="2"/>
      <c r="C18" s="2"/>
      <c r="D18" s="2"/>
      <c r="E18" s="2"/>
      <c r="F18" s="4"/>
      <c r="G18" s="4"/>
      <c r="H18" s="4"/>
      <c r="I18" s="4"/>
      <c r="J18" s="4"/>
      <c r="K18" s="4"/>
      <c r="L18" s="4"/>
      <c r="M18" s="4"/>
      <c r="N18" s="4"/>
    </row>
    <row r="19" ht="15.0" customHeight="1">
      <c r="A19" s="21" t="s">
        <v>29</v>
      </c>
      <c r="B19" s="21" t="s">
        <v>30</v>
      </c>
      <c r="C19" s="21" t="s">
        <v>31</v>
      </c>
      <c r="D19" s="22" t="s">
        <v>32</v>
      </c>
      <c r="E19" s="9"/>
      <c r="F19" s="9"/>
      <c r="G19" s="9"/>
      <c r="H19" s="9"/>
      <c r="I19" s="9"/>
      <c r="J19" s="9"/>
      <c r="K19" s="9"/>
      <c r="L19" s="9"/>
      <c r="M19" s="9"/>
      <c r="N19" s="7"/>
    </row>
    <row r="20" ht="15.0" customHeight="1">
      <c r="A20" s="20" t="s">
        <v>33</v>
      </c>
      <c r="B20" s="7"/>
      <c r="C20" s="23" t="s">
        <v>34</v>
      </c>
      <c r="D20" s="24" t="s">
        <v>35</v>
      </c>
      <c r="E20" s="9"/>
      <c r="F20" s="7"/>
      <c r="G20" s="25" t="s">
        <v>36</v>
      </c>
      <c r="H20" s="9"/>
      <c r="I20" s="9"/>
      <c r="J20" s="9"/>
      <c r="K20" s="9"/>
      <c r="L20" s="9"/>
      <c r="M20" s="9"/>
      <c r="N20" s="7"/>
    </row>
    <row r="21" ht="15.0" customHeight="1">
      <c r="A21" s="26" t="s">
        <v>37</v>
      </c>
      <c r="B21" s="7"/>
      <c r="C21" s="27" t="s">
        <v>38</v>
      </c>
      <c r="D21" s="28" t="s">
        <v>39</v>
      </c>
      <c r="E21" s="9"/>
      <c r="F21" s="7"/>
      <c r="G21" s="29" t="s">
        <v>40</v>
      </c>
      <c r="H21" s="9"/>
      <c r="I21" s="9"/>
      <c r="J21" s="9"/>
      <c r="K21" s="9"/>
      <c r="L21" s="9"/>
      <c r="M21" s="9"/>
      <c r="N21" s="7"/>
    </row>
    <row r="22" ht="15.0" customHeight="1">
      <c r="A22" s="20" t="s">
        <v>41</v>
      </c>
      <c r="B22" s="7"/>
      <c r="C22" s="23" t="s">
        <v>42</v>
      </c>
      <c r="D22" s="24" t="s">
        <v>43</v>
      </c>
      <c r="E22" s="9"/>
      <c r="F22" s="7"/>
      <c r="G22" s="25" t="s">
        <v>44</v>
      </c>
      <c r="H22" s="9"/>
      <c r="I22" s="9"/>
      <c r="J22" s="9"/>
      <c r="K22" s="9"/>
      <c r="L22" s="9"/>
      <c r="M22" s="9"/>
      <c r="N22" s="7"/>
    </row>
    <row r="23" ht="15.0" customHeight="1">
      <c r="A23" s="26" t="s">
        <v>45</v>
      </c>
      <c r="B23" s="7"/>
      <c r="C23" s="27" t="s">
        <v>46</v>
      </c>
      <c r="D23" s="28" t="s">
        <v>47</v>
      </c>
      <c r="E23" s="9"/>
      <c r="F23" s="7"/>
      <c r="G23" s="29" t="s">
        <v>48</v>
      </c>
      <c r="H23" s="9"/>
      <c r="I23" s="9"/>
      <c r="J23" s="9"/>
      <c r="K23" s="9"/>
      <c r="L23" s="9"/>
      <c r="M23" s="9"/>
      <c r="N23" s="7"/>
    </row>
    <row r="24" ht="15.0" customHeight="1">
      <c r="A24" s="30" t="s">
        <v>49</v>
      </c>
      <c r="B24" s="7"/>
      <c r="C24" s="31" t="s">
        <v>50</v>
      </c>
      <c r="D24" s="32"/>
      <c r="E24" s="9"/>
      <c r="F24" s="7"/>
      <c r="G24" s="33" t="s">
        <v>51</v>
      </c>
      <c r="H24" s="9"/>
      <c r="I24" s="9"/>
      <c r="J24" s="9"/>
      <c r="K24" s="9"/>
      <c r="L24" s="9"/>
      <c r="M24" s="9"/>
      <c r="N24" s="7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0" customHeight="1">
      <c r="A26" s="11" t="s">
        <v>52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ht="15.0" customHeight="1">
      <c r="A27" s="34" t="s">
        <v>53</v>
      </c>
      <c r="B27" s="18" t="s">
        <v>54</v>
      </c>
      <c r="C27" s="9"/>
      <c r="D27" s="7"/>
      <c r="E27" s="19" t="s">
        <v>55</v>
      </c>
      <c r="F27" s="9"/>
      <c r="G27" s="9"/>
      <c r="H27" s="9"/>
      <c r="I27" s="9"/>
      <c r="J27" s="9"/>
      <c r="K27" s="9"/>
      <c r="L27" s="9"/>
      <c r="M27" s="9"/>
      <c r="N27" s="7"/>
    </row>
    <row r="28" ht="15.0" customHeight="1">
      <c r="A28" s="35" t="s">
        <v>56</v>
      </c>
      <c r="B28" s="6" t="s">
        <v>57</v>
      </c>
      <c r="C28" s="9"/>
      <c r="D28" s="7"/>
      <c r="E28" s="20" t="s">
        <v>58</v>
      </c>
      <c r="F28" s="9"/>
      <c r="G28" s="9"/>
      <c r="H28" s="9"/>
      <c r="I28" s="9"/>
      <c r="J28" s="9"/>
      <c r="K28" s="9"/>
      <c r="L28" s="9"/>
      <c r="M28" s="9"/>
      <c r="N28" s="7"/>
    </row>
    <row r="29" ht="15.0" customHeight="1">
      <c r="A29" s="34" t="s">
        <v>59</v>
      </c>
      <c r="B29" s="18" t="s">
        <v>60</v>
      </c>
      <c r="C29" s="9"/>
      <c r="D29" s="7"/>
      <c r="E29" s="19" t="s">
        <v>61</v>
      </c>
      <c r="F29" s="9"/>
      <c r="G29" s="9"/>
      <c r="H29" s="9"/>
      <c r="I29" s="9"/>
      <c r="J29" s="9"/>
      <c r="K29" s="9"/>
      <c r="L29" s="9"/>
      <c r="M29" s="9"/>
      <c r="N29" s="7"/>
    </row>
    <row r="30" ht="15.0" customHeight="1">
      <c r="A30" s="35" t="s">
        <v>62</v>
      </c>
      <c r="B30" s="6" t="s">
        <v>63</v>
      </c>
      <c r="C30" s="9"/>
      <c r="D30" s="7"/>
      <c r="E30" s="20" t="s">
        <v>64</v>
      </c>
      <c r="F30" s="9"/>
      <c r="G30" s="9"/>
      <c r="H30" s="9"/>
      <c r="I30" s="9"/>
      <c r="J30" s="9"/>
      <c r="K30" s="9"/>
      <c r="L30" s="9"/>
      <c r="M30" s="9"/>
      <c r="N30" s="7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D23:F23"/>
    <mergeCell ref="G23:N23"/>
    <mergeCell ref="A21:B21"/>
    <mergeCell ref="D21:F21"/>
    <mergeCell ref="G21:N21"/>
    <mergeCell ref="A22:B22"/>
    <mergeCell ref="D22:F22"/>
    <mergeCell ref="G22:N22"/>
    <mergeCell ref="A23:B23"/>
    <mergeCell ref="B28:D28"/>
    <mergeCell ref="B29:D29"/>
    <mergeCell ref="B30:D30"/>
    <mergeCell ref="E29:N29"/>
    <mergeCell ref="E30:N30"/>
    <mergeCell ref="A24:B24"/>
    <mergeCell ref="D24:F24"/>
    <mergeCell ref="G24:N24"/>
    <mergeCell ref="A26:N26"/>
    <mergeCell ref="B27:D27"/>
    <mergeCell ref="E27:N27"/>
    <mergeCell ref="E28:N28"/>
    <mergeCell ref="C6:E6"/>
    <mergeCell ref="F6:N6"/>
    <mergeCell ref="A1:N1"/>
    <mergeCell ref="A2:N2"/>
    <mergeCell ref="A4:E4"/>
    <mergeCell ref="A5:B5"/>
    <mergeCell ref="C5:E5"/>
    <mergeCell ref="F5:N5"/>
    <mergeCell ref="A6:B6"/>
    <mergeCell ref="C9:E9"/>
    <mergeCell ref="F9:N9"/>
    <mergeCell ref="A7:B7"/>
    <mergeCell ref="C7:E7"/>
    <mergeCell ref="F7:N7"/>
    <mergeCell ref="A8:B8"/>
    <mergeCell ref="C8:E8"/>
    <mergeCell ref="F8:N8"/>
    <mergeCell ref="A9:B9"/>
    <mergeCell ref="A11:E11"/>
    <mergeCell ref="A12:B12"/>
    <mergeCell ref="C12:N12"/>
    <mergeCell ref="A13:B13"/>
    <mergeCell ref="C13:N13"/>
    <mergeCell ref="A14:B14"/>
    <mergeCell ref="C14:N14"/>
    <mergeCell ref="D20:F20"/>
    <mergeCell ref="G20:N20"/>
    <mergeCell ref="A15:B15"/>
    <mergeCell ref="C15:N15"/>
    <mergeCell ref="A16:B16"/>
    <mergeCell ref="C16:N16"/>
    <mergeCell ref="A18:E18"/>
    <mergeCell ref="D19:N19"/>
    <mergeCell ref="A20:B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4F72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7.13"/>
    <col customWidth="1" min="2" max="5" width="10.5"/>
    <col customWidth="1" min="6" max="6" width="13.13"/>
    <col customWidth="1" min="7" max="7" width="10.5"/>
    <col customWidth="1" min="8" max="8" width="11.38"/>
    <col customWidth="1" min="9" max="10" width="8.75"/>
    <col customWidth="1" min="11" max="11" width="14.0"/>
    <col customWidth="1" min="12" max="13" width="8.75"/>
    <col customWidth="1" min="14" max="14" width="11.38"/>
    <col customWidth="1" min="15" max="15" width="15.75"/>
    <col customWidth="1" min="16" max="16" width="14.88"/>
    <col customWidth="1" min="17" max="17" width="8.75"/>
    <col customWidth="1" min="18" max="18" width="11.38"/>
    <col customWidth="1" min="25" max="25" width="17.63"/>
    <col customWidth="1" min="33" max="33" width="20.25"/>
  </cols>
  <sheetData>
    <row r="1" ht="15.0" customHeight="1">
      <c r="A1" s="36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6" t="s">
        <v>65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15.0" customHeight="1">
      <c r="A2" s="3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30.0" customHeight="1">
      <c r="A3" s="37" t="s">
        <v>67</v>
      </c>
      <c r="B3" s="37" t="s">
        <v>68</v>
      </c>
      <c r="C3" s="37" t="s">
        <v>69</v>
      </c>
      <c r="D3" s="37" t="s">
        <v>70</v>
      </c>
      <c r="E3" s="37" t="s">
        <v>71</v>
      </c>
      <c r="F3" s="37" t="s">
        <v>72</v>
      </c>
      <c r="G3" s="37" t="s">
        <v>73</v>
      </c>
      <c r="H3" s="37" t="s">
        <v>74</v>
      </c>
      <c r="I3" s="37" t="s">
        <v>75</v>
      </c>
      <c r="J3" s="37" t="s">
        <v>76</v>
      </c>
      <c r="K3" s="37" t="s">
        <v>77</v>
      </c>
      <c r="L3" s="37" t="s">
        <v>78</v>
      </c>
      <c r="M3" s="37" t="s">
        <v>79</v>
      </c>
      <c r="N3" s="37" t="s">
        <v>80</v>
      </c>
      <c r="O3" s="37" t="s">
        <v>81</v>
      </c>
      <c r="P3" s="37" t="s">
        <v>82</v>
      </c>
      <c r="Q3" s="37" t="s">
        <v>83</v>
      </c>
      <c r="R3" s="37" t="s">
        <v>84</v>
      </c>
      <c r="S3" s="37" t="s">
        <v>85</v>
      </c>
      <c r="T3" s="37" t="s">
        <v>86</v>
      </c>
      <c r="U3" s="37" t="s">
        <v>87</v>
      </c>
      <c r="V3" s="37" t="s">
        <v>88</v>
      </c>
      <c r="W3" s="37" t="s">
        <v>89</v>
      </c>
      <c r="X3" s="37" t="s">
        <v>90</v>
      </c>
      <c r="Y3" s="37" t="s">
        <v>91</v>
      </c>
      <c r="Z3" s="37" t="s">
        <v>92</v>
      </c>
      <c r="AA3" s="37" t="s">
        <v>93</v>
      </c>
      <c r="AB3" s="37" t="s">
        <v>94</v>
      </c>
      <c r="AC3" s="37" t="s">
        <v>95</v>
      </c>
      <c r="AD3" s="37" t="s">
        <v>96</v>
      </c>
      <c r="AE3" s="38" t="s">
        <v>97</v>
      </c>
      <c r="AF3" s="38" t="s">
        <v>98</v>
      </c>
      <c r="AG3" s="38" t="s">
        <v>99</v>
      </c>
    </row>
    <row r="4" ht="21.75" customHeight="1">
      <c r="A4" s="39"/>
      <c r="B4" s="39" t="s">
        <v>100</v>
      </c>
      <c r="C4" s="39" t="s">
        <v>101</v>
      </c>
      <c r="D4" s="39" t="s">
        <v>102</v>
      </c>
      <c r="E4" s="39" t="s">
        <v>103</v>
      </c>
      <c r="F4" s="39" t="s">
        <v>104</v>
      </c>
      <c r="G4" s="39" t="s">
        <v>104</v>
      </c>
      <c r="H4" s="39" t="s">
        <v>104</v>
      </c>
      <c r="I4" s="39" t="s">
        <v>104</v>
      </c>
      <c r="J4" s="39" t="s">
        <v>104</v>
      </c>
      <c r="K4" s="39" t="s">
        <v>105</v>
      </c>
      <c r="L4" s="39" t="s">
        <v>104</v>
      </c>
      <c r="M4" s="39" t="s">
        <v>104</v>
      </c>
      <c r="N4" s="39" t="s">
        <v>106</v>
      </c>
      <c r="O4" s="39" t="s">
        <v>107</v>
      </c>
      <c r="P4" s="39" t="s">
        <v>104</v>
      </c>
      <c r="Q4" s="39" t="s">
        <v>108</v>
      </c>
      <c r="R4" s="39" t="s">
        <v>104</v>
      </c>
      <c r="S4" s="39" t="s">
        <v>109</v>
      </c>
      <c r="T4" s="39" t="s">
        <v>110</v>
      </c>
      <c r="U4" s="40" t="s">
        <v>87</v>
      </c>
      <c r="V4" s="40" t="s">
        <v>111</v>
      </c>
      <c r="W4" s="40" t="s">
        <v>112</v>
      </c>
      <c r="X4" s="40" t="s">
        <v>113</v>
      </c>
      <c r="Y4" s="40" t="s">
        <v>114</v>
      </c>
      <c r="Z4" s="40" t="s">
        <v>115</v>
      </c>
      <c r="AA4" s="40" t="s">
        <v>93</v>
      </c>
      <c r="AB4" s="40" t="s">
        <v>116</v>
      </c>
      <c r="AC4" s="40" t="s">
        <v>95</v>
      </c>
      <c r="AD4" s="40" t="s">
        <v>96</v>
      </c>
      <c r="AE4" s="41" t="s">
        <v>117</v>
      </c>
      <c r="AF4" s="41" t="s">
        <v>118</v>
      </c>
      <c r="AG4" s="42" t="s">
        <v>119</v>
      </c>
    </row>
    <row r="5" ht="15.0" customHeight="1">
      <c r="A5" s="43" t="s">
        <v>120</v>
      </c>
      <c r="B5" s="44">
        <f>IFERROR(__xludf.DUMMYFUNCTION("GOOGLEFINANCE(A5,""price"")"),634.0)</f>
        <v>634</v>
      </c>
      <c r="C5" s="45">
        <f>IFERROR(__xludf.DUMMYFUNCTION("AVERAGE(QUERY(SORT(GOOGLEFINANCE(A5,""price"",TODAY()-150,TODAY()),1,0),""select Col2 limit 50""))"),859.1450000000001)</f>
        <v>859.145</v>
      </c>
      <c r="D5" s="45">
        <f>IFERROR(__xludf.DUMMYFUNCTION("AVERAGE(QUERY(SORT(GOOGLEFINANCE(A5,""price"",TODAY()-300,TODAY()),1,0),""select Col2 limit 100""))"),1029.7394999999997)</f>
        <v>1029.7395</v>
      </c>
      <c r="E5" s="45">
        <f>IFERROR(__xludf.DUMMYFUNCTION("AVERAGE(QUERY(SORT(GOOGLEFINANCE(A5,""price"",TODAY()-500,TODAY()),1,0),""select Col2 limit 200""))"),1134.1422499999994)</f>
        <v>1134.14225</v>
      </c>
      <c r="F5" s="46" t="str">
        <f t="shared" ref="F5:F503" si="1">IF(AND(B5&gt;C5,B5&gt;D5,B5&gt;E5),"In Bull Run",IF(AND(B5&lt;C5,B5&lt;D5,B5&lt;E5),"In Bear Run","Unconfirmed"))</f>
        <v>In Bear Run</v>
      </c>
      <c r="G5" s="47">
        <f t="shared" ref="G5:G503" si="2">IF(E5&gt;0,(B5-E5)/E5*100,"")</f>
        <v>-44.09872307</v>
      </c>
      <c r="H5" s="48" t="str">
        <f t="shared" ref="H5:H503" si="3">IF(AND(C5&gt;D5,D5&gt;E5),"Golden ✓","Inverted ✗")</f>
        <v>Inverted ✗</v>
      </c>
      <c r="I5" s="48">
        <f t="shared" ref="I5:I503" si="4">IF(H5="Golden ✓",3,0)</f>
        <v>0</v>
      </c>
      <c r="J5" s="48">
        <f t="shared" ref="J5:J503" si="5">IF(AND(G5&gt;=3,G5&lt;=12),4,IF(AND(G5&gt;=0,G5&lt;3),2,0))</f>
        <v>0</v>
      </c>
      <c r="K5" s="49" t="str">
        <f>IFERROR(__xludf.DUMMYFUNCTION("IFERROR(IF(A5="""",""ENTER STOCK"",LET(stock,A5,raw_high,GOOGLEFINANCE(stock,""high"",TODAY()-364,TODAY()),high_date,IFERROR(TO_DATE(INDEX(SORT(raw_high,2,0),2,1)),TODAY()-30),data,IFERROR(GOOGLEFINANCE(stock,""close"",high_date,TODAY()),GOOGLEFINANCE(sto"&amp;"ck,""close"",TODAY()-10,TODAY())),prices,INDEX(data,0,2),count_rows,ROWS(prices),cum_avg,SCAN(0,SEQUENCE(count_rows),LAMBDA(a,n,IFERROR(AVERAGE(CHOOSEROWS(prices,SEQUENCE(n))),0))),last_10_avgs,IFERROR(QUERY({IFERROR(QUERY(data,""SELECT Col1"",1),SEQUENCE"&amp;"(count_rows)),cum_avg},""SELECT Col2 WHERE Col1 IS NOT NULL ORDER BY Col1 DESC LIMIT 10"",0),{0;0;0;0;0;0;0;0;0;0}),check,IF(ROWS(last_10_avgs)&lt;10,0,SUMPRODUCT(--(CHOOSECOLS(last_10_avgs,1)&gt;{INDEX(last_10_avgs,2);INDEX(last_10_avgs,3);INDEX(last_10_avgs,4"&amp;"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" s="48">
        <f t="shared" ref="L5:L503" si="6">IF(K5="Buy/Average Out",2,0)</f>
        <v>0</v>
      </c>
      <c r="M5" s="48">
        <f t="shared" ref="M5:M503" si="7">IF(AND(C5&lt;&gt;D5,D5&lt;&gt;E5,C5&gt;0,D5&gt;0,E5&gt;0),1,0)</f>
        <v>1</v>
      </c>
      <c r="N5" s="50">
        <f t="shared" ref="N5:N503" si="8">I5+J5+L5+M5</f>
        <v>1</v>
      </c>
      <c r="O5" s="51" t="s">
        <v>121</v>
      </c>
      <c r="P5" s="46" t="str">
        <f t="shared" ref="P5:P503" si="9">IF(F5="In Bull Run",IF(N5&gt;=9,"PRIME BUY ★",IF(N5&gt;=7,"PRIME BUY",IF(N5&gt;=5,"WATCH","SKIP"))),IF(F5="In Bear Run","REVERSE TRADE","WAIT"))</f>
        <v>REVERSE TRADE</v>
      </c>
      <c r="Q5" s="52"/>
      <c r="R5" s="53">
        <f t="shared" ref="R5:R503" si="10">IF(Q5&gt;0,IF(2*Q5*2&lt;5,5,IF(2*Q5*2&gt;20,20,ROUND(2*Q5*2,1))),15)</f>
        <v>15</v>
      </c>
      <c r="S5" s="53">
        <f>IFERROR(__xludf.DUMMYFUNCTION("IFERROR(ROUND(GOOGLEFINANCE(A5,""volume"")/GOOGLEFINANCE(A5,""volumeavg""),2),"""")"),0.83)</f>
        <v>0.83</v>
      </c>
      <c r="T5" s="53" t="str">
        <f t="shared" ref="T5:T503" si="11">IF(S5="", "", IF(S5&gt;=1.5, "HIGH VOL", IF(S5&gt;=1.2, "OK VOL", "LOW VOL")))</f>
        <v>LOW VOL</v>
      </c>
      <c r="U5" s="53">
        <f>IFERROR(__xludf.DUMMYFUNCTION("IFERROR(
  LET(
    sd, GOOGLEFINANCE(A5,""close"",TODAY()-100,TODAY()),
    sp, CHOOSECOLS(sd,2),
    np, NIFTY_DATA!$B$2:$B$80,
    n,  MIN(ROWS(sp)-2, COUNTA(np)-1),
    sr, MAKEARRAY(n,1,LAMBDA(i,j, INDEX(sp,i+2)/INDEX(sp,i+1)-1 )),
    nr, MAKEARRAY("&amp;"n,1,LAMBDA(i,j, INDEX(np,i+1)/INDEX(np,i)-1   )),
    ROUND(SLOPE(sr,nr),2)
  ),
"""")"),0.86)</f>
        <v>0.86</v>
      </c>
      <c r="V5" s="53" t="str">
        <f t="shared" ref="V5:V503" si="12">IF(U5="","",IF(U5&gt;=1.2,"FAST",IF(U5&gt;=0.9,"MEDIUM","SLOW")))</f>
        <v>SLOW</v>
      </c>
      <c r="W5" s="53">
        <f>IFERROR(__xludf.DUMMYFUNCTION("IFERROR(ROUND((B5/GOOGLEFINANCE(A5,""high52"")-1)*100,1),"""")"),-55.8)</f>
        <v>-55.8</v>
      </c>
      <c r="X5" s="53">
        <f>IFERROR(__xludf.DUMMYFUNCTION("IFERROR(ROUND((B5-GOOGLEFINANCE(A5,""low52""))/(GOOGLEFINANCE(A5,""high52"")-GOOGLEFINANCE(A5,""low52""))*100,1),"""")"),1.1)</f>
        <v>1.1</v>
      </c>
      <c r="Y5" s="53" t="str">
        <f t="shared" ref="Y5:Y503" si="13">IF(W5="","",IF(W5&gt;=-5,"AT HIGH",IF(W5&gt;=-20,"UPPER",IF(W5&gt;=-40,"MID","DEEP RECOVERY"))))</f>
        <v>DEEP RECOVERY</v>
      </c>
      <c r="Z5" s="53">
        <f>IFERROR(__xludf.DUMMYFUNCTION("IFERROR(ROUND(((B5 / INDEX(GOOGLEFINANCE(TRIM(A5), ""price"", TODAY()-34, TODAY()), 2, 2)) - (GOOGLEFINANCE(""NIFTY_50"") / INDEX(GOOGLEFINANCE(""NIFTY_50"", ""price"", TODAY()-34, TODAY()), 2, 2))) * 100, 2), ""Check History"")"),-4.47)</f>
        <v>-4.47</v>
      </c>
      <c r="AA5" s="53" t="str">
        <f t="shared" ref="AA5:AA503" si="14">IF(Z5="","",IF(Z5&gt;5,"STRONG RS",IF(Z5&gt;0,"MILD RS","WEAK RS")))</f>
        <v>WEAK RS</v>
      </c>
      <c r="AB5" s="53">
        <f>IFERROR(__xludf.DUMMYFUNCTION("IFERROR(LET(
  p, QUERY(GOOGLEFINANCE(TRIM(A5), ""price"", TODAY()-25, TODAY()), ""select Col2 where Col2 is not null order by Col1 desc limit 15"", 0),
  changes, ARRAYFORMULA(QUERY(p, ""limit 14 offset 0"", 0) - QUERY(p, ""limit 14 offset 1"", 0)),
  av"&amp;"g_gain, AVERAGEIF(changes, ""&gt;0""),
  avg_loss, ABS(AVERAGEIF(changes, ""&lt;0"")),
  IF(avg_loss=0, 100, ROUND(100 - (100 / (1 + (avg_gain / avg_loss))), 1))
), ""Data Loading"")"),43.9)</f>
        <v>43.9</v>
      </c>
      <c r="AC5" s="53" t="str">
        <f t="shared" ref="AC5:AC503" si="15">IF(AB5="","",IF(AND(AB5&gt;=45,AB5&lt;=68),"IDEAL ENTRY",IF(AB5&gt;68,"OVERBOUGHT","WEAK MOM")))</f>
        <v>WEAK MOM</v>
      </c>
      <c r="AD5" s="53" t="str">
        <f>IFERROR(__xludf.DUMMYFUNCTION("IFERROR(IF(GOOGLEFINANCE(A5,""eps"")&gt;0,""EPS+"",""EPS-""),"""")"),"EPS+")</f>
        <v>EPS+</v>
      </c>
      <c r="AE5" s="53">
        <f t="shared" ref="AE5:AE503" si="16">IFERROR(IF(U5&gt;=1.2,3,IF(U5&gt;=0.9,2,IF(U5&gt;=0.6,1,0)))+IF(S5&gt;=1.5,3,IF(S5&gt;=1.2,2,IF(S5&gt;=1,1,0)))+IF(Z5&gt;5,2,IF(Z5&gt;0,1,0))+IF(X5&gt;=75,2,IF(X5&gt;=50,1,0)),"")</f>
        <v>1</v>
      </c>
      <c r="AF5" s="53">
        <f>IFERROR(__xludf.DUMMYFUNCTION("IFERROR(N5+IF(S5&gt;=1.2,1,0)+IF(U5&gt;=1,1,0)+IF(Z5&gt;0,1,0)+IF(AND(W5&gt;=-20,W5&lt;=0),1,0)+IF(IFERROR(GOOGLEFINANCE(A5,""eps""),0)&gt;0,1,0),"""")"),2.0)</f>
        <v>2</v>
      </c>
      <c r="AG5" s="53" t="str">
        <f t="shared" ref="AG5:AG503" si="17">IF(AF5="","",IF(F5="In Bull Run",IF(AND(AF5&gt;=13,AE5&gt;=7),"PRIME FAST [&lt;10d]",IF(AND(AF5&gt;=10,AE5&gt;=4),"PRIME BUY [10-20d]",IF(AF5&gt;=8,"BUY",IF(AF5&gt;=6,"WATCH","SKIP")))),IF(F5="In Bear Run","REVERSE TRADE","WAIT")))</f>
        <v>REVERSE TRADE</v>
      </c>
    </row>
    <row r="6" ht="15.0" customHeight="1">
      <c r="A6" s="43" t="s">
        <v>122</v>
      </c>
      <c r="B6" s="44">
        <f>IFERROR(__xludf.DUMMYFUNCTION("GOOGLEFINANCE(A6,""price"")"),423.1)</f>
        <v>423.1</v>
      </c>
      <c r="C6" s="45">
        <f>IFERROR(__xludf.DUMMYFUNCTION("AVERAGE(QUERY(SORT(GOOGLEFINANCE(A6,""price"",TODAY()-150,TODAY()),1,0),""select Col2 limit 50""))"),551.0220000000002)</f>
        <v>551.022</v>
      </c>
      <c r="D6" s="45">
        <f>IFERROR(__xludf.DUMMYFUNCTION("AVERAGE(QUERY(SORT(GOOGLEFINANCE(A6,""price"",TODAY()-300,TODAY()),1,0),""select Col2 limit 100""))"),643.3114999999999)</f>
        <v>643.3115</v>
      </c>
      <c r="E6" s="45">
        <f>IFERROR(__xludf.DUMMYFUNCTION("AVERAGE(QUERY(SORT(GOOGLEFINANCE(A6,""price"",TODAY()-500,TODAY()),1,0),""select Col2 limit 200""))"),706.27025)</f>
        <v>706.27025</v>
      </c>
      <c r="F6" s="46" t="str">
        <f t="shared" si="1"/>
        <v>In Bear Run</v>
      </c>
      <c r="G6" s="47">
        <f t="shared" si="2"/>
        <v>-40.09375306</v>
      </c>
      <c r="H6" s="48" t="str">
        <f t="shared" si="3"/>
        <v>Inverted ✗</v>
      </c>
      <c r="I6" s="48">
        <f t="shared" si="4"/>
        <v>0</v>
      </c>
      <c r="J6" s="48">
        <f t="shared" si="5"/>
        <v>0</v>
      </c>
      <c r="K6" s="49" t="str">
        <f>IFERROR(__xludf.DUMMYFUNCTION("IFERROR(IF(A6="""",""ENTER STOCK"",LET(stock,A6,raw_high,GOOGLEFINANCE(stock,""high"",TODAY()-364,TODAY()),high_date,IFERROR(TO_DATE(INDEX(SORT(raw_high,2,0),2,1)),TODAY()-30),data,IFERROR(GOOGLEFINANCE(stock,""close"",high_date,TODAY()),GOOGLEFINANCE(sto"&amp;"ck,""close"",TODAY()-10,TODAY())),prices,INDEX(data,0,2),count_rows,ROWS(prices),cum_avg,SCAN(0,SEQUENCE(count_rows),LAMBDA(a,n,IFERROR(AVERAGE(CHOOSEROWS(prices,SEQUENCE(n))),0))),last_10_avgs,IFERROR(QUERY({IFERROR(QUERY(data,""SELECT Col1"",1),SEQUENCE"&amp;"(count_rows)),cum_avg},""SELECT Col2 WHERE Col1 IS NOT NULL ORDER BY Col1 DESC LIMIT 10"",0),{0;0;0;0;0;0;0;0;0;0}),check,IF(ROWS(last_10_avgs)&lt;10,0,SUMPRODUCT(--(CHOOSECOLS(last_10_avgs,1)&gt;{INDEX(last_10_avgs,2);INDEX(last_10_avgs,3);INDEX(last_10_avgs,4"&amp;"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6" s="48">
        <f t="shared" si="6"/>
        <v>0</v>
      </c>
      <c r="M6" s="48">
        <f t="shared" si="7"/>
        <v>1</v>
      </c>
      <c r="N6" s="50">
        <f t="shared" si="8"/>
        <v>1</v>
      </c>
      <c r="O6" s="51" t="s">
        <v>121</v>
      </c>
      <c r="P6" s="46" t="str">
        <f t="shared" si="9"/>
        <v>REVERSE TRADE</v>
      </c>
      <c r="Q6" s="52"/>
      <c r="R6" s="53">
        <f t="shared" si="10"/>
        <v>15</v>
      </c>
      <c r="S6" s="53">
        <f>IFERROR(__xludf.DUMMYFUNCTION("IFERROR(ROUND(GOOGLEFINANCE(A6,""volume"")/GOOGLEFINANCE(A6,""volumeavg""),2),"""")"),0.33)</f>
        <v>0.33</v>
      </c>
      <c r="T6" s="53" t="str">
        <f t="shared" si="11"/>
        <v>LOW VOL</v>
      </c>
      <c r="U6" s="53">
        <f>IFERROR(__xludf.DUMMYFUNCTION("IFERROR(
  LET(
    sd, GOOGLEFINANCE(A6,""close"",TODAY()-100,TODAY()),
    sp, CHOOSECOLS(sd,2),
    np, NIFTY_DATA!$B$2:$B$80,
    n,  MIN(ROWS(sp)-2, COUNTA(np)-1),
    sr, MAKEARRAY(n,1,LAMBDA(i,j, INDEX(sp,i+2)/INDEX(sp,i+1)-1 )),
    nr, MAKEARRAY("&amp;"n,1,LAMBDA(i,j, INDEX(np,i+1)/INDEX(np,i)-1   )),
    ROUND(SLOPE(sr,nr),2)
  ),
"""")"),0.76)</f>
        <v>0.76</v>
      </c>
      <c r="V6" s="53" t="str">
        <f t="shared" si="12"/>
        <v>SLOW</v>
      </c>
      <c r="W6" s="53">
        <f>IFERROR(__xludf.DUMMYFUNCTION("IFERROR(ROUND((B6/GOOGLEFINANCE(A6,""high52"")-1)*100,1),"""")"),-53.0)</f>
        <v>-53</v>
      </c>
      <c r="X6" s="53">
        <f>IFERROR(__xludf.DUMMYFUNCTION("IFERROR(ROUND((B6-GOOGLEFINANCE(A6,""low52""))/(GOOGLEFINANCE(A6,""high52"")-GOOGLEFINANCE(A6,""low52""))*100,1),"""")"),4.6)</f>
        <v>4.6</v>
      </c>
      <c r="Y6" s="53" t="str">
        <f t="shared" si="13"/>
        <v>DEEP RECOVERY</v>
      </c>
      <c r="Z6" s="53">
        <f>IFERROR(__xludf.DUMMYFUNCTION("IFERROR(ROUND(((B6 / INDEX(GOOGLEFINANCE(TRIM(A6), ""price"", TODAY()-34, TODAY()), 2, 2)) - (GOOGLEFINANCE(""NIFTY_50"") / INDEX(GOOGLEFINANCE(""NIFTY_50"", ""price"", TODAY()-34, TODAY()), 2, 2))) * 100, 2), ""Check History"")"),0.83)</f>
        <v>0.83</v>
      </c>
      <c r="AA6" s="53" t="str">
        <f t="shared" si="14"/>
        <v>MILD RS</v>
      </c>
      <c r="AB6" s="53">
        <f>IFERROR(__xludf.DUMMYFUNCTION("IFERROR(LET(
  p, QUERY(GOOGLEFINANCE(TRIM(A6), ""price"", TODAY()-25, TODAY()), ""select Col2 where Col2 is not null order by Col1 desc limit 15"", 0),
  changes, ARRAYFORMULA(QUERY(p, ""limit 14 offset 0"", 0) - QUERY(p, ""limit 14 offset 1"", 0)),
  av"&amp;"g_gain, AVERAGEIF(changes, ""&gt;0""),
  avg_loss, ABS(AVERAGEIF(changes, ""&lt;0"")),
  IF(avg_loss=0, 100, ROUND(100 - (100 / (1 + (avg_gain / avg_loss))), 1))
), ""Data Loading"")"),46.7)</f>
        <v>46.7</v>
      </c>
      <c r="AC6" s="53" t="str">
        <f t="shared" si="15"/>
        <v>IDEAL ENTRY</v>
      </c>
      <c r="AD6" s="53" t="str">
        <f>IFERROR(__xludf.DUMMYFUNCTION("IFERROR(IF(GOOGLEFINANCE(A6,""eps"")&gt;0,""EPS+"",""EPS-""),"""")"),"EPS+")</f>
        <v>EPS+</v>
      </c>
      <c r="AE6" s="53">
        <f t="shared" si="16"/>
        <v>2</v>
      </c>
      <c r="AF6" s="53">
        <f>IFERROR(__xludf.DUMMYFUNCTION("IFERROR(N6+IF(S6&gt;=1.2,1,0)+IF(U6&gt;=1,1,0)+IF(Z6&gt;0,1,0)+IF(AND(W6&gt;=-20,W6&lt;=0),1,0)+IF(IFERROR(GOOGLEFINANCE(A6,""eps""),0)&gt;0,1,0),"""")"),3.0)</f>
        <v>3</v>
      </c>
      <c r="AG6" s="53" t="str">
        <f t="shared" si="17"/>
        <v>REVERSE TRADE</v>
      </c>
      <c r="AI6" s="54"/>
    </row>
    <row r="7" ht="15.0" customHeight="1">
      <c r="A7" s="43" t="s">
        <v>123</v>
      </c>
      <c r="B7" s="44">
        <f>IFERROR(__xludf.DUMMYFUNCTION("GOOGLEFINANCE(A7,""price"")"),389.15)</f>
        <v>389.15</v>
      </c>
      <c r="C7" s="45">
        <f>IFERROR(__xludf.DUMMYFUNCTION("AVERAGE(QUERY(SORT(GOOGLEFINANCE(A7,""price"",TODAY()-150,TODAY()),1,0),""select Col2 limit 50""))"),455.9849999999999)</f>
        <v>455.985</v>
      </c>
      <c r="D7" s="45">
        <f>IFERROR(__xludf.DUMMYFUNCTION("AVERAGE(QUERY(SORT(GOOGLEFINANCE(A7,""price"",TODAY()-300,TODAY()),1,0),""select Col2 limit 100""))"),550.244)</f>
        <v>550.244</v>
      </c>
      <c r="E7" s="45">
        <f>IFERROR(__xludf.DUMMYFUNCTION("AVERAGE(QUERY(SORT(GOOGLEFINANCE(A7,""price"",TODAY()-500,TODAY()),1,0),""select Col2 limit 200""))"),601.6789999999999)</f>
        <v>601.679</v>
      </c>
      <c r="F7" s="46" t="str">
        <f t="shared" si="1"/>
        <v>In Bear Run</v>
      </c>
      <c r="G7" s="47">
        <f t="shared" si="2"/>
        <v>-35.32265544</v>
      </c>
      <c r="H7" s="48" t="str">
        <f t="shared" si="3"/>
        <v>Inverted ✗</v>
      </c>
      <c r="I7" s="48">
        <f t="shared" si="4"/>
        <v>0</v>
      </c>
      <c r="J7" s="48">
        <f t="shared" si="5"/>
        <v>0</v>
      </c>
      <c r="K7" s="49" t="str">
        <f>IFERROR(__xludf.DUMMYFUNCTION("IFERROR(IF(A7="""",""ENTER STOCK"",LET(stock,A7,raw_high,GOOGLEFINANCE(stock,""high"",TODAY()-364,TODAY()),high_date,IFERROR(TO_DATE(INDEX(SORT(raw_high,2,0),2,1)),TODAY()-30),data,IFERROR(GOOGLEFINANCE(stock,""close"",high_date,TODAY()),GOOGLEFINANCE(sto"&amp;"ck,""close"",TODAY()-10,TODAY())),prices,INDEX(data,0,2),count_rows,ROWS(prices),cum_avg,SCAN(0,SEQUENCE(count_rows),LAMBDA(a,n,IFERROR(AVERAGE(CHOOSEROWS(prices,SEQUENCE(n))),0))),last_10_avgs,IFERROR(QUERY({IFERROR(QUERY(data,""SELECT Col1"",1),SEQUENCE"&amp;"(count_rows)),cum_avg},""SELECT Col2 WHERE Col1 IS NOT NULL ORDER BY Col1 DESC LIMIT 10"",0),{0;0;0;0;0;0;0;0;0;0}),check,IF(ROWS(last_10_avgs)&lt;10,0,SUMPRODUCT(--(CHOOSECOLS(last_10_avgs,1)&gt;{INDEX(last_10_avgs,2);INDEX(last_10_avgs,3);INDEX(last_10_avgs,4"&amp;"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7" s="48">
        <f t="shared" si="6"/>
        <v>0</v>
      </c>
      <c r="M7" s="48">
        <f t="shared" si="7"/>
        <v>1</v>
      </c>
      <c r="N7" s="50">
        <f t="shared" si="8"/>
        <v>1</v>
      </c>
      <c r="O7" s="51" t="s">
        <v>124</v>
      </c>
      <c r="P7" s="46" t="str">
        <f t="shared" si="9"/>
        <v>REVERSE TRADE</v>
      </c>
      <c r="Q7" s="52"/>
      <c r="R7" s="53">
        <f t="shared" si="10"/>
        <v>15</v>
      </c>
      <c r="S7" s="53">
        <f>IFERROR(__xludf.DUMMYFUNCTION("IFERROR(ROUND(GOOGLEFINANCE(A7,""volume"")/GOOGLEFINANCE(A7,""volumeavg""),2),"""")"),2.19)</f>
        <v>2.19</v>
      </c>
      <c r="T7" s="53" t="str">
        <f t="shared" si="11"/>
        <v>HIGH VOL</v>
      </c>
      <c r="U7" s="53">
        <f>IFERROR(__xludf.DUMMYFUNCTION("IFERROR(
  LET(
    sd, GOOGLEFINANCE(A7,""close"",TODAY()-100,TODAY()),
    sp, CHOOSECOLS(sd,2),
    np, NIFTY_DATA!$B$2:$B$80,
    n,  MIN(ROWS(sp)-2, COUNTA(np)-1),
    sr, MAKEARRAY(n,1,LAMBDA(i,j, INDEX(sp,i+2)/INDEX(sp,i+1)-1 )),
    nr, MAKEARRAY("&amp;"n,1,LAMBDA(i,j, INDEX(np,i+1)/INDEX(np,i)-1   )),
    ROUND(SLOPE(sr,nr),2)
  ),
"""")"),0.86)</f>
        <v>0.86</v>
      </c>
      <c r="V7" s="53" t="str">
        <f t="shared" si="12"/>
        <v>SLOW</v>
      </c>
      <c r="W7" s="53">
        <f>IFERROR(__xludf.DUMMYFUNCTION("IFERROR(ROUND((B7/GOOGLEFINANCE(A7,""high52"")-1)*100,1),"""")"),-48.8)</f>
        <v>-48.8</v>
      </c>
      <c r="X7" s="53">
        <f>IFERROR(__xludf.DUMMYFUNCTION("IFERROR(ROUND((B7-GOOGLEFINANCE(A7,""low52""))/(GOOGLEFINANCE(A7,""high52"")-GOOGLEFINANCE(A7,""low52""))*100,1),"""")"),0.6)</f>
        <v>0.6</v>
      </c>
      <c r="Y7" s="53" t="str">
        <f t="shared" si="13"/>
        <v>DEEP RECOVERY</v>
      </c>
      <c r="Z7" s="53">
        <f>IFERROR(__xludf.DUMMYFUNCTION("IFERROR(ROUND(((B7 / INDEX(GOOGLEFINANCE(TRIM(A7), ""price"", TODAY()-34, TODAY()), 2, 2)) - (GOOGLEFINANCE(""NIFTY_50"") / INDEX(GOOGLEFINANCE(""NIFTY_50"", ""price"", TODAY()-34, TODAY()), 2, 2))) * 100, 2), ""Check History"")"),1.2)</f>
        <v>1.2</v>
      </c>
      <c r="AA7" s="53" t="str">
        <f t="shared" si="14"/>
        <v>MILD RS</v>
      </c>
      <c r="AB7" s="53">
        <f>IFERROR(__xludf.DUMMYFUNCTION("IFERROR(LET(
  p, QUERY(GOOGLEFINANCE(TRIM(A7), ""price"", TODAY()-25, TODAY()), ""select Col2 where Col2 is not null order by Col1 desc limit 15"", 0),
  changes, ARRAYFORMULA(QUERY(p, ""limit 14 offset 0"", 0) - QUERY(p, ""limit 14 offset 1"", 0)),
  av"&amp;"g_gain, AVERAGEIF(changes, ""&gt;0""),
  avg_loss, ABS(AVERAGEIF(changes, ""&lt;0"")),
  IF(avg_loss=0, 100, ROUND(100 - (100 / (1 + (avg_gain / avg_loss))), 1))
), ""Data Loading"")"),46.8)</f>
        <v>46.8</v>
      </c>
      <c r="AC7" s="53" t="str">
        <f t="shared" si="15"/>
        <v>IDEAL ENTRY</v>
      </c>
      <c r="AD7" s="53" t="str">
        <f>IFERROR(__xludf.DUMMYFUNCTION("IFERROR(IF(GOOGLEFINANCE(A7,""eps"")&gt;0,""EPS+"",""EPS-""),"""")"),"EPS+")</f>
        <v>EPS+</v>
      </c>
      <c r="AE7" s="53">
        <f t="shared" si="16"/>
        <v>5</v>
      </c>
      <c r="AF7" s="53">
        <f>IFERROR(__xludf.DUMMYFUNCTION("IFERROR(N7+IF(S7&gt;=1.2,1,0)+IF(U7&gt;=1,1,0)+IF(Z7&gt;0,1,0)+IF(AND(W7&gt;=-20,W7&lt;=0),1,0)+IF(IFERROR(GOOGLEFINANCE(A7,""eps""),0)&gt;0,1,0),"""")"),4.0)</f>
        <v>4</v>
      </c>
      <c r="AG7" s="53" t="str">
        <f t="shared" si="17"/>
        <v>REVERSE TRADE</v>
      </c>
    </row>
    <row r="8" ht="15.0" customHeight="1">
      <c r="A8" s="43" t="s">
        <v>125</v>
      </c>
      <c r="B8" s="44">
        <f>IFERROR(__xludf.DUMMYFUNCTION("GOOGLEFINANCE(A8,""price"")"),1114.7)</f>
        <v>1114.7</v>
      </c>
      <c r="C8" s="45">
        <f>IFERROR(__xludf.DUMMYFUNCTION("AVERAGE(QUERY(SORT(GOOGLEFINANCE(A8,""price"",TODAY()-150,TODAY()),1,0),""select Col2 limit 50""))"),1367.4520000000005)</f>
        <v>1367.452</v>
      </c>
      <c r="D8" s="45">
        <f>IFERROR(__xludf.DUMMYFUNCTION("AVERAGE(QUERY(SORT(GOOGLEFINANCE(A8,""price"",TODAY()-300,TODAY()),1,0),""select Col2 limit 100""))"),1582.420000000001)</f>
        <v>1582.42</v>
      </c>
      <c r="E8" s="45">
        <f>IFERROR(__xludf.DUMMYFUNCTION("AVERAGE(QUERY(SORT(GOOGLEFINANCE(A8,""price"",TODAY()-500,TODAY()),1,0),""select Col2 limit 200""))"),1672.2325000000003)</f>
        <v>1672.2325</v>
      </c>
      <c r="F8" s="46" t="str">
        <f t="shared" si="1"/>
        <v>In Bear Run</v>
      </c>
      <c r="G8" s="47">
        <f t="shared" si="2"/>
        <v>-33.34060904</v>
      </c>
      <c r="H8" s="48" t="str">
        <f t="shared" si="3"/>
        <v>Inverted ✗</v>
      </c>
      <c r="I8" s="48">
        <f t="shared" si="4"/>
        <v>0</v>
      </c>
      <c r="J8" s="48">
        <f t="shared" si="5"/>
        <v>0</v>
      </c>
      <c r="K8" s="49" t="str">
        <f>IFERROR(__xludf.DUMMYFUNCTION("IFERROR(IF(A8="""",""ENTER STOCK"",LET(stock,A8,raw_high,GOOGLEFINANCE(stock,""high"",TODAY()-364,TODAY()),high_date,IFERROR(TO_DATE(INDEX(SORT(raw_high,2,0),2,1)),TODAY()-30),data,IFERROR(GOOGLEFINANCE(stock,""close"",high_date,TODAY()),GOOGLEFINANCE(sto"&amp;"ck,""close"",TODAY()-10,TODAY())),prices,INDEX(data,0,2),count_rows,ROWS(prices),cum_avg,SCAN(0,SEQUENCE(count_rows),LAMBDA(a,n,IFERROR(AVERAGE(CHOOSEROWS(prices,SEQUENCE(n))),0))),last_10_avgs,IFERROR(QUERY({IFERROR(QUERY(data,""SELECT Col1"",1),SEQUENCE"&amp;"(count_rows)),cum_avg},""SELECT Col2 WHERE Col1 IS NOT NULL ORDER BY Col1 DESC LIMIT 10"",0),{0;0;0;0;0;0;0;0;0;0}),check,IF(ROWS(last_10_avgs)&lt;10,0,SUMPRODUCT(--(CHOOSECOLS(last_10_avgs,1)&gt;{INDEX(last_10_avgs,2);INDEX(last_10_avgs,3);INDEX(last_10_avgs,4"&amp;"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8" s="48">
        <f t="shared" si="6"/>
        <v>0</v>
      </c>
      <c r="M8" s="48">
        <f t="shared" si="7"/>
        <v>1</v>
      </c>
      <c r="N8" s="50">
        <f t="shared" si="8"/>
        <v>1</v>
      </c>
      <c r="O8" s="51" t="s">
        <v>121</v>
      </c>
      <c r="P8" s="46" t="str">
        <f t="shared" si="9"/>
        <v>REVERSE TRADE</v>
      </c>
      <c r="Q8" s="52"/>
      <c r="R8" s="53">
        <f t="shared" si="10"/>
        <v>15</v>
      </c>
      <c r="S8" s="53">
        <f>IFERROR(__xludf.DUMMYFUNCTION("IFERROR(ROUND(GOOGLEFINANCE(A8,""volume"")/GOOGLEFINANCE(A8,""volumeavg""),2),"""")"),0.44)</f>
        <v>0.44</v>
      </c>
      <c r="T8" s="53" t="str">
        <f t="shared" si="11"/>
        <v>LOW VOL</v>
      </c>
      <c r="U8" s="53">
        <f>IFERROR(__xludf.DUMMYFUNCTION("IFERROR(
  LET(
    sd, GOOGLEFINANCE(A8,""close"",TODAY()-100,TODAY()),
    sp, CHOOSECOLS(sd,2),
    np, NIFTY_DATA!$B$2:$B$80,
    n,  MIN(ROWS(sp)-2, COUNTA(np)-1),
    sr, MAKEARRAY(n,1,LAMBDA(i,j, INDEX(sp,i+2)/INDEX(sp,i+1)-1 )),
    nr, MAKEARRAY("&amp;"n,1,LAMBDA(i,j, INDEX(np,i+1)/INDEX(np,i)-1   )),
    ROUND(SLOPE(sr,nr),2)
  ),
"""")"),0.77)</f>
        <v>0.77</v>
      </c>
      <c r="V8" s="53" t="str">
        <f t="shared" si="12"/>
        <v>SLOW</v>
      </c>
      <c r="W8" s="53">
        <f>IFERROR(__xludf.DUMMYFUNCTION("IFERROR(ROUND((B8/GOOGLEFINANCE(A8,""high52"")-1)*100,1),"""")"),-44.1)</f>
        <v>-44.1</v>
      </c>
      <c r="X8" s="53">
        <f>IFERROR(__xludf.DUMMYFUNCTION("IFERROR(ROUND((B8-GOOGLEFINANCE(A8,""low52""))/(GOOGLEFINANCE(A8,""high52"")-GOOGLEFINANCE(A8,""low52""))*100,1),"""")"),10.8)</f>
        <v>10.8</v>
      </c>
      <c r="Y8" s="53" t="str">
        <f t="shared" si="13"/>
        <v>DEEP RECOVERY</v>
      </c>
      <c r="Z8" s="53">
        <f>IFERROR(__xludf.DUMMYFUNCTION("IFERROR(ROUND(((B8 / INDEX(GOOGLEFINANCE(TRIM(A8), ""price"", TODAY()-34, TODAY()), 2, 2)) - (GOOGLEFINANCE(""NIFTY_50"") / INDEX(GOOGLEFINANCE(""NIFTY_50"", ""price"", TODAY()-34, TODAY()), 2, 2))) * 100, 2), ""Check History"")"),4.12)</f>
        <v>4.12</v>
      </c>
      <c r="AA8" s="53" t="str">
        <f t="shared" si="14"/>
        <v>MILD RS</v>
      </c>
      <c r="AB8" s="53">
        <f>IFERROR(__xludf.DUMMYFUNCTION("IFERROR(LET(
  p, QUERY(GOOGLEFINANCE(TRIM(A8), ""price"", TODAY()-25, TODAY()), ""select Col2 where Col2 is not null order by Col1 desc limit 15"", 0),
  changes, ARRAYFORMULA(QUERY(p, ""limit 14 offset 0"", 0) - QUERY(p, ""limit 14 offset 1"", 0)),
  av"&amp;"g_gain, AVERAGEIF(changes, ""&gt;0""),
  avg_loss, ABS(AVERAGEIF(changes, ""&lt;0"")),
  IF(avg_loss=0, 100, ROUND(100 - (100 / (1 + (avg_gain / avg_loss))), 1))
), ""Data Loading"")"),64.0)</f>
        <v>64</v>
      </c>
      <c r="AC8" s="53" t="str">
        <f t="shared" si="15"/>
        <v>IDEAL ENTRY</v>
      </c>
      <c r="AD8" s="53" t="str">
        <f>IFERROR(__xludf.DUMMYFUNCTION("IFERROR(IF(GOOGLEFINANCE(A8,""eps"")&gt;0,""EPS+"",""EPS-""),"""")"),"EPS+")</f>
        <v>EPS+</v>
      </c>
      <c r="AE8" s="53">
        <f t="shared" si="16"/>
        <v>2</v>
      </c>
      <c r="AF8" s="53">
        <f>IFERROR(__xludf.DUMMYFUNCTION("IFERROR(N8+IF(S8&gt;=1.2,1,0)+IF(U8&gt;=1,1,0)+IF(Z8&gt;0,1,0)+IF(AND(W8&gt;=-20,W8&lt;=0),1,0)+IF(IFERROR(GOOGLEFINANCE(A8,""eps""),0)&gt;0,1,0),"""")"),3.0)</f>
        <v>3</v>
      </c>
      <c r="AG8" s="53" t="str">
        <f t="shared" si="17"/>
        <v>REVERSE TRADE</v>
      </c>
    </row>
    <row r="9" ht="15.0" customHeight="1">
      <c r="A9" s="43" t="s">
        <v>126</v>
      </c>
      <c r="B9" s="44">
        <f>IFERROR(__xludf.DUMMYFUNCTION("GOOGLEFINANCE(A9,""price"")"),9638.0)</f>
        <v>9638</v>
      </c>
      <c r="C9" s="45">
        <f>IFERROR(__xludf.DUMMYFUNCTION("AVERAGE(QUERY(SORT(GOOGLEFINANCE(A9,""price"",TODAY()-150,TODAY()),1,0),""select Col2 limit 50""))"),10714.18)</f>
        <v>10714.18</v>
      </c>
      <c r="D9" s="45">
        <f>IFERROR(__xludf.DUMMYFUNCTION("AVERAGE(QUERY(SORT(GOOGLEFINANCE(A9,""price"",TODAY()-300,TODAY()),1,0),""select Col2 limit 100""))"),12236.07)</f>
        <v>12236.07</v>
      </c>
      <c r="E9" s="45">
        <f>IFERROR(__xludf.DUMMYFUNCTION("AVERAGE(QUERY(SORT(GOOGLEFINANCE(A9,""price"",TODAY()-500,TODAY()),1,0),""select Col2 limit 200""))"),14293.045)</f>
        <v>14293.045</v>
      </c>
      <c r="F9" s="46" t="str">
        <f t="shared" si="1"/>
        <v>In Bear Run</v>
      </c>
      <c r="G9" s="47">
        <f t="shared" si="2"/>
        <v>-32.56860242</v>
      </c>
      <c r="H9" s="48" t="str">
        <f t="shared" si="3"/>
        <v>Inverted ✗</v>
      </c>
      <c r="I9" s="48">
        <f t="shared" si="4"/>
        <v>0</v>
      </c>
      <c r="J9" s="48">
        <f t="shared" si="5"/>
        <v>0</v>
      </c>
      <c r="K9" s="49" t="str">
        <f>IFERROR(__xludf.DUMMYFUNCTION("IFERROR(IF(A9="""",""ENTER STOCK"",LET(stock,A9,raw_high,GOOGLEFINANCE(stock,""high"",TODAY()-364,TODAY()),high_date,IFERROR(TO_DATE(INDEX(SORT(raw_high,2,0),2,1)),TODAY()-30),data,IFERROR(GOOGLEFINANCE(stock,""close"",high_date,TODAY()),GOOGLEFINANCE(sto"&amp;"ck,""close"",TODAY()-10,TODAY())),prices,INDEX(data,0,2),count_rows,ROWS(prices),cum_avg,SCAN(0,SEQUENCE(count_rows),LAMBDA(a,n,IFERROR(AVERAGE(CHOOSEROWS(prices,SEQUENCE(n))),0))),last_10_avgs,IFERROR(QUERY({IFERROR(QUERY(data,""SELECT Col1"",1),SEQUENCE"&amp;"(count_rows)),cum_avg},""SELECT Col2 WHERE Col1 IS NOT NULL ORDER BY Col1 DESC LIMIT 10"",0),{0;0;0;0;0;0;0;0;0;0}),check,IF(ROWS(last_10_avgs)&lt;10,0,SUMPRODUCT(--(CHOOSECOLS(last_10_avgs,1)&gt;{INDEX(last_10_avgs,2);INDEX(last_10_avgs,3);INDEX(last_10_avgs,4"&amp;"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9" s="48">
        <f t="shared" si="6"/>
        <v>0</v>
      </c>
      <c r="M9" s="48">
        <f t="shared" si="7"/>
        <v>1</v>
      </c>
      <c r="N9" s="50">
        <f t="shared" si="8"/>
        <v>1</v>
      </c>
      <c r="O9" s="51" t="s">
        <v>127</v>
      </c>
      <c r="P9" s="46" t="str">
        <f t="shared" si="9"/>
        <v>REVERSE TRADE</v>
      </c>
      <c r="Q9" s="52"/>
      <c r="R9" s="53">
        <f t="shared" si="10"/>
        <v>15</v>
      </c>
      <c r="S9" s="53">
        <f>IFERROR(__xludf.DUMMYFUNCTION("IFERROR(ROUND(GOOGLEFINANCE(A9,""volume"")/GOOGLEFINANCE(A9,""volumeavg""),2),"""")"),1.05)</f>
        <v>1.05</v>
      </c>
      <c r="T9" s="53" t="str">
        <f t="shared" si="11"/>
        <v>LOW VOL</v>
      </c>
      <c r="U9" s="53">
        <f>IFERROR(__xludf.DUMMYFUNCTION("IFERROR(
  LET(
    sd, GOOGLEFINANCE(A9,""close"",TODAY()-100,TODAY()),
    sp, CHOOSECOLS(sd,2),
    np, NIFTY_DATA!$B$2:$B$80,
    n,  MIN(ROWS(sp)-2, COUNTA(np)-1),
    sr, MAKEARRAY(n,1,LAMBDA(i,j, INDEX(sp,i+2)/INDEX(sp,i+1)-1 )),
    nr, MAKEARRAY("&amp;"n,1,LAMBDA(i,j, INDEX(np,i+1)/INDEX(np,i)-1   )),
    ROUND(SLOPE(sr,nr),2)
  ),
"""")"),0.03)</f>
        <v>0.03</v>
      </c>
      <c r="V9" s="53" t="str">
        <f t="shared" si="12"/>
        <v>SLOW</v>
      </c>
      <c r="W9" s="53">
        <f>IFERROR(__xludf.DUMMYFUNCTION("IFERROR(ROUND((B9/GOOGLEFINANCE(A9,""high52"")-1)*100,1),"""")"),-47.8)</f>
        <v>-47.8</v>
      </c>
      <c r="X9" s="53">
        <f>IFERROR(__xludf.DUMMYFUNCTION("IFERROR(ROUND((B9-GOOGLEFINANCE(A9,""low52""))/(GOOGLEFINANCE(A9,""high52"")-GOOGLEFINANCE(A9,""low52""))*100,1),"""")"),0.4)</f>
        <v>0.4</v>
      </c>
      <c r="Y9" s="53" t="str">
        <f t="shared" si="13"/>
        <v>DEEP RECOVERY</v>
      </c>
      <c r="Z9" s="53">
        <f>IFERROR(__xludf.DUMMYFUNCTION("IFERROR(ROUND(((B9 / INDEX(GOOGLEFINANCE(TRIM(A9), ""price"", TODAY()-34, TODAY()), 2, 2)) - (GOOGLEFINANCE(""NIFTY_50"") / INDEX(GOOGLEFINANCE(""NIFTY_50"", ""price"", TODAY()-34, TODAY()), 2, 2))) * 100, 2), ""Check History"")"),3.74)</f>
        <v>3.74</v>
      </c>
      <c r="AA9" s="53" t="str">
        <f t="shared" si="14"/>
        <v>MILD RS</v>
      </c>
      <c r="AB9" s="53">
        <f>IFERROR(__xludf.DUMMYFUNCTION("IFERROR(LET(
  p, QUERY(GOOGLEFINANCE(TRIM(A9), ""price"", TODAY()-25, TODAY()), ""select Col2 where Col2 is not null order by Col1 desc limit 15"", 0),
  changes, ARRAYFORMULA(QUERY(p, ""limit 14 offset 0"", 0) - QUERY(p, ""limit 14 offset 1"", 0)),
  av"&amp;"g_gain, AVERAGEIF(changes, ""&gt;0""),
  avg_loss, ABS(AVERAGEIF(changes, ""&lt;0"")),
  IF(avg_loss=0, 100, ROUND(100 - (100 / (1 + (avg_gain / avg_loss))), 1))
), ""Data Loading"")"),48.7)</f>
        <v>48.7</v>
      </c>
      <c r="AC9" s="53" t="str">
        <f t="shared" si="15"/>
        <v>IDEAL ENTRY</v>
      </c>
      <c r="AD9" s="53" t="str">
        <f>IFERROR(__xludf.DUMMYFUNCTION("IFERROR(IF(GOOGLEFINANCE(A9,""eps"")&gt;0,""EPS+"",""EPS-""),"""")"),"EPS+")</f>
        <v>EPS+</v>
      </c>
      <c r="AE9" s="53">
        <f t="shared" si="16"/>
        <v>2</v>
      </c>
      <c r="AF9" s="53">
        <f>IFERROR(__xludf.DUMMYFUNCTION("IFERROR(N9+IF(S9&gt;=1.2,1,0)+IF(U9&gt;=1,1,0)+IF(Z9&gt;0,1,0)+IF(AND(W9&gt;=-20,W9&lt;=0),1,0)+IF(IFERROR(GOOGLEFINANCE(A9,""eps""),0)&gt;0,1,0),"""")"),3.0)</f>
        <v>3</v>
      </c>
      <c r="AG9" s="53" t="str">
        <f t="shared" si="17"/>
        <v>REVERSE TRADE</v>
      </c>
    </row>
    <row r="10" ht="15.0" customHeight="1">
      <c r="A10" s="43" t="s">
        <v>128</v>
      </c>
      <c r="B10" s="44">
        <f>IFERROR(__xludf.DUMMYFUNCTION("GOOGLEFINANCE(A10,""price"")"),39.61)</f>
        <v>39.61</v>
      </c>
      <c r="C10" s="45">
        <f>IFERROR(__xludf.DUMMYFUNCTION("AVERAGE(QUERY(SORT(GOOGLEFINANCE(A10,""price"",TODAY()-150,TODAY()),1,0),""select Col2 limit 50""))"),44.4092)</f>
        <v>44.4092</v>
      </c>
      <c r="D10" s="45">
        <f>IFERROR(__xludf.DUMMYFUNCTION("AVERAGE(QUERY(SORT(GOOGLEFINANCE(A10,""price"",TODAY()-300,TODAY()),1,0),""select Col2 limit 100""))"),49.23109999999999)</f>
        <v>49.2311</v>
      </c>
      <c r="E10" s="45">
        <f>IFERROR(__xludf.DUMMYFUNCTION("AVERAGE(QUERY(SORT(GOOGLEFINANCE(A10,""price"",TODAY()-500,TODAY()),1,0),""select Col2 limit 200""))"),54.862400000000015)</f>
        <v>54.8624</v>
      </c>
      <c r="F10" s="46" t="str">
        <f t="shared" si="1"/>
        <v>In Bear Run</v>
      </c>
      <c r="G10" s="47">
        <f t="shared" si="2"/>
        <v>-27.80118989</v>
      </c>
      <c r="H10" s="48" t="str">
        <f t="shared" si="3"/>
        <v>Inverted ✗</v>
      </c>
      <c r="I10" s="48">
        <f t="shared" si="4"/>
        <v>0</v>
      </c>
      <c r="J10" s="48">
        <f t="shared" si="5"/>
        <v>0</v>
      </c>
      <c r="K10" s="49" t="str">
        <f>IFERROR(__xludf.DUMMYFUNCTION("IFERROR(IF(A10="""",""ENTER STOCK"",LET(stock,A10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0" s="48">
        <f t="shared" si="6"/>
        <v>0</v>
      </c>
      <c r="M10" s="48">
        <f t="shared" si="7"/>
        <v>1</v>
      </c>
      <c r="N10" s="50">
        <f t="shared" si="8"/>
        <v>1</v>
      </c>
      <c r="O10" s="51" t="s">
        <v>129</v>
      </c>
      <c r="P10" s="46" t="str">
        <f t="shared" si="9"/>
        <v>REVERSE TRADE</v>
      </c>
      <c r="Q10" s="52"/>
      <c r="R10" s="53">
        <f t="shared" si="10"/>
        <v>15</v>
      </c>
      <c r="S10" s="53">
        <f>IFERROR(__xludf.DUMMYFUNCTION("IFERROR(ROUND(GOOGLEFINANCE(A10,""volume"")/GOOGLEFINANCE(A10,""volumeavg""),2),"""")"),2.03)</f>
        <v>2.03</v>
      </c>
      <c r="T10" s="53" t="str">
        <f t="shared" si="11"/>
        <v>HIGH VOL</v>
      </c>
      <c r="U10" s="53">
        <f>IFERROR(__xludf.DUMMYFUNCTION("IFERROR(
  LET(
    sd, GOOGLEFINANCE(A10,""close"",TODAY()-100,TODAY()),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"""")"),1.41)</f>
        <v>1.41</v>
      </c>
      <c r="V10" s="53" t="str">
        <f t="shared" si="12"/>
        <v>FAST</v>
      </c>
      <c r="W10" s="53">
        <f>IFERROR(__xludf.DUMMYFUNCTION("IFERROR(ROUND((B10/GOOGLEFINANCE(A10,""high52"")-1)*100,1),"""")"),-46.7)</f>
        <v>-46.7</v>
      </c>
      <c r="X10" s="53">
        <f>IFERROR(__xludf.DUMMYFUNCTION("IFERROR(ROUND((B10-GOOGLEFINANCE(A10,""low52""))/(GOOGLEFINANCE(A10,""high52"")-GOOGLEFINANCE(A10,""low52""))*100,1),"""")"),3.9)</f>
        <v>3.9</v>
      </c>
      <c r="Y10" s="53" t="str">
        <f t="shared" si="13"/>
        <v>DEEP RECOVERY</v>
      </c>
      <c r="Z10" s="53">
        <f>IFERROR(__xludf.DUMMYFUNCTION("IFERROR(ROUND(((B10 / INDEX(GOOGLEFINANCE(TRIM(A10), ""price"", TODAY()-34, TODAY()), 2, 2)) - (GOOGLEFINANCE(""NIFTY_50"") / INDEX(GOOGLEFINANCE(""NIFTY_50"", ""price"", TODAY()-34, TODAY()), 2, 2))) * 100, 2), ""Check History"")"),1.92)</f>
        <v>1.92</v>
      </c>
      <c r="AA10" s="53" t="str">
        <f t="shared" si="14"/>
        <v>MILD RS</v>
      </c>
      <c r="AB10" s="53">
        <f>IFERROR(__xludf.DUMMYFUNCTION("IFERROR(LET(
  p, QUERY(GOOGLEFINANCE(TRIM(A10),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Loading"")"),42.6)</f>
        <v>42.6</v>
      </c>
      <c r="AC10" s="53" t="str">
        <f t="shared" si="15"/>
        <v>WEAK MOM</v>
      </c>
      <c r="AD10" s="53" t="str">
        <f>IFERROR(__xludf.DUMMYFUNCTION("IFERROR(IF(GOOGLEFINANCE(A10,""eps"")&gt;0,""EPS+"",""EPS-""),"""")"),"EPS+")</f>
        <v>EPS+</v>
      </c>
      <c r="AE10" s="53">
        <f t="shared" si="16"/>
        <v>7</v>
      </c>
      <c r="AF10" s="53">
        <f>IFERROR(__xludf.DUMMYFUNCTION("IFERROR(N10+IF(S10&gt;=1.2,1,0)+IF(U10&gt;=1,1,0)+IF(Z10&gt;0,1,0)+IF(AND(W10&gt;=-20,W10&lt;=0),1,0)+IF(IFERROR(GOOGLEFINANCE(A10,""eps""),0)&gt;0,1,0),"""")"),5.0)</f>
        <v>5</v>
      </c>
      <c r="AG10" s="53" t="str">
        <f t="shared" si="17"/>
        <v>REVERSE TRADE</v>
      </c>
    </row>
    <row r="11" ht="15.0" customHeight="1">
      <c r="A11" s="43" t="s">
        <v>130</v>
      </c>
      <c r="B11" s="44">
        <f>IFERROR(__xludf.DUMMYFUNCTION("GOOGLEFINANCE(A11,""price"")"),1870.5)</f>
        <v>1870.5</v>
      </c>
      <c r="C11" s="45">
        <f>IFERROR(__xludf.DUMMYFUNCTION("AVERAGE(QUERY(SORT(GOOGLEFINANCE(A11,""price"",TODAY()-150,TODAY()),1,0),""select Col2 limit 50""))"),2086.8560000000007)</f>
        <v>2086.856</v>
      </c>
      <c r="D11" s="45">
        <f>IFERROR(__xludf.DUMMYFUNCTION("AVERAGE(QUERY(SORT(GOOGLEFINANCE(A11,""price"",TODAY()-300,TODAY()),1,0),""select Col2 limit 100""))"),2426.371)</f>
        <v>2426.371</v>
      </c>
      <c r="E11" s="45">
        <f>IFERROR(__xludf.DUMMYFUNCTION("AVERAGE(QUERY(SORT(GOOGLEFINANCE(A11,""price"",TODAY()-500,TODAY()),1,0),""select Col2 limit 200""))"),2812.2559500000007)</f>
        <v>2812.25595</v>
      </c>
      <c r="F11" s="46" t="str">
        <f t="shared" si="1"/>
        <v>In Bear Run</v>
      </c>
      <c r="G11" s="47">
        <f t="shared" si="2"/>
        <v>-33.48756183</v>
      </c>
      <c r="H11" s="48" t="str">
        <f t="shared" si="3"/>
        <v>Inverted ✗</v>
      </c>
      <c r="I11" s="48">
        <f t="shared" si="4"/>
        <v>0</v>
      </c>
      <c r="J11" s="48">
        <f t="shared" si="5"/>
        <v>0</v>
      </c>
      <c r="K11" s="49" t="str">
        <f>IFERROR(__xludf.DUMMYFUNCTION("IFERROR(IF(A11="""",""ENTER STOCK"",LET(stock,A11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1" s="48">
        <f t="shared" si="6"/>
        <v>0</v>
      </c>
      <c r="M11" s="48">
        <f t="shared" si="7"/>
        <v>1</v>
      </c>
      <c r="N11" s="50">
        <f t="shared" si="8"/>
        <v>1</v>
      </c>
      <c r="O11" s="51" t="s">
        <v>131</v>
      </c>
      <c r="P11" s="46" t="str">
        <f t="shared" si="9"/>
        <v>REVERSE TRADE</v>
      </c>
      <c r="Q11" s="52"/>
      <c r="R11" s="53">
        <f t="shared" si="10"/>
        <v>15</v>
      </c>
      <c r="S11" s="53">
        <f>IFERROR(__xludf.DUMMYFUNCTION("IFERROR(ROUND(GOOGLEFINANCE(A11,""volume"")/GOOGLEFINANCE(A11,""volumeavg""),2),"""")"),0.97)</f>
        <v>0.97</v>
      </c>
      <c r="T11" s="53" t="str">
        <f t="shared" si="11"/>
        <v>LOW VOL</v>
      </c>
      <c r="U11" s="53">
        <f>IFERROR(__xludf.DUMMYFUNCTION("IFERROR(
  LET(
    sd, GOOGLEFINANCE(A11,""close"",TODAY()-100,TODAY()),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"""")"),0.44)</f>
        <v>0.44</v>
      </c>
      <c r="V11" s="53" t="str">
        <f t="shared" si="12"/>
        <v>SLOW</v>
      </c>
      <c r="W11" s="53">
        <f>IFERROR(__xludf.DUMMYFUNCTION("IFERROR(ROUND((B11/GOOGLEFINANCE(A11,""high52"")-1)*100,1),"""")"),-52.6)</f>
        <v>-52.6</v>
      </c>
      <c r="X11" s="53">
        <f>IFERROR(__xludf.DUMMYFUNCTION("IFERROR(ROUND((B11-GOOGLEFINANCE(A11,""low52""))/(GOOGLEFINANCE(A11,""high52"")-GOOGLEFINANCE(A11,""low52""))*100,1),"""")"),1.8)</f>
        <v>1.8</v>
      </c>
      <c r="Y11" s="53" t="str">
        <f t="shared" si="13"/>
        <v>DEEP RECOVERY</v>
      </c>
      <c r="Z11" s="53">
        <f>IFERROR(__xludf.DUMMYFUNCTION("IFERROR(ROUND(((B11 / INDEX(GOOGLEFINANCE(TRIM(A11), ""price"", TODAY()-34, TODAY()), 2, 2)) - (GOOGLEFINANCE(""NIFTY_50"") / INDEX(GOOGLEFINANCE(""NIFTY_50"", ""price"", TODAY()-34, TODAY()), 2, 2))) * 100, 2), ""Check History"")"),-0.75)</f>
        <v>-0.75</v>
      </c>
      <c r="AA11" s="53" t="str">
        <f t="shared" si="14"/>
        <v>WEAK RS</v>
      </c>
      <c r="AB11" s="53">
        <f>IFERROR(__xludf.DUMMYFUNCTION("IFERROR(LET(
  p, QUERY(GOOGLEFINANCE(TRIM(A11),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Loading"")"),49.4)</f>
        <v>49.4</v>
      </c>
      <c r="AC11" s="53" t="str">
        <f t="shared" si="15"/>
        <v>IDEAL ENTRY</v>
      </c>
      <c r="AD11" s="53" t="str">
        <f>IFERROR(__xludf.DUMMYFUNCTION("IFERROR(IF(GOOGLEFINANCE(A11,""eps"")&gt;0,""EPS+"",""EPS-""),"""")"),"EPS+")</f>
        <v>EPS+</v>
      </c>
      <c r="AE11" s="53">
        <f t="shared" si="16"/>
        <v>0</v>
      </c>
      <c r="AF11" s="53">
        <f>IFERROR(__xludf.DUMMYFUNCTION("IFERROR(N11+IF(S11&gt;=1.2,1,0)+IF(U11&gt;=1,1,0)+IF(Z11&gt;0,1,0)+IF(AND(W11&gt;=-20,W11&lt;=0),1,0)+IF(IFERROR(GOOGLEFINANCE(A11,""eps""),0)&gt;0,1,0),"""")"),2.0)</f>
        <v>2</v>
      </c>
      <c r="AG11" s="53" t="str">
        <f t="shared" si="17"/>
        <v>REVERSE TRADE</v>
      </c>
    </row>
    <row r="12" ht="15.0" customHeight="1">
      <c r="A12" s="43" t="s">
        <v>132</v>
      </c>
      <c r="B12" s="44">
        <f>IFERROR(__xludf.DUMMYFUNCTION("GOOGLEFINANCE(A12,""price"")"),176.65)</f>
        <v>176.65</v>
      </c>
      <c r="C12" s="45">
        <f>IFERROR(__xludf.DUMMYFUNCTION("AVERAGE(QUERY(SORT(GOOGLEFINANCE(A12,""price"",TODAY()-150,TODAY()),1,0),""select Col2 limit 50""))"),195.775)</f>
        <v>195.775</v>
      </c>
      <c r="D12" s="45">
        <f>IFERROR(__xludf.DUMMYFUNCTION("AVERAGE(QUERY(SORT(GOOGLEFINANCE(A12,""price"",TODAY()-300,TODAY()),1,0),""select Col2 limit 100""))"),223.91390000000004)</f>
        <v>223.9139</v>
      </c>
      <c r="E12" s="45">
        <f>IFERROR(__xludf.DUMMYFUNCTION("AVERAGE(QUERY(SORT(GOOGLEFINANCE(A12,""price"",TODAY()-500,TODAY()),1,0),""select Col2 limit 200""))"),243.18320000000006)</f>
        <v>243.1832</v>
      </c>
      <c r="F12" s="46" t="str">
        <f t="shared" si="1"/>
        <v>In Bear Run</v>
      </c>
      <c r="G12" s="47">
        <f t="shared" si="2"/>
        <v>-27.35929127</v>
      </c>
      <c r="H12" s="48" t="str">
        <f t="shared" si="3"/>
        <v>Inverted ✗</v>
      </c>
      <c r="I12" s="48">
        <f t="shared" si="4"/>
        <v>0</v>
      </c>
      <c r="J12" s="48">
        <f t="shared" si="5"/>
        <v>0</v>
      </c>
      <c r="K12" s="49" t="str">
        <f>IFERROR(__xludf.DUMMYFUNCTION("IFERROR(IF(A12="""",""ENTER STOCK"",LET(stock,A12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2" s="48">
        <f t="shared" si="6"/>
        <v>0</v>
      </c>
      <c r="M12" s="48">
        <f t="shared" si="7"/>
        <v>1</v>
      </c>
      <c r="N12" s="50">
        <f t="shared" si="8"/>
        <v>1</v>
      </c>
      <c r="O12" s="51" t="s">
        <v>131</v>
      </c>
      <c r="P12" s="46" t="str">
        <f t="shared" si="9"/>
        <v>REVERSE TRADE</v>
      </c>
      <c r="Q12" s="52"/>
      <c r="R12" s="53">
        <f t="shared" si="10"/>
        <v>15</v>
      </c>
      <c r="S12" s="53">
        <f>IFERROR(__xludf.DUMMYFUNCTION("IFERROR(ROUND(GOOGLEFINANCE(A12,""volume"")/GOOGLEFINANCE(A12,""volumeavg""),2),"""")"),0.95)</f>
        <v>0.95</v>
      </c>
      <c r="T12" s="53" t="str">
        <f t="shared" si="11"/>
        <v>LOW VOL</v>
      </c>
      <c r="U12" s="53">
        <f>IFERROR(__xludf.DUMMYFUNCTION("IFERROR(
  LET(
    sd, GOOGLEFINANCE(A12,""close"",TODAY()-100,TODAY()),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"""")"),0.89)</f>
        <v>0.89</v>
      </c>
      <c r="V12" s="53" t="str">
        <f t="shared" si="12"/>
        <v>SLOW</v>
      </c>
      <c r="W12" s="53">
        <f>IFERROR(__xludf.DUMMYFUNCTION("IFERROR(ROUND((B12/GOOGLEFINANCE(A12,""high52"")-1)*100,1),"""")"),-39.3)</f>
        <v>-39.3</v>
      </c>
      <c r="X12" s="53">
        <f>IFERROR(__xludf.DUMMYFUNCTION("IFERROR(ROUND((B12-GOOGLEFINANCE(A12,""low52""))/(GOOGLEFINANCE(A12,""high52"")-GOOGLEFINANCE(A12,""low52""))*100,1),"""")"),4.5)</f>
        <v>4.5</v>
      </c>
      <c r="Y12" s="53" t="str">
        <f t="shared" si="13"/>
        <v>MID</v>
      </c>
      <c r="Z12" s="53">
        <f>IFERROR(__xludf.DUMMYFUNCTION("IFERROR(ROUND(((B12 / INDEX(GOOGLEFINANCE(TRIM(A12), ""price"", TODAY()-34, TODAY()), 2, 2)) - (GOOGLEFINANCE(""NIFTY_50"") / INDEX(GOOGLEFINANCE(""NIFTY_50"", ""price"", TODAY()-34, TODAY()), 2, 2))) * 100, 2), ""Check History"")"),4.3)</f>
        <v>4.3</v>
      </c>
      <c r="AA12" s="53" t="str">
        <f t="shared" si="14"/>
        <v>MILD RS</v>
      </c>
      <c r="AB12" s="53">
        <f>IFERROR(__xludf.DUMMYFUNCTION("IFERROR(LET(
  p, QUERY(GOOGLEFINANCE(TRIM(A12),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Loading"")"),44.4)</f>
        <v>44.4</v>
      </c>
      <c r="AC12" s="53" t="str">
        <f t="shared" si="15"/>
        <v>WEAK MOM</v>
      </c>
      <c r="AD12" s="53" t="str">
        <f>IFERROR(__xludf.DUMMYFUNCTION("IFERROR(IF(GOOGLEFINANCE(A12,""eps"")&gt;0,""EPS+"",""EPS-""),"""")"),"EPS+")</f>
        <v>EPS+</v>
      </c>
      <c r="AE12" s="53">
        <f t="shared" si="16"/>
        <v>2</v>
      </c>
      <c r="AF12" s="53">
        <f>IFERROR(__xludf.DUMMYFUNCTION("IFERROR(N12+IF(S12&gt;=1.2,1,0)+IF(U12&gt;=1,1,0)+IF(Z12&gt;0,1,0)+IF(AND(W12&gt;=-20,W12&lt;=0),1,0)+IF(IFERROR(GOOGLEFINANCE(A12,""eps""),0)&gt;0,1,0),"""")"),3.0)</f>
        <v>3</v>
      </c>
      <c r="AG12" s="53" t="str">
        <f t="shared" si="17"/>
        <v>REVERSE TRADE</v>
      </c>
    </row>
    <row r="13" ht="15.0" customHeight="1">
      <c r="A13" s="43" t="s">
        <v>133</v>
      </c>
      <c r="B13" s="44">
        <f>IFERROR(__xludf.DUMMYFUNCTION("GOOGLEFINANCE(A13,""price"")"),679.0)</f>
        <v>679</v>
      </c>
      <c r="C13" s="45">
        <f>IFERROR(__xludf.DUMMYFUNCTION("AVERAGE(QUERY(SORT(GOOGLEFINANCE(A13,""price"",TODAY()-150,TODAY()),1,0),""select Col2 limit 50""))"),954.4490000000001)</f>
        <v>954.449</v>
      </c>
      <c r="D13" s="45">
        <f>IFERROR(__xludf.DUMMYFUNCTION("AVERAGE(QUERY(SORT(GOOGLEFINANCE(A13,""price"",TODAY()-300,TODAY()),1,0),""select Col2 limit 100""))"),1041.6585000000005)</f>
        <v>1041.6585</v>
      </c>
      <c r="E13" s="45">
        <f>IFERROR(__xludf.DUMMYFUNCTION("AVERAGE(QUERY(SORT(GOOGLEFINANCE(A13,""price"",TODAY()-500,TODAY()),1,0),""select Col2 limit 200""))"),1156.3477500000001)</f>
        <v>1156.34775</v>
      </c>
      <c r="F13" s="46" t="str">
        <f t="shared" si="1"/>
        <v>In Bear Run</v>
      </c>
      <c r="G13" s="47">
        <f t="shared" si="2"/>
        <v>-41.28063984</v>
      </c>
      <c r="H13" s="48" t="str">
        <f t="shared" si="3"/>
        <v>Inverted ✗</v>
      </c>
      <c r="I13" s="48">
        <f t="shared" si="4"/>
        <v>0</v>
      </c>
      <c r="J13" s="48">
        <f t="shared" si="5"/>
        <v>0</v>
      </c>
      <c r="K13" s="49" t="str">
        <f>IFERROR(__xludf.DUMMYFUNCTION("IFERROR(IF(A13="""",""ENTER STOCK"",LET(stock,A13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3" s="48">
        <f t="shared" si="6"/>
        <v>0</v>
      </c>
      <c r="M13" s="48">
        <f t="shared" si="7"/>
        <v>1</v>
      </c>
      <c r="N13" s="50">
        <f t="shared" si="8"/>
        <v>1</v>
      </c>
      <c r="O13" s="51" t="s">
        <v>134</v>
      </c>
      <c r="P13" s="46" t="str">
        <f t="shared" si="9"/>
        <v>REVERSE TRADE</v>
      </c>
      <c r="Q13" s="52"/>
      <c r="R13" s="53">
        <f t="shared" si="10"/>
        <v>15</v>
      </c>
      <c r="S13" s="53">
        <f>IFERROR(__xludf.DUMMYFUNCTION("IFERROR(ROUND(GOOGLEFINANCE(A13,""volume"")/GOOGLEFINANCE(A13,""volumeavg""),2),"""")"),2.06)</f>
        <v>2.06</v>
      </c>
      <c r="T13" s="53" t="str">
        <f t="shared" si="11"/>
        <v>HIGH VOL</v>
      </c>
      <c r="U13" s="53">
        <f>IFERROR(__xludf.DUMMYFUNCTION("IFERROR(
  LET(
    sd, GOOGLEFINANCE(A13,""close"",TODAY()-100,TODAY()),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"""")"),1.66)</f>
        <v>1.66</v>
      </c>
      <c r="V13" s="53" t="str">
        <f t="shared" si="12"/>
        <v>FAST</v>
      </c>
      <c r="W13" s="53">
        <f>IFERROR(__xludf.DUMMYFUNCTION("IFERROR(ROUND((B13/GOOGLEFINANCE(A13,""high52"")-1)*100,1),"""")"),-55.6)</f>
        <v>-55.6</v>
      </c>
      <c r="X13" s="53">
        <f>IFERROR(__xludf.DUMMYFUNCTION("IFERROR(ROUND((B13-GOOGLEFINANCE(A13,""low52""))/(GOOGLEFINANCE(A13,""high52"")-GOOGLEFINANCE(A13,""low52""))*100,1),"""")"),0.7)</f>
        <v>0.7</v>
      </c>
      <c r="Y13" s="53" t="str">
        <f t="shared" si="13"/>
        <v>DEEP RECOVERY</v>
      </c>
      <c r="Z13" s="53">
        <f>IFERROR(__xludf.DUMMYFUNCTION("IFERROR(ROUND(((B13 / INDEX(GOOGLEFINANCE(TRIM(A13), ""price"", TODAY()-34, TODAY()), 2, 2)) - (GOOGLEFINANCE(""NIFTY_50"") / INDEX(GOOGLEFINANCE(""NIFTY_50"", ""price"", TODAY()-34, TODAY()), 2, 2))) * 100, 2), ""Check History"")"),-22.6)</f>
        <v>-22.6</v>
      </c>
      <c r="AA13" s="53" t="str">
        <f t="shared" si="14"/>
        <v>WEAK RS</v>
      </c>
      <c r="AB13" s="53">
        <f>IFERROR(__xludf.DUMMYFUNCTION("IFERROR(LET(
  p, QUERY(GOOGLEFINANCE(TRIM(A13),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Loading"")"),32.8)</f>
        <v>32.8</v>
      </c>
      <c r="AC13" s="53" t="str">
        <f t="shared" si="15"/>
        <v>WEAK MOM</v>
      </c>
      <c r="AD13" s="53" t="str">
        <f>IFERROR(__xludf.DUMMYFUNCTION("IFERROR(IF(GOOGLEFINANCE(A13,""eps"")&gt;0,""EPS+"",""EPS-""),"""")"),"EPS+")</f>
        <v>EPS+</v>
      </c>
      <c r="AE13" s="53">
        <f t="shared" si="16"/>
        <v>6</v>
      </c>
      <c r="AF13" s="53">
        <f>IFERROR(__xludf.DUMMYFUNCTION("IFERROR(N13+IF(S13&gt;=1.2,1,0)+IF(U13&gt;=1,1,0)+IF(Z13&gt;0,1,0)+IF(AND(W13&gt;=-20,W13&lt;=0),1,0)+IF(IFERROR(GOOGLEFINANCE(A13,""eps""),0)&gt;0,1,0),"""")"),4.0)</f>
        <v>4</v>
      </c>
      <c r="AG13" s="53" t="str">
        <f t="shared" si="17"/>
        <v>REVERSE TRADE</v>
      </c>
    </row>
    <row r="14" ht="15.0" customHeight="1">
      <c r="A14" s="43" t="s">
        <v>135</v>
      </c>
      <c r="B14" s="44">
        <f>IFERROR(__xludf.DUMMYFUNCTION("GOOGLEFINANCE(A14,""price"")"),963.9)</f>
        <v>963.9</v>
      </c>
      <c r="C14" s="45">
        <f>IFERROR(__xludf.DUMMYFUNCTION("AVERAGE(QUERY(SORT(GOOGLEFINANCE(A14,""price"",TODAY()-150,TODAY()),1,0),""select Col2 limit 50""))"),1109.0680000000004)</f>
        <v>1109.068</v>
      </c>
      <c r="D14" s="45">
        <f>IFERROR(__xludf.DUMMYFUNCTION("AVERAGE(QUERY(SORT(GOOGLEFINANCE(A14,""price"",TODAY()-300,TODAY()),1,0),""select Col2 limit 100""))"),1229.3830000000003)</f>
        <v>1229.383</v>
      </c>
      <c r="E14" s="45">
        <f>IFERROR(__xludf.DUMMYFUNCTION("AVERAGE(QUERY(SORT(GOOGLEFINANCE(A14,""price"",TODAY()-500,TODAY()),1,0),""select Col2 limit 200""))"),1311.6694999999995)</f>
        <v>1311.6695</v>
      </c>
      <c r="F14" s="46" t="str">
        <f t="shared" si="1"/>
        <v>In Bear Run</v>
      </c>
      <c r="G14" s="47">
        <f t="shared" si="2"/>
        <v>-26.51350054</v>
      </c>
      <c r="H14" s="48" t="str">
        <f t="shared" si="3"/>
        <v>Inverted ✗</v>
      </c>
      <c r="I14" s="48">
        <f t="shared" si="4"/>
        <v>0</v>
      </c>
      <c r="J14" s="48">
        <f t="shared" si="5"/>
        <v>0</v>
      </c>
      <c r="K14" s="49" t="str">
        <f>IFERROR(__xludf.DUMMYFUNCTION("IFERROR(IF(A14="""",""ENTER STOCK"",LET(stock,A14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4" s="48">
        <f t="shared" si="6"/>
        <v>0</v>
      </c>
      <c r="M14" s="48">
        <f t="shared" si="7"/>
        <v>1</v>
      </c>
      <c r="N14" s="50">
        <f t="shared" si="8"/>
        <v>1</v>
      </c>
      <c r="O14" s="51" t="s">
        <v>121</v>
      </c>
      <c r="P14" s="46" t="str">
        <f t="shared" si="9"/>
        <v>REVERSE TRADE</v>
      </c>
      <c r="Q14" s="52"/>
      <c r="R14" s="53">
        <f t="shared" si="10"/>
        <v>15</v>
      </c>
      <c r="S14" s="53">
        <f>IFERROR(__xludf.DUMMYFUNCTION("IFERROR(ROUND(GOOGLEFINANCE(A14,""volume"")/GOOGLEFINANCE(A14,""volumeavg""),2),"""")"),1.49)</f>
        <v>1.49</v>
      </c>
      <c r="T14" s="53" t="str">
        <f t="shared" si="11"/>
        <v>OK VOL</v>
      </c>
      <c r="U14" s="53">
        <f>IFERROR(__xludf.DUMMYFUNCTION("IFERROR(
  LET(
    sd, GOOGLEFINANCE(A14,""close"",TODAY()-100,TODAY()),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"""")"),0.71)</f>
        <v>0.71</v>
      </c>
      <c r="V14" s="53" t="str">
        <f t="shared" si="12"/>
        <v>SLOW</v>
      </c>
      <c r="W14" s="53">
        <f>IFERROR(__xludf.DUMMYFUNCTION("IFERROR(ROUND((B14/GOOGLEFINANCE(A14,""high52"")-1)*100,1),"""")"),-37.8)</f>
        <v>-37.8</v>
      </c>
      <c r="X14" s="53">
        <f>IFERROR(__xludf.DUMMYFUNCTION("IFERROR(ROUND((B14-GOOGLEFINANCE(A14,""low52""))/(GOOGLEFINANCE(A14,""high52"")-GOOGLEFINANCE(A14,""low52""))*100,1),"""")"),5.4)</f>
        <v>5.4</v>
      </c>
      <c r="Y14" s="53" t="str">
        <f t="shared" si="13"/>
        <v>MID</v>
      </c>
      <c r="Z14" s="53">
        <f>IFERROR(__xludf.DUMMYFUNCTION("IFERROR(ROUND(((B14 / INDEX(GOOGLEFINANCE(TRIM(A14), ""price"", TODAY()-34, TODAY()), 2, 2)) - (GOOGLEFINANCE(""NIFTY_50"") / INDEX(GOOGLEFINANCE(""NIFTY_50"", ""price"", TODAY()-34, TODAY()), 2, 2))) * 100, 2), ""Check History"")"),6.86)</f>
        <v>6.86</v>
      </c>
      <c r="AA14" s="53" t="str">
        <f t="shared" si="14"/>
        <v>STRONG RS</v>
      </c>
      <c r="AB14" s="53">
        <f>IFERROR(__xludf.DUMMYFUNCTION("IFERROR(LET(
  p, QUERY(GOOGLEFINANCE(TRIM(A14),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Loading"")"),61.0)</f>
        <v>61</v>
      </c>
      <c r="AC14" s="53" t="str">
        <f t="shared" si="15"/>
        <v>IDEAL ENTRY</v>
      </c>
      <c r="AD14" s="53" t="str">
        <f>IFERROR(__xludf.DUMMYFUNCTION("IFERROR(IF(GOOGLEFINANCE(A14,""eps"")&gt;0,""EPS+"",""EPS-""),"""")"),"EPS+")</f>
        <v>EPS+</v>
      </c>
      <c r="AE14" s="53">
        <f t="shared" si="16"/>
        <v>5</v>
      </c>
      <c r="AF14" s="53">
        <f>IFERROR(__xludf.DUMMYFUNCTION("IFERROR(N14+IF(S14&gt;=1.2,1,0)+IF(U14&gt;=1,1,0)+IF(Z14&gt;0,1,0)+IF(AND(W14&gt;=-20,W14&lt;=0),1,0)+IF(IFERROR(GOOGLEFINANCE(A14,""eps""),0)&gt;0,1,0),"""")"),4.0)</f>
        <v>4</v>
      </c>
      <c r="AG14" s="53" t="str">
        <f t="shared" si="17"/>
        <v>REVERSE TRADE</v>
      </c>
    </row>
    <row r="15" ht="15.0" customHeight="1">
      <c r="A15" s="43" t="s">
        <v>136</v>
      </c>
      <c r="B15" s="44">
        <f>IFERROR(__xludf.DUMMYFUNCTION("GOOGLEFINANCE(A15,""price"")"),738.8)</f>
        <v>738.8</v>
      </c>
      <c r="C15" s="45">
        <f>IFERROR(__xludf.DUMMYFUNCTION("AVERAGE(QUERY(SORT(GOOGLEFINANCE(A15,""price"",TODAY()-150,TODAY()),1,0),""select Col2 limit 50""))"),785.9709999999999)</f>
        <v>785.971</v>
      </c>
      <c r="D15" s="45">
        <f>IFERROR(__xludf.DUMMYFUNCTION("AVERAGE(QUERY(SORT(GOOGLEFINANCE(A15,""price"",TODAY()-300,TODAY()),1,0),""select Col2 limit 100""))"),830.6704999999998)</f>
        <v>830.6705</v>
      </c>
      <c r="E15" s="45">
        <f>IFERROR(__xludf.DUMMYFUNCTION("AVERAGE(QUERY(SORT(GOOGLEFINANCE(A15,""price"",TODAY()-500,TODAY()),1,0),""select Col2 limit 200""))"),892.9434999999995)</f>
        <v>892.9435</v>
      </c>
      <c r="F15" s="46" t="str">
        <f t="shared" si="1"/>
        <v>In Bear Run</v>
      </c>
      <c r="G15" s="47">
        <f t="shared" si="2"/>
        <v>-17.26240238</v>
      </c>
      <c r="H15" s="48" t="str">
        <f t="shared" si="3"/>
        <v>Inverted ✗</v>
      </c>
      <c r="I15" s="48">
        <f t="shared" si="4"/>
        <v>0</v>
      </c>
      <c r="J15" s="48">
        <f t="shared" si="5"/>
        <v>0</v>
      </c>
      <c r="K15" s="49" t="str">
        <f>IFERROR(__xludf.DUMMYFUNCTION("IFERROR(IF(A15="""",""ENTER STOCK"",LET(stock,A15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5" s="48">
        <f t="shared" si="6"/>
        <v>0</v>
      </c>
      <c r="M15" s="48">
        <f t="shared" si="7"/>
        <v>1</v>
      </c>
      <c r="N15" s="50">
        <f t="shared" si="8"/>
        <v>1</v>
      </c>
      <c r="O15" s="51" t="s">
        <v>137</v>
      </c>
      <c r="P15" s="46" t="str">
        <f t="shared" si="9"/>
        <v>REVERSE TRADE</v>
      </c>
      <c r="Q15" s="52"/>
      <c r="R15" s="53">
        <f t="shared" si="10"/>
        <v>15</v>
      </c>
      <c r="S15" s="53">
        <f>IFERROR(__xludf.DUMMYFUNCTION("IFERROR(ROUND(GOOGLEFINANCE(A15,""volume"")/GOOGLEFINANCE(A15,""volumeavg""),2),"""")"),0.14)</f>
        <v>0.14</v>
      </c>
      <c r="T15" s="53" t="str">
        <f t="shared" si="11"/>
        <v>LOW VOL</v>
      </c>
      <c r="U15" s="53">
        <f>IFERROR(__xludf.DUMMYFUNCTION("IFERROR(
  LET(
    sd, GOOGLEFINANCE(A15,""close"",TODAY()-100,TODAY()),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"""")"),1.21)</f>
        <v>1.21</v>
      </c>
      <c r="V15" s="53" t="str">
        <f t="shared" si="12"/>
        <v>FAST</v>
      </c>
      <c r="W15" s="53">
        <f>IFERROR(__xludf.DUMMYFUNCTION("IFERROR(ROUND((B15/GOOGLEFINANCE(A15,""high52"")-1)*100,1),"""")"),-33.6)</f>
        <v>-33.6</v>
      </c>
      <c r="X15" s="53">
        <f>IFERROR(__xludf.DUMMYFUNCTION("IFERROR(ROUND((B15-GOOGLEFINANCE(A15,""low52""))/(GOOGLEFINANCE(A15,""high52"")-GOOGLEFINANCE(A15,""low52""))*100,1),"""")"),31.8)</f>
        <v>31.8</v>
      </c>
      <c r="Y15" s="53" t="str">
        <f t="shared" si="13"/>
        <v>MID</v>
      </c>
      <c r="Z15" s="53">
        <f>IFERROR(__xludf.DUMMYFUNCTION("IFERROR(ROUND(((B15 / INDEX(GOOGLEFINANCE(TRIM(A15), ""price"", TODAY()-34, TODAY()), 2, 2)) - (GOOGLEFINANCE(""NIFTY_50"") / INDEX(GOOGLEFINANCE(""NIFTY_50"", ""price"", TODAY()-34, TODAY()), 2, 2))) * 100, 2), ""Check History"")"),9.73)</f>
        <v>9.73</v>
      </c>
      <c r="AA15" s="53" t="str">
        <f t="shared" si="14"/>
        <v>STRONG RS</v>
      </c>
      <c r="AB15" s="53">
        <f>IFERROR(__xludf.DUMMYFUNCTION("IFERROR(LET(
  p, QUERY(GOOGLEFINANCE(TRIM(A15),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Loading"")"),59.4)</f>
        <v>59.4</v>
      </c>
      <c r="AC15" s="53" t="str">
        <f t="shared" si="15"/>
        <v>IDEAL ENTRY</v>
      </c>
      <c r="AD15" s="53" t="str">
        <f>IFERROR(__xludf.DUMMYFUNCTION("IFERROR(IF(GOOGLEFINANCE(A15,""eps"")&gt;0,""EPS+"",""EPS-""),"""")"),"EPS+")</f>
        <v>EPS+</v>
      </c>
      <c r="AE15" s="53">
        <f t="shared" si="16"/>
        <v>5</v>
      </c>
      <c r="AF15" s="53">
        <f>IFERROR(__xludf.DUMMYFUNCTION("IFERROR(N15+IF(S15&gt;=1.2,1,0)+IF(U15&gt;=1,1,0)+IF(Z15&gt;0,1,0)+IF(AND(W15&gt;=-20,W15&lt;=0),1,0)+IF(IFERROR(GOOGLEFINANCE(A15,""eps""),0)&gt;0,1,0),"""")"),4.0)</f>
        <v>4</v>
      </c>
      <c r="AG15" s="53" t="str">
        <f t="shared" si="17"/>
        <v>REVERSE TRADE</v>
      </c>
    </row>
    <row r="16" ht="15.0" customHeight="1">
      <c r="A16" s="43" t="s">
        <v>138</v>
      </c>
      <c r="B16" s="44">
        <f>IFERROR(__xludf.DUMMYFUNCTION("GOOGLEFINANCE(A16,""price"")"),3105.0)</f>
        <v>3105</v>
      </c>
      <c r="C16" s="45">
        <f>IFERROR(__xludf.DUMMYFUNCTION("AVERAGE(QUERY(SORT(GOOGLEFINANCE(A16,""price"",TODAY()-150,TODAY()),1,0),""select Col2 limit 50""))"),3519.7380000000003)</f>
        <v>3519.738</v>
      </c>
      <c r="D16" s="45">
        <f>IFERROR(__xludf.DUMMYFUNCTION("AVERAGE(QUERY(SORT(GOOGLEFINANCE(A16,""price"",TODAY()-300,TODAY()),1,0),""select Col2 limit 100""))"),3955.554)</f>
        <v>3955.554</v>
      </c>
      <c r="E16" s="45">
        <f>IFERROR(__xludf.DUMMYFUNCTION("AVERAGE(QUERY(SORT(GOOGLEFINANCE(A16,""price"",TODAY()-500,TODAY()),1,0),""select Col2 limit 200""))"),4110.5329999999985)</f>
        <v>4110.533</v>
      </c>
      <c r="F16" s="46" t="str">
        <f t="shared" si="1"/>
        <v>In Bear Run</v>
      </c>
      <c r="G16" s="47">
        <f t="shared" si="2"/>
        <v>-24.46235075</v>
      </c>
      <c r="H16" s="48" t="str">
        <f t="shared" si="3"/>
        <v>Inverted ✗</v>
      </c>
      <c r="I16" s="48">
        <f t="shared" si="4"/>
        <v>0</v>
      </c>
      <c r="J16" s="48">
        <f t="shared" si="5"/>
        <v>0</v>
      </c>
      <c r="K16" s="49" t="str">
        <f>IFERROR(__xludf.DUMMYFUNCTION("IFERROR(IF(A16="""",""ENTER STOCK"",LET(stock,A16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6" s="48">
        <f t="shared" si="6"/>
        <v>0</v>
      </c>
      <c r="M16" s="48">
        <f t="shared" si="7"/>
        <v>1</v>
      </c>
      <c r="N16" s="50">
        <f t="shared" si="8"/>
        <v>1</v>
      </c>
      <c r="O16" s="51" t="s">
        <v>121</v>
      </c>
      <c r="P16" s="46" t="str">
        <f t="shared" si="9"/>
        <v>REVERSE TRADE</v>
      </c>
      <c r="Q16" s="52"/>
      <c r="R16" s="53">
        <f t="shared" si="10"/>
        <v>15</v>
      </c>
      <c r="S16" s="53">
        <f>IFERROR(__xludf.DUMMYFUNCTION("IFERROR(ROUND(GOOGLEFINANCE(A16,""volume"")/GOOGLEFINANCE(A16,""volumeavg""),2),"""")"),0.51)</f>
        <v>0.51</v>
      </c>
      <c r="T16" s="53" t="str">
        <f t="shared" si="11"/>
        <v>LOW VOL</v>
      </c>
      <c r="U16" s="53">
        <f>IFERROR(__xludf.DUMMYFUNCTION("IFERROR(
  LET(
    sd, GOOGLEFINANCE(A16,""close"",TODAY()-100,TODAY()),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"""")"),0.58)</f>
        <v>0.58</v>
      </c>
      <c r="V16" s="53" t="str">
        <f t="shared" si="12"/>
        <v>SLOW</v>
      </c>
      <c r="W16" s="53">
        <f>IFERROR(__xludf.DUMMYFUNCTION("IFERROR(ROUND((B16/GOOGLEFINANCE(A16,""high52"")-1)*100,1),"""")"),-34.3)</f>
        <v>-34.3</v>
      </c>
      <c r="X16" s="53">
        <f>IFERROR(__xludf.DUMMYFUNCTION("IFERROR(ROUND((B16-GOOGLEFINANCE(A16,""low52""))/(GOOGLEFINANCE(A16,""high52"")-GOOGLEFINANCE(A16,""low52""))*100,1),"""")"),5.5)</f>
        <v>5.5</v>
      </c>
      <c r="Y16" s="53" t="str">
        <f t="shared" si="13"/>
        <v>MID</v>
      </c>
      <c r="Z16" s="53">
        <f>IFERROR(__xludf.DUMMYFUNCTION("IFERROR(ROUND(((B16 / INDEX(GOOGLEFINANCE(TRIM(A16), ""price"", TODAY()-34, TODAY()), 2, 2)) - (GOOGLEFINANCE(""NIFTY_50"") / INDEX(GOOGLEFINANCE(""NIFTY_50"", ""price"", TODAY()-34, TODAY()), 2, 2))) * 100, 2), ""Check History"")"),10.78)</f>
        <v>10.78</v>
      </c>
      <c r="AA16" s="53" t="str">
        <f t="shared" si="14"/>
        <v>STRONG RS</v>
      </c>
      <c r="AB16" s="53">
        <f>IFERROR(__xludf.DUMMYFUNCTION("IFERROR(LET(
  p, QUERY(GOOGLEFINANCE(TRIM(A16),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Loading"")"),50.4)</f>
        <v>50.4</v>
      </c>
      <c r="AC16" s="53" t="str">
        <f t="shared" si="15"/>
        <v>IDEAL ENTRY</v>
      </c>
      <c r="AD16" s="53" t="str">
        <f>IFERROR(__xludf.DUMMYFUNCTION("IFERROR(IF(GOOGLEFINANCE(A16,""eps"")&gt;0,""EPS+"",""EPS-""),"""")"),"EPS+")</f>
        <v>EPS+</v>
      </c>
      <c r="AE16" s="53">
        <f t="shared" si="16"/>
        <v>2</v>
      </c>
      <c r="AF16" s="53">
        <f>IFERROR(__xludf.DUMMYFUNCTION("IFERROR(N16+IF(S16&gt;=1.2,1,0)+IF(U16&gt;=1,1,0)+IF(Z16&gt;0,1,0)+IF(AND(W16&gt;=-20,W16&lt;=0),1,0)+IF(IFERROR(GOOGLEFINANCE(A16,""eps""),0)&gt;0,1,0),"""")"),3.0)</f>
        <v>3</v>
      </c>
      <c r="AG16" s="53" t="str">
        <f t="shared" si="17"/>
        <v>REVERSE TRADE</v>
      </c>
    </row>
    <row r="17" ht="15.0" customHeight="1">
      <c r="A17" s="43" t="s">
        <v>139</v>
      </c>
      <c r="B17" s="44">
        <f>IFERROR(__xludf.DUMMYFUNCTION("GOOGLEFINANCE(A17,""price"")"),898.75)</f>
        <v>898.75</v>
      </c>
      <c r="C17" s="45">
        <f>IFERROR(__xludf.DUMMYFUNCTION("AVERAGE(QUERY(SORT(GOOGLEFINANCE(A17,""price"",TODAY()-150,TODAY()),1,0),""select Col2 limit 50""))"),773.2510000000001)</f>
        <v>773.251</v>
      </c>
      <c r="D17" s="45">
        <f>IFERROR(__xludf.DUMMYFUNCTION("AVERAGE(QUERY(SORT(GOOGLEFINANCE(A17,""price"",TODAY()-300,TODAY()),1,0),""select Col2 limit 100""))"),845.9679999999998)</f>
        <v>845.968</v>
      </c>
      <c r="E17" s="45">
        <f>IFERROR(__xludf.DUMMYFUNCTION("AVERAGE(QUERY(SORT(GOOGLEFINANCE(A17,""price"",TODAY()-500,TODAY()),1,0),""select Col2 limit 200""))"),943.4787499999999)</f>
        <v>943.47875</v>
      </c>
      <c r="F17" s="46" t="str">
        <f t="shared" si="1"/>
        <v>Unconfirmed</v>
      </c>
      <c r="G17" s="47">
        <f t="shared" si="2"/>
        <v>-4.740832796</v>
      </c>
      <c r="H17" s="48" t="str">
        <f t="shared" si="3"/>
        <v>Inverted ✗</v>
      </c>
      <c r="I17" s="48">
        <f t="shared" si="4"/>
        <v>0</v>
      </c>
      <c r="J17" s="48">
        <f t="shared" si="5"/>
        <v>0</v>
      </c>
      <c r="K17" s="49" t="str">
        <f>IFERROR(__xludf.DUMMYFUNCTION("IFERROR(IF(A17="""",""ENTER STOCK"",LET(stock,A17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7" s="48">
        <f t="shared" si="6"/>
        <v>0</v>
      </c>
      <c r="M17" s="48">
        <f t="shared" si="7"/>
        <v>1</v>
      </c>
      <c r="N17" s="50">
        <f t="shared" si="8"/>
        <v>1</v>
      </c>
      <c r="O17" s="51" t="s">
        <v>129</v>
      </c>
      <c r="P17" s="46" t="str">
        <f t="shared" si="9"/>
        <v>WAIT</v>
      </c>
      <c r="Q17" s="52"/>
      <c r="R17" s="53">
        <f t="shared" si="10"/>
        <v>15</v>
      </c>
      <c r="S17" s="53">
        <f>IFERROR(__xludf.DUMMYFUNCTION("IFERROR(ROUND(GOOGLEFINANCE(A17,""volume"")/GOOGLEFINANCE(A17,""volumeavg""),2),"""")"),0.84)</f>
        <v>0.84</v>
      </c>
      <c r="T17" s="53" t="str">
        <f t="shared" si="11"/>
        <v>LOW VOL</v>
      </c>
      <c r="U17" s="53">
        <f>IFERROR(__xludf.DUMMYFUNCTION("IFERROR(
  LET(
    sd, GOOGLEFINANCE(A17,""close"",TODAY()-100,TODAY()),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"""")"),1.04)</f>
        <v>1.04</v>
      </c>
      <c r="V17" s="53" t="str">
        <f t="shared" si="12"/>
        <v>MEDIUM</v>
      </c>
      <c r="W17" s="53">
        <f>IFERROR(__xludf.DUMMYFUNCTION("IFERROR(ROUND((B17/GOOGLEFINANCE(A17,""high52"")-1)*100,1),"""")"),-22.8)</f>
        <v>-22.8</v>
      </c>
      <c r="X17" s="53">
        <f>IFERROR(__xludf.DUMMYFUNCTION("IFERROR(ROUND((B17-GOOGLEFINANCE(A17,""low52""))/(GOOGLEFINANCE(A17,""high52"")-GOOGLEFINANCE(A17,""low52""))*100,1),"""")"),47.4)</f>
        <v>47.4</v>
      </c>
      <c r="Y17" s="53" t="str">
        <f t="shared" si="13"/>
        <v>MID</v>
      </c>
      <c r="Z17" s="53">
        <f>IFERROR(__xludf.DUMMYFUNCTION("IFERROR(ROUND(((B17 / INDEX(GOOGLEFINANCE(TRIM(A17), ""price"", TODAY()-34, TODAY()), 2, 2)) - (GOOGLEFINANCE(""NIFTY_50"") / INDEX(GOOGLEFINANCE(""NIFTY_50"", ""price"", TODAY()-34, TODAY()), 2, 2))) * 100, 2), ""Check History"")"),27.83)</f>
        <v>27.83</v>
      </c>
      <c r="AA17" s="53" t="str">
        <f t="shared" si="14"/>
        <v>STRONG RS</v>
      </c>
      <c r="AB17" s="53">
        <f>IFERROR(__xludf.DUMMYFUNCTION("IFERROR(LET(
  p, QUERY(GOOGLEFINANCE(TRIM(A17),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Loading"")"),68.6)</f>
        <v>68.6</v>
      </c>
      <c r="AC17" s="53" t="str">
        <f t="shared" si="15"/>
        <v>OVERBOUGHT</v>
      </c>
      <c r="AD17" s="53" t="str">
        <f>IFERROR(__xludf.DUMMYFUNCTION("IFERROR(IF(GOOGLEFINANCE(A17,""eps"")&gt;0,""EPS+"",""EPS-""),"""")"),"EPS+")</f>
        <v>EPS+</v>
      </c>
      <c r="AE17" s="53">
        <f t="shared" si="16"/>
        <v>4</v>
      </c>
      <c r="AF17" s="53">
        <f>IFERROR(__xludf.DUMMYFUNCTION("IFERROR(N17+IF(S17&gt;=1.2,1,0)+IF(U17&gt;=1,1,0)+IF(Z17&gt;0,1,0)+IF(AND(W17&gt;=-20,W17&lt;=0),1,0)+IF(IFERROR(GOOGLEFINANCE(A17,""eps""),0)&gt;0,1,0),"""")"),4.0)</f>
        <v>4</v>
      </c>
      <c r="AG17" s="53" t="str">
        <f t="shared" si="17"/>
        <v>WAIT</v>
      </c>
    </row>
    <row r="18" ht="15.0" customHeight="1">
      <c r="A18" s="43" t="s">
        <v>140</v>
      </c>
      <c r="B18" s="44">
        <f>IFERROR(__xludf.DUMMYFUNCTION("GOOGLEFINANCE(A18,""price"")"),3950.0)</f>
        <v>3950</v>
      </c>
      <c r="C18" s="45">
        <f>IFERROR(__xludf.DUMMYFUNCTION("AVERAGE(QUERY(SORT(GOOGLEFINANCE(A18,""price"",TODAY()-150,TODAY()),1,0),""select Col2 limit 50""))"),4632.858)</f>
        <v>4632.858</v>
      </c>
      <c r="D18" s="45">
        <f>IFERROR(__xludf.DUMMYFUNCTION("AVERAGE(QUERY(SORT(GOOGLEFINANCE(A18,""price"",TODAY()-300,TODAY()),1,0),""select Col2 limit 100""))"),4992.589)</f>
        <v>4992.589</v>
      </c>
      <c r="E18" s="45">
        <f>IFERROR(__xludf.DUMMYFUNCTION("AVERAGE(QUERY(SORT(GOOGLEFINANCE(A18,""price"",TODAY()-500,TODAY()),1,0),""select Col2 limit 200""))"),5377.557)</f>
        <v>5377.557</v>
      </c>
      <c r="F18" s="46" t="str">
        <f t="shared" si="1"/>
        <v>In Bear Run</v>
      </c>
      <c r="G18" s="47">
        <f t="shared" si="2"/>
        <v>-26.54657124</v>
      </c>
      <c r="H18" s="48" t="str">
        <f t="shared" si="3"/>
        <v>Inverted ✗</v>
      </c>
      <c r="I18" s="48">
        <f t="shared" si="4"/>
        <v>0</v>
      </c>
      <c r="J18" s="48">
        <f t="shared" si="5"/>
        <v>0</v>
      </c>
      <c r="K18" s="49" t="str">
        <f>IFERROR(__xludf.DUMMYFUNCTION("IFERROR(IF(A18="""",""ENTER STOCK"",LET(stock,A18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8" s="48">
        <f t="shared" si="6"/>
        <v>0</v>
      </c>
      <c r="M18" s="48">
        <f t="shared" si="7"/>
        <v>1</v>
      </c>
      <c r="N18" s="50">
        <f t="shared" si="8"/>
        <v>1</v>
      </c>
      <c r="O18" s="51" t="s">
        <v>141</v>
      </c>
      <c r="P18" s="46" t="str">
        <f t="shared" si="9"/>
        <v>REVERSE TRADE</v>
      </c>
      <c r="Q18" s="52"/>
      <c r="R18" s="53">
        <f t="shared" si="10"/>
        <v>15</v>
      </c>
      <c r="S18" s="53">
        <f>IFERROR(__xludf.DUMMYFUNCTION("IFERROR(ROUND(GOOGLEFINANCE(A18,""volume"")/GOOGLEFINANCE(A18,""volumeavg""),2),"""")"),1.57)</f>
        <v>1.57</v>
      </c>
      <c r="T18" s="53" t="str">
        <f t="shared" si="11"/>
        <v>HIGH VOL</v>
      </c>
      <c r="U18" s="53">
        <f>IFERROR(__xludf.DUMMYFUNCTION("IFERROR(
  LET(
    sd, GOOGLEFINANCE(A18,""close"",TODAY()-100,TODAY()),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"""")"),1.63)</f>
        <v>1.63</v>
      </c>
      <c r="V18" s="53" t="str">
        <f t="shared" si="12"/>
        <v>FAST</v>
      </c>
      <c r="W18" s="53">
        <f>IFERROR(__xludf.DUMMYFUNCTION("IFERROR(ROUND((B18/GOOGLEFINANCE(A18,""high52"")-1)*100,1),"""")"),-36.6)</f>
        <v>-36.6</v>
      </c>
      <c r="X18" s="53">
        <f>IFERROR(__xludf.DUMMYFUNCTION("IFERROR(ROUND((B18-GOOGLEFINANCE(A18,""low52""))/(GOOGLEFINANCE(A18,""high52"")-GOOGLEFINANCE(A18,""low52""))*100,1),"""")"),2.3)</f>
        <v>2.3</v>
      </c>
      <c r="Y18" s="53" t="str">
        <f t="shared" si="13"/>
        <v>MID</v>
      </c>
      <c r="Z18" s="53">
        <f>IFERROR(__xludf.DUMMYFUNCTION("IFERROR(ROUND(((B18 / INDEX(GOOGLEFINANCE(TRIM(A18), ""price"", TODAY()-34, TODAY()), 2, 2)) - (GOOGLEFINANCE(""NIFTY_50"") / INDEX(GOOGLEFINANCE(""NIFTY_50"", ""price"", TODAY()-34, TODAY()), 2, 2))) * 100, 2), ""Check History"")"),-6.4)</f>
        <v>-6.4</v>
      </c>
      <c r="AA18" s="53" t="str">
        <f t="shared" si="14"/>
        <v>WEAK RS</v>
      </c>
      <c r="AB18" s="53">
        <f>IFERROR(__xludf.DUMMYFUNCTION("IFERROR(LET(
  p, QUERY(GOOGLEFINANCE(TRIM(A18),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Loading"")"),48.4)</f>
        <v>48.4</v>
      </c>
      <c r="AC18" s="53" t="str">
        <f t="shared" si="15"/>
        <v>IDEAL ENTRY</v>
      </c>
      <c r="AD18" s="53" t="str">
        <f>IFERROR(__xludf.DUMMYFUNCTION("IFERROR(IF(GOOGLEFINANCE(A18,""eps"")&gt;0,""EPS+"",""EPS-""),"""")"),"EPS+")</f>
        <v>EPS+</v>
      </c>
      <c r="AE18" s="53">
        <f t="shared" si="16"/>
        <v>6</v>
      </c>
      <c r="AF18" s="53">
        <f>IFERROR(__xludf.DUMMYFUNCTION("IFERROR(N18+IF(S18&gt;=1.2,1,0)+IF(U18&gt;=1,1,0)+IF(Z18&gt;0,1,0)+IF(AND(W18&gt;=-20,W18&lt;=0),1,0)+IF(IFERROR(GOOGLEFINANCE(A18,""eps""),0)&gt;0,1,0),"""")"),4.0)</f>
        <v>4</v>
      </c>
      <c r="AG18" s="53" t="str">
        <f t="shared" si="17"/>
        <v>REVERSE TRADE</v>
      </c>
    </row>
    <row r="19" ht="15.0" customHeight="1">
      <c r="A19" s="43" t="s">
        <v>142</v>
      </c>
      <c r="B19" s="44">
        <f>IFERROR(__xludf.DUMMYFUNCTION("GOOGLEFINANCE(A19,""price"")"),32185.0)</f>
        <v>32185</v>
      </c>
      <c r="C19" s="45">
        <f>IFERROR(__xludf.DUMMYFUNCTION("AVERAGE(QUERY(SORT(GOOGLEFINANCE(A19,""price"",TODAY()-150,TODAY()),1,0),""select Col2 limit 50""))"),32697.5)</f>
        <v>32697.5</v>
      </c>
      <c r="D19" s="45">
        <f>IFERROR(__xludf.DUMMYFUNCTION("AVERAGE(QUERY(SORT(GOOGLEFINANCE(A19,""price"",TODAY()-300,TODAY()),1,0),""select Col2 limit 100""))"),35075.0)</f>
        <v>35075</v>
      </c>
      <c r="E19" s="45">
        <f>IFERROR(__xludf.DUMMYFUNCTION("AVERAGE(QUERY(SORT(GOOGLEFINANCE(A19,""price"",TODAY()-500,TODAY()),1,0),""select Col2 limit 200""))"),39990.125)</f>
        <v>39990.125</v>
      </c>
      <c r="F19" s="46" t="str">
        <f t="shared" si="1"/>
        <v>In Bear Run</v>
      </c>
      <c r="G19" s="47">
        <f t="shared" si="2"/>
        <v>-19.51763092</v>
      </c>
      <c r="H19" s="48" t="str">
        <f t="shared" si="3"/>
        <v>Inverted ✗</v>
      </c>
      <c r="I19" s="48">
        <f t="shared" si="4"/>
        <v>0</v>
      </c>
      <c r="J19" s="48">
        <f t="shared" si="5"/>
        <v>0</v>
      </c>
      <c r="K19" s="49" t="str">
        <f>IFERROR(__xludf.DUMMYFUNCTION("IFERROR(IF(A19="""",""ENTER STOCK"",LET(stock,A19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9" s="48">
        <f t="shared" si="6"/>
        <v>0</v>
      </c>
      <c r="M19" s="48">
        <f t="shared" si="7"/>
        <v>1</v>
      </c>
      <c r="N19" s="50">
        <f t="shared" si="8"/>
        <v>1</v>
      </c>
      <c r="O19" s="51" t="s">
        <v>143</v>
      </c>
      <c r="P19" s="46" t="str">
        <f t="shared" si="9"/>
        <v>REVERSE TRADE</v>
      </c>
      <c r="Q19" s="52"/>
      <c r="R19" s="53">
        <f t="shared" si="10"/>
        <v>15</v>
      </c>
      <c r="S19" s="53">
        <f>IFERROR(__xludf.DUMMYFUNCTION("IFERROR(ROUND(GOOGLEFINANCE(A19,""volume"")/GOOGLEFINANCE(A19,""volumeavg""),2),"""")"),2.15)</f>
        <v>2.15</v>
      </c>
      <c r="T19" s="53" t="str">
        <f t="shared" si="11"/>
        <v>HIGH VOL</v>
      </c>
      <c r="U19" s="53">
        <f>IFERROR(__xludf.DUMMYFUNCTION("IFERROR(
  LET(
    sd, GOOGLEFINANCE(A19,""close"",TODAY()-100,TODAY()),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"""")"),0.86)</f>
        <v>0.86</v>
      </c>
      <c r="V19" s="53" t="str">
        <f t="shared" si="12"/>
        <v>SLOW</v>
      </c>
      <c r="W19" s="53">
        <f>IFERROR(__xludf.DUMMYFUNCTION("IFERROR(ROUND((B19/GOOGLEFINANCE(A19,""high52"")-1)*100,1),"""")"),-36.4)</f>
        <v>-36.4</v>
      </c>
      <c r="X19" s="53">
        <f>IFERROR(__xludf.DUMMYFUNCTION("IFERROR(ROUND((B19-GOOGLEFINANCE(A19,""low52""))/(GOOGLEFINANCE(A19,""high52"")-GOOGLEFINANCE(A19,""low52""))*100,1),"""")"),11.5)</f>
        <v>11.5</v>
      </c>
      <c r="Y19" s="53" t="str">
        <f t="shared" si="13"/>
        <v>MID</v>
      </c>
      <c r="Z19" s="53">
        <f>IFERROR(__xludf.DUMMYFUNCTION("IFERROR(ROUND(((B19 / INDEX(GOOGLEFINANCE(TRIM(A19), ""price"", TODAY()-34, TODAY()), 2, 2)) - (GOOGLEFINANCE(""NIFTY_50"") / INDEX(GOOGLEFINANCE(""NIFTY_50"", ""price"", TODAY()-34, TODAY()), 2, 2))) * 100, 2), ""Check History"")"),9.23)</f>
        <v>9.23</v>
      </c>
      <c r="AA19" s="53" t="str">
        <f t="shared" si="14"/>
        <v>STRONG RS</v>
      </c>
      <c r="AB19" s="53">
        <f>IFERROR(__xludf.DUMMYFUNCTION("IFERROR(LET(
  p, QUERY(GOOGLEFINANCE(TRIM(A19),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Loading"")"),54.2)</f>
        <v>54.2</v>
      </c>
      <c r="AC19" s="53" t="str">
        <f t="shared" si="15"/>
        <v>IDEAL ENTRY</v>
      </c>
      <c r="AD19" s="53" t="str">
        <f>IFERROR(__xludf.DUMMYFUNCTION("IFERROR(IF(GOOGLEFINANCE(A19,""eps"")&gt;0,""EPS+"",""EPS-""),"""")"),"EPS+")</f>
        <v>EPS+</v>
      </c>
      <c r="AE19" s="53">
        <f t="shared" si="16"/>
        <v>6</v>
      </c>
      <c r="AF19" s="53">
        <f>IFERROR(__xludf.DUMMYFUNCTION("IFERROR(N19+IF(S19&gt;=1.2,1,0)+IF(U19&gt;=1,1,0)+IF(Z19&gt;0,1,0)+IF(AND(W19&gt;=-20,W19&lt;=0),1,0)+IF(IFERROR(GOOGLEFINANCE(A19,""eps""),0)&gt;0,1,0),"""")"),4.0)</f>
        <v>4</v>
      </c>
      <c r="AG19" s="53" t="str">
        <f t="shared" si="17"/>
        <v>REVERSE TRADE</v>
      </c>
    </row>
    <row r="20" ht="15.0" customHeight="1">
      <c r="A20" s="43" t="s">
        <v>144</v>
      </c>
      <c r="B20" s="44">
        <f>IFERROR(__xludf.DUMMYFUNCTION("GOOGLEFINANCE(A20,""price"")"),3298.8)</f>
        <v>3298.8</v>
      </c>
      <c r="C20" s="45">
        <f>IFERROR(__xludf.DUMMYFUNCTION("AVERAGE(QUERY(SORT(GOOGLEFINANCE(A20,""price"",TODAY()-150,TODAY()),1,0),""select Col2 limit 50""))"),3830.2219999999998)</f>
        <v>3830.222</v>
      </c>
      <c r="D20" s="45">
        <f>IFERROR(__xludf.DUMMYFUNCTION("AVERAGE(QUERY(SORT(GOOGLEFINANCE(A20,""price"",TODAY()-300,TODAY()),1,0),""select Col2 limit 100""))"),4037.0570000000007)</f>
        <v>4037.057</v>
      </c>
      <c r="E20" s="45">
        <f>IFERROR(__xludf.DUMMYFUNCTION("AVERAGE(QUERY(SORT(GOOGLEFINANCE(A20,""price"",TODAY()-500,TODAY()),1,0),""select Col2 limit 200""))"),4652.3695)</f>
        <v>4652.3695</v>
      </c>
      <c r="F20" s="46" t="str">
        <f t="shared" si="1"/>
        <v>In Bear Run</v>
      </c>
      <c r="G20" s="47">
        <f t="shared" si="2"/>
        <v>-29.09419598</v>
      </c>
      <c r="H20" s="48" t="str">
        <f t="shared" si="3"/>
        <v>Inverted ✗</v>
      </c>
      <c r="I20" s="48">
        <f t="shared" si="4"/>
        <v>0</v>
      </c>
      <c r="J20" s="48">
        <f t="shared" si="5"/>
        <v>0</v>
      </c>
      <c r="K20" s="49" t="str">
        <f>IFERROR(__xludf.DUMMYFUNCTION("IFERROR(IF(A20="""",""ENTER STOCK"",LET(stock,A20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0" s="48">
        <f t="shared" si="6"/>
        <v>0</v>
      </c>
      <c r="M20" s="48">
        <f t="shared" si="7"/>
        <v>1</v>
      </c>
      <c r="N20" s="50">
        <f t="shared" si="8"/>
        <v>1</v>
      </c>
      <c r="O20" s="51" t="s">
        <v>145</v>
      </c>
      <c r="P20" s="46" t="str">
        <f t="shared" si="9"/>
        <v>REVERSE TRADE</v>
      </c>
      <c r="Q20" s="52"/>
      <c r="R20" s="53">
        <f t="shared" si="10"/>
        <v>15</v>
      </c>
      <c r="S20" s="53">
        <f>IFERROR(__xludf.DUMMYFUNCTION("IFERROR(ROUND(GOOGLEFINANCE(A20,""volume"")/GOOGLEFINANCE(A20,""volumeavg""),2),"""")"),2.51)</f>
        <v>2.51</v>
      </c>
      <c r="T20" s="53" t="str">
        <f t="shared" si="11"/>
        <v>HIGH VOL</v>
      </c>
      <c r="U20" s="53">
        <f>IFERROR(__xludf.DUMMYFUNCTION("IFERROR(
  LET(
    sd, GOOGLEFINANCE(A20,""close"",TODAY()-100,TODAY()),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"""")"),1.31)</f>
        <v>1.31</v>
      </c>
      <c r="V20" s="53" t="str">
        <f t="shared" si="12"/>
        <v>FAST</v>
      </c>
      <c r="W20" s="53">
        <f>IFERROR(__xludf.DUMMYFUNCTION("IFERROR(ROUND((B20/GOOGLEFINANCE(A20,""high52"")-1)*100,1),"""")"),-47.3)</f>
        <v>-47.3</v>
      </c>
      <c r="X20" s="53">
        <f>IFERROR(__xludf.DUMMYFUNCTION("IFERROR(ROUND((B20-GOOGLEFINANCE(A20,""low52""))/(GOOGLEFINANCE(A20,""high52"")-GOOGLEFINANCE(A20,""low52""))*100,1),"""")"),0.8)</f>
        <v>0.8</v>
      </c>
      <c r="Y20" s="53" t="str">
        <f t="shared" si="13"/>
        <v>DEEP RECOVERY</v>
      </c>
      <c r="Z20" s="53">
        <f>IFERROR(__xludf.DUMMYFUNCTION("IFERROR(ROUND(((B20 / INDEX(GOOGLEFINANCE(TRIM(A20), ""price"", TODAY()-34, TODAY()), 2, 2)) - (GOOGLEFINANCE(""NIFTY_50"") / INDEX(GOOGLEFINANCE(""NIFTY_50"", ""price"", TODAY()-34, TODAY()), 2, 2))) * 100, 2), ""Check History"")"),-3.92)</f>
        <v>-3.92</v>
      </c>
      <c r="AA20" s="53" t="str">
        <f t="shared" si="14"/>
        <v>WEAK RS</v>
      </c>
      <c r="AB20" s="53">
        <f>IFERROR(__xludf.DUMMYFUNCTION("IFERROR(LET(
  p, QUERY(GOOGLEFINANCE(TRIM(A20),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Loading"")"),32.9)</f>
        <v>32.9</v>
      </c>
      <c r="AC20" s="53" t="str">
        <f t="shared" si="15"/>
        <v>WEAK MOM</v>
      </c>
      <c r="AD20" s="53" t="str">
        <f>IFERROR(__xludf.DUMMYFUNCTION("IFERROR(IF(GOOGLEFINANCE(A20,""eps"")&gt;0,""EPS+"",""EPS-""),"""")"),"EPS+")</f>
        <v>EPS+</v>
      </c>
      <c r="AE20" s="53">
        <f t="shared" si="16"/>
        <v>6</v>
      </c>
      <c r="AF20" s="53">
        <f>IFERROR(__xludf.DUMMYFUNCTION("IFERROR(N20+IF(S20&gt;=1.2,1,0)+IF(U20&gt;=1,1,0)+IF(Z20&gt;0,1,0)+IF(AND(W20&gt;=-20,W20&lt;=0),1,0)+IF(IFERROR(GOOGLEFINANCE(A20,""eps""),0)&gt;0,1,0),"""")"),4.0)</f>
        <v>4</v>
      </c>
      <c r="AG20" s="53" t="str">
        <f t="shared" si="17"/>
        <v>REVERSE TRADE</v>
      </c>
    </row>
    <row r="21" ht="15.0" customHeight="1">
      <c r="A21" s="43" t="s">
        <v>146</v>
      </c>
      <c r="B21" s="44">
        <f>IFERROR(__xludf.DUMMYFUNCTION("GOOGLEFINANCE(A21,""price"")"),117.6)</f>
        <v>117.6</v>
      </c>
      <c r="C21" s="45">
        <f>IFERROR(__xludf.DUMMYFUNCTION("AVERAGE(QUERY(SORT(GOOGLEFINANCE(A21,""price"",TODAY()-150,TODAY()),1,0),""select Col2 limit 50""))"),142.9796000000001)</f>
        <v>142.9796</v>
      </c>
      <c r="D21" s="45">
        <f>IFERROR(__xludf.DUMMYFUNCTION("AVERAGE(QUERY(SORT(GOOGLEFINANCE(A21,""price"",TODAY()-300,TODAY()),1,0),""select Col2 limit 100""))"),154.40620000000007)</f>
        <v>154.4062</v>
      </c>
      <c r="E21" s="45">
        <f>IFERROR(__xludf.DUMMYFUNCTION("AVERAGE(QUERY(SORT(GOOGLEFINANCE(A21,""price"",TODAY()-500,TODAY()),1,0),""select Col2 limit 200""))"),172.07475000000005)</f>
        <v>172.07475</v>
      </c>
      <c r="F21" s="46" t="str">
        <f t="shared" si="1"/>
        <v>In Bear Run</v>
      </c>
      <c r="G21" s="47">
        <f t="shared" si="2"/>
        <v>-31.6576081</v>
      </c>
      <c r="H21" s="48" t="str">
        <f t="shared" si="3"/>
        <v>Inverted ✗</v>
      </c>
      <c r="I21" s="48">
        <f t="shared" si="4"/>
        <v>0</v>
      </c>
      <c r="J21" s="48">
        <f t="shared" si="5"/>
        <v>0</v>
      </c>
      <c r="K21" s="49" t="str">
        <f>IFERROR(__xludf.DUMMYFUNCTION("IFERROR(IF(A21="""",""ENTER STOCK"",LET(stock,A21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1" s="48">
        <f t="shared" si="6"/>
        <v>0</v>
      </c>
      <c r="M21" s="48">
        <f t="shared" si="7"/>
        <v>1</v>
      </c>
      <c r="N21" s="50">
        <f t="shared" si="8"/>
        <v>1</v>
      </c>
      <c r="O21" s="51" t="s">
        <v>147</v>
      </c>
      <c r="P21" s="46" t="str">
        <f t="shared" si="9"/>
        <v>REVERSE TRADE</v>
      </c>
      <c r="Q21" s="52"/>
      <c r="R21" s="53">
        <f t="shared" si="10"/>
        <v>15</v>
      </c>
      <c r="S21" s="53">
        <f>IFERROR(__xludf.DUMMYFUNCTION("IFERROR(ROUND(GOOGLEFINANCE(A21,""volume"")/GOOGLEFINANCE(A21,""volumeavg""),2),"""")"),1.65)</f>
        <v>1.65</v>
      </c>
      <c r="T21" s="53" t="str">
        <f t="shared" si="11"/>
        <v>HIGH VOL</v>
      </c>
      <c r="U21" s="53">
        <f>IFERROR(__xludf.DUMMYFUNCTION("IFERROR(
  LET(
    sd, GOOGLEFINANCE(A21,""close"",TODAY()-100,TODAY()),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"""")"),1.34)</f>
        <v>1.34</v>
      </c>
      <c r="V21" s="53" t="str">
        <f t="shared" si="12"/>
        <v>FAST</v>
      </c>
      <c r="W21" s="53">
        <f>IFERROR(__xludf.DUMMYFUNCTION("IFERROR(ROUND((B21/GOOGLEFINANCE(A21,""high52"")-1)*100,1),"""")"),-45.2)</f>
        <v>-45.2</v>
      </c>
      <c r="X21" s="53">
        <f>IFERROR(__xludf.DUMMYFUNCTION("IFERROR(ROUND((B21-GOOGLEFINANCE(A21,""low52""))/(GOOGLEFINANCE(A21,""high52"")-GOOGLEFINANCE(A21,""low52""))*100,1),"""")"),0.6)</f>
        <v>0.6</v>
      </c>
      <c r="Y21" s="53" t="str">
        <f t="shared" si="13"/>
        <v>DEEP RECOVERY</v>
      </c>
      <c r="Z21" s="53">
        <f>IFERROR(__xludf.DUMMYFUNCTION("IFERROR(ROUND(((B21 / INDEX(GOOGLEFINANCE(TRIM(A21), ""price"", TODAY()-34, TODAY()), 2, 2)) - (GOOGLEFINANCE(""NIFTY_50"") / INDEX(GOOGLEFINANCE(""NIFTY_50"", ""price"", TODAY()-34, TODAY()), 2, 2))) * 100, 2), ""Check History"")"),-9.16)</f>
        <v>-9.16</v>
      </c>
      <c r="AA21" s="53" t="str">
        <f t="shared" si="14"/>
        <v>WEAK RS</v>
      </c>
      <c r="AB21" s="53">
        <f>IFERROR(__xludf.DUMMYFUNCTION("IFERROR(LET(
  p, QUERY(GOOGLEFINANCE(TRIM(A21),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Loading"")"),29.9)</f>
        <v>29.9</v>
      </c>
      <c r="AC21" s="53" t="str">
        <f t="shared" si="15"/>
        <v>WEAK MOM</v>
      </c>
      <c r="AD21" s="53" t="str">
        <f>IFERROR(__xludf.DUMMYFUNCTION("IFERROR(IF(GOOGLEFINANCE(A21,""eps"")&gt;0,""EPS+"",""EPS-""),"""")"),"EPS+")</f>
        <v>EPS+</v>
      </c>
      <c r="AE21" s="53">
        <f t="shared" si="16"/>
        <v>6</v>
      </c>
      <c r="AF21" s="53">
        <f>IFERROR(__xludf.DUMMYFUNCTION("IFERROR(N21+IF(S21&gt;=1.2,1,0)+IF(U21&gt;=1,1,0)+IF(Z21&gt;0,1,0)+IF(AND(W21&gt;=-20,W21&lt;=0),1,0)+IF(IFERROR(GOOGLEFINANCE(A21,""eps""),0)&gt;0,1,0),"""")"),4.0)</f>
        <v>4</v>
      </c>
      <c r="AG21" s="53" t="str">
        <f t="shared" si="17"/>
        <v>REVERSE TRADE</v>
      </c>
    </row>
    <row r="22" ht="15.0" customHeight="1">
      <c r="A22" s="43" t="s">
        <v>148</v>
      </c>
      <c r="B22" s="44">
        <f>IFERROR(__xludf.DUMMYFUNCTION("GOOGLEFINANCE(A22,""price"")"),503.8)</f>
        <v>503.8</v>
      </c>
      <c r="C22" s="45">
        <f>IFERROR(__xludf.DUMMYFUNCTION("AVERAGE(QUERY(SORT(GOOGLEFINANCE(A22,""price"",TODAY()-150,TODAY()),1,0),""select Col2 limit 50""))"),603.0279999999999)</f>
        <v>603.028</v>
      </c>
      <c r="D22" s="45">
        <f>IFERROR(__xludf.DUMMYFUNCTION("AVERAGE(QUERY(SORT(GOOGLEFINANCE(A22,""price"",TODAY()-300,TODAY()),1,0),""select Col2 limit 100""))"),658.64)</f>
        <v>658.64</v>
      </c>
      <c r="E22" s="45">
        <f>IFERROR(__xludf.DUMMYFUNCTION("AVERAGE(QUERY(SORT(GOOGLEFINANCE(A22,""price"",TODAY()-500,TODAY()),1,0),""select Col2 limit 200""))"),723.3059999999998)</f>
        <v>723.306</v>
      </c>
      <c r="F22" s="46" t="str">
        <f t="shared" si="1"/>
        <v>In Bear Run</v>
      </c>
      <c r="G22" s="47">
        <f t="shared" si="2"/>
        <v>-30.34759839</v>
      </c>
      <c r="H22" s="48" t="str">
        <f t="shared" si="3"/>
        <v>Inverted ✗</v>
      </c>
      <c r="I22" s="48">
        <f t="shared" si="4"/>
        <v>0</v>
      </c>
      <c r="J22" s="48">
        <f t="shared" si="5"/>
        <v>0</v>
      </c>
      <c r="K22" s="49" t="str">
        <f>IFERROR(__xludf.DUMMYFUNCTION("IFERROR(IF(A22="""",""ENTER STOCK"",LET(stock,A22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2" s="48">
        <f t="shared" si="6"/>
        <v>0</v>
      </c>
      <c r="M22" s="48">
        <f t="shared" si="7"/>
        <v>1</v>
      </c>
      <c r="N22" s="50">
        <f t="shared" si="8"/>
        <v>1</v>
      </c>
      <c r="O22" s="51" t="s">
        <v>134</v>
      </c>
      <c r="P22" s="46" t="str">
        <f t="shared" si="9"/>
        <v>REVERSE TRADE</v>
      </c>
      <c r="Q22" s="52"/>
      <c r="R22" s="53">
        <f t="shared" si="10"/>
        <v>15</v>
      </c>
      <c r="S22" s="53">
        <f>IFERROR(__xludf.DUMMYFUNCTION("IFERROR(ROUND(GOOGLEFINANCE(A22,""volume"")/GOOGLEFINANCE(A22,""volumeavg""),2),"""")"),1.52)</f>
        <v>1.52</v>
      </c>
      <c r="T22" s="53" t="str">
        <f t="shared" si="11"/>
        <v>HIGH VOL</v>
      </c>
      <c r="U22" s="53">
        <f>IFERROR(__xludf.DUMMYFUNCTION("IFERROR(
  LET(
    sd, GOOGLEFINANCE(A22,""close"",TODAY()-100,TODAY()),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"""")"),1.56)</f>
        <v>1.56</v>
      </c>
      <c r="V22" s="53" t="str">
        <f t="shared" si="12"/>
        <v>FAST</v>
      </c>
      <c r="W22" s="53">
        <f>IFERROR(__xludf.DUMMYFUNCTION("IFERROR(ROUND((B22/GOOGLEFINANCE(A22,""high52"")-1)*100,1),"""")"),-43.2)</f>
        <v>-43.2</v>
      </c>
      <c r="X22" s="53">
        <f>IFERROR(__xludf.DUMMYFUNCTION("IFERROR(ROUND((B22-GOOGLEFINANCE(A22,""low52""))/(GOOGLEFINANCE(A22,""high52"")-GOOGLEFINANCE(A22,""low52""))*100,1),"""")"),0.4)</f>
        <v>0.4</v>
      </c>
      <c r="Y22" s="53" t="str">
        <f t="shared" si="13"/>
        <v>DEEP RECOVERY</v>
      </c>
      <c r="Z22" s="53">
        <f>IFERROR(__xludf.DUMMYFUNCTION("IFERROR(ROUND(((B22 / INDEX(GOOGLEFINANCE(TRIM(A22), ""price"", TODAY()-34, TODAY()), 2, 2)) - (GOOGLEFINANCE(""NIFTY_50"") / INDEX(GOOGLEFINANCE(""NIFTY_50"", ""price"", TODAY()-34, TODAY()), 2, 2))) * 100, 2), ""Check History"")"),-5.47)</f>
        <v>-5.47</v>
      </c>
      <c r="AA22" s="53" t="str">
        <f t="shared" si="14"/>
        <v>WEAK RS</v>
      </c>
      <c r="AB22" s="53">
        <f>IFERROR(__xludf.DUMMYFUNCTION("IFERROR(LET(
  p, QUERY(GOOGLEFINANCE(TRIM(A22),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Loading"")"),45.6)</f>
        <v>45.6</v>
      </c>
      <c r="AC22" s="53" t="str">
        <f t="shared" si="15"/>
        <v>IDEAL ENTRY</v>
      </c>
      <c r="AD22" s="53" t="str">
        <f>IFERROR(__xludf.DUMMYFUNCTION("IFERROR(IF(GOOGLEFINANCE(A22,""eps"")&gt;0,""EPS+"",""EPS-""),"""")"),"EPS+")</f>
        <v>EPS+</v>
      </c>
      <c r="AE22" s="53">
        <f t="shared" si="16"/>
        <v>6</v>
      </c>
      <c r="AF22" s="53">
        <f>IFERROR(__xludf.DUMMYFUNCTION("IFERROR(N22+IF(S22&gt;=1.2,1,0)+IF(U22&gt;=1,1,0)+IF(Z22&gt;0,1,0)+IF(AND(W22&gt;=-20,W22&lt;=0),1,0)+IF(IFERROR(GOOGLEFINANCE(A22,""eps""),0)&gt;0,1,0),"""")"),4.0)</f>
        <v>4</v>
      </c>
      <c r="AG22" s="53" t="str">
        <f t="shared" si="17"/>
        <v>REVERSE TRADE</v>
      </c>
    </row>
    <row r="23" ht="15.0" customHeight="1">
      <c r="A23" s="43" t="s">
        <v>149</v>
      </c>
      <c r="B23" s="44">
        <f>IFERROR(__xludf.DUMMYFUNCTION("GOOGLEFINANCE(A23,""price"")"),3976.0)</f>
        <v>3976</v>
      </c>
      <c r="C23" s="45">
        <f>IFERROR(__xludf.DUMMYFUNCTION("AVERAGE(QUERY(SORT(GOOGLEFINANCE(A23,""price"",TODAY()-150,TODAY()),1,0),""select Col2 limit 50""))"),4803.474)</f>
        <v>4803.474</v>
      </c>
      <c r="D23" s="45">
        <f>IFERROR(__xludf.DUMMYFUNCTION("AVERAGE(QUERY(SORT(GOOGLEFINANCE(A23,""price"",TODAY()-300,TODAY()),1,0),""select Col2 limit 100""))"),5040.592000000001)</f>
        <v>5040.592</v>
      </c>
      <c r="E23" s="45">
        <f>IFERROR(__xludf.DUMMYFUNCTION("AVERAGE(QUERY(SORT(GOOGLEFINANCE(A23,""price"",TODAY()-500,TODAY()),1,0),""select Col2 limit 200""))"),5429.5985)</f>
        <v>5429.5985</v>
      </c>
      <c r="F23" s="46" t="str">
        <f t="shared" si="1"/>
        <v>In Bear Run</v>
      </c>
      <c r="G23" s="47">
        <f t="shared" si="2"/>
        <v>-26.77174933</v>
      </c>
      <c r="H23" s="48" t="str">
        <f t="shared" si="3"/>
        <v>Inverted ✗</v>
      </c>
      <c r="I23" s="48">
        <f t="shared" si="4"/>
        <v>0</v>
      </c>
      <c r="J23" s="48">
        <f t="shared" si="5"/>
        <v>0</v>
      </c>
      <c r="K23" s="49" t="str">
        <f>IFERROR(__xludf.DUMMYFUNCTION("IFERROR(IF(A23="""",""ENTER STOCK"",LET(stock,A23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3" s="48">
        <f t="shared" si="6"/>
        <v>0</v>
      </c>
      <c r="M23" s="48">
        <f t="shared" si="7"/>
        <v>1</v>
      </c>
      <c r="N23" s="50">
        <f t="shared" si="8"/>
        <v>1</v>
      </c>
      <c r="O23" s="51" t="s">
        <v>121</v>
      </c>
      <c r="P23" s="46" t="str">
        <f t="shared" si="9"/>
        <v>REVERSE TRADE</v>
      </c>
      <c r="Q23" s="52"/>
      <c r="R23" s="53">
        <f t="shared" si="10"/>
        <v>15</v>
      </c>
      <c r="S23" s="53">
        <f>IFERROR(__xludf.DUMMYFUNCTION("IFERROR(ROUND(GOOGLEFINANCE(A23,""volume"")/GOOGLEFINANCE(A23,""volumeavg""),2),"""")"),1.11)</f>
        <v>1.11</v>
      </c>
      <c r="T23" s="53" t="str">
        <f t="shared" si="11"/>
        <v>LOW VOL</v>
      </c>
      <c r="U23" s="53">
        <f>IFERROR(__xludf.DUMMYFUNCTION("IFERROR(
  LET(
    sd, GOOGLEFINANCE(A23,""close"",TODAY()-100,TODAY()),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"""")"),0.95)</f>
        <v>0.95</v>
      </c>
      <c r="V23" s="53" t="str">
        <f t="shared" si="12"/>
        <v>MEDIUM</v>
      </c>
      <c r="W23" s="53">
        <f>IFERROR(__xludf.DUMMYFUNCTION("IFERROR(ROUND((B23/GOOGLEFINANCE(A23,""high52"")-1)*100,1),"""")"),-41.0)</f>
        <v>-41</v>
      </c>
      <c r="X23" s="53">
        <f>IFERROR(__xludf.DUMMYFUNCTION("IFERROR(ROUND((B23-GOOGLEFINANCE(A23,""low52""))/(GOOGLEFINANCE(A23,""high52"")-GOOGLEFINANCE(A23,""low52""))*100,1),"""")"),0.4)</f>
        <v>0.4</v>
      </c>
      <c r="Y23" s="53" t="str">
        <f t="shared" si="13"/>
        <v>DEEP RECOVERY</v>
      </c>
      <c r="Z23" s="53">
        <f>IFERROR(__xludf.DUMMYFUNCTION("IFERROR(ROUND(((B23 / INDEX(GOOGLEFINANCE(TRIM(A23), ""price"", TODAY()-34, TODAY()), 2, 2)) - (GOOGLEFINANCE(""NIFTY_50"") / INDEX(GOOGLEFINANCE(""NIFTY_50"", ""price"", TODAY()-34, TODAY()), 2, 2))) * 100, 2), ""Check History"")"),0.56)</f>
        <v>0.56</v>
      </c>
      <c r="AA23" s="53" t="str">
        <f t="shared" si="14"/>
        <v>MILD RS</v>
      </c>
      <c r="AB23" s="53">
        <f>IFERROR(__xludf.DUMMYFUNCTION("IFERROR(LET(
  p, QUERY(GOOGLEFINANCE(TRIM(A23),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Loading"")"),50.7)</f>
        <v>50.7</v>
      </c>
      <c r="AC23" s="53" t="str">
        <f t="shared" si="15"/>
        <v>IDEAL ENTRY</v>
      </c>
      <c r="AD23" s="53" t="str">
        <f>IFERROR(__xludf.DUMMYFUNCTION("IFERROR(IF(GOOGLEFINANCE(A23,""eps"")&gt;0,""EPS+"",""EPS-""),"""")"),"EPS+")</f>
        <v>EPS+</v>
      </c>
      <c r="AE23" s="53">
        <f t="shared" si="16"/>
        <v>4</v>
      </c>
      <c r="AF23" s="53">
        <f>IFERROR(__xludf.DUMMYFUNCTION("IFERROR(N23+IF(S23&gt;=1.2,1,0)+IF(U23&gt;=1,1,0)+IF(Z23&gt;0,1,0)+IF(AND(W23&gt;=-20,W23&lt;=0),1,0)+IF(IFERROR(GOOGLEFINANCE(A23,""eps""),0)&gt;0,1,0),"""")"),3.0)</f>
        <v>3</v>
      </c>
      <c r="AG23" s="53" t="str">
        <f t="shared" si="17"/>
        <v>REVERSE TRADE</v>
      </c>
    </row>
    <row r="24" ht="15.0" customHeight="1">
      <c r="A24" s="43" t="s">
        <v>150</v>
      </c>
      <c r="B24" s="44">
        <f>IFERROR(__xludf.DUMMYFUNCTION("GOOGLEFINANCE(A24,""price"")"),495.25)</f>
        <v>495.25</v>
      </c>
      <c r="C24" s="45">
        <f>IFERROR(__xludf.DUMMYFUNCTION("AVERAGE(QUERY(SORT(GOOGLEFINANCE(A24,""price"",TODAY()-150,TODAY()),1,0),""select Col2 limit 50""))"),586.4599999999998)</f>
        <v>586.46</v>
      </c>
      <c r="D24" s="45">
        <f>IFERROR(__xludf.DUMMYFUNCTION("AVERAGE(QUERY(SORT(GOOGLEFINANCE(A24,""price"",TODAY()-300,TODAY()),1,0),""select Col2 limit 100""))"),635.1084999999998)</f>
        <v>635.1085</v>
      </c>
      <c r="E24" s="45">
        <f>IFERROR(__xludf.DUMMYFUNCTION("AVERAGE(QUERY(SORT(GOOGLEFINANCE(A24,""price"",TODAY()-500,TODAY()),1,0),""select Col2 limit 200""))"),685.9219999999998)</f>
        <v>685.922</v>
      </c>
      <c r="F24" s="46" t="str">
        <f t="shared" si="1"/>
        <v>In Bear Run</v>
      </c>
      <c r="G24" s="47">
        <f t="shared" si="2"/>
        <v>-27.79791288</v>
      </c>
      <c r="H24" s="48" t="str">
        <f t="shared" si="3"/>
        <v>Inverted ✗</v>
      </c>
      <c r="I24" s="48">
        <f t="shared" si="4"/>
        <v>0</v>
      </c>
      <c r="J24" s="48">
        <f t="shared" si="5"/>
        <v>0</v>
      </c>
      <c r="K24" s="49" t="str">
        <f>IFERROR(__xludf.DUMMYFUNCTION("IFERROR(IF(A24="""",""ENTER STOCK"",LET(stock,A24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4" s="48">
        <f t="shared" si="6"/>
        <v>0</v>
      </c>
      <c r="M24" s="48">
        <f t="shared" si="7"/>
        <v>1</v>
      </c>
      <c r="N24" s="50">
        <f t="shared" si="8"/>
        <v>1</v>
      </c>
      <c r="O24" s="51" t="s">
        <v>151</v>
      </c>
      <c r="P24" s="46" t="str">
        <f t="shared" si="9"/>
        <v>REVERSE TRADE</v>
      </c>
      <c r="Q24" s="52"/>
      <c r="R24" s="53">
        <f t="shared" si="10"/>
        <v>15</v>
      </c>
      <c r="S24" s="53">
        <f>IFERROR(__xludf.DUMMYFUNCTION("IFERROR(ROUND(GOOGLEFINANCE(A24,""volume"")/GOOGLEFINANCE(A24,""volumeavg""),2),"""")"),0.84)</f>
        <v>0.84</v>
      </c>
      <c r="T24" s="53" t="str">
        <f t="shared" si="11"/>
        <v>LOW VOL</v>
      </c>
      <c r="U24" s="53">
        <f>IFERROR(__xludf.DUMMYFUNCTION("IFERROR(
  LET(
    sd, GOOGLEFINANCE(A24,""close"",TODAY()-100,TODAY()),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"""")"),0.99)</f>
        <v>0.99</v>
      </c>
      <c r="V24" s="53" t="str">
        <f t="shared" si="12"/>
        <v>MEDIUM</v>
      </c>
      <c r="W24" s="53">
        <f>IFERROR(__xludf.DUMMYFUNCTION("IFERROR(ROUND((B24/GOOGLEFINANCE(A24,""high52"")-1)*100,1),"""")"),-39.6)</f>
        <v>-39.6</v>
      </c>
      <c r="X24" s="53">
        <f>IFERROR(__xludf.DUMMYFUNCTION("IFERROR(ROUND((B24-GOOGLEFINANCE(A24,""low52""))/(GOOGLEFINANCE(A24,""high52"")-GOOGLEFINANCE(A24,""low52""))*100,1),"""")"),0.8)</f>
        <v>0.8</v>
      </c>
      <c r="Y24" s="53" t="str">
        <f t="shared" si="13"/>
        <v>MID</v>
      </c>
      <c r="Z24" s="53">
        <f>IFERROR(__xludf.DUMMYFUNCTION("IFERROR(ROUND(((B24 / INDEX(GOOGLEFINANCE(TRIM(A24), ""price"", TODAY()-34, TODAY()), 2, 2)) - (GOOGLEFINANCE(""NIFTY_50"") / INDEX(GOOGLEFINANCE(""NIFTY_50"", ""price"", TODAY()-34, TODAY()), 2, 2))) * 100, 2), ""Check History"")"),-7.23)</f>
        <v>-7.23</v>
      </c>
      <c r="AA24" s="53" t="str">
        <f t="shared" si="14"/>
        <v>WEAK RS</v>
      </c>
      <c r="AB24" s="53">
        <f>IFERROR(__xludf.DUMMYFUNCTION("IFERROR(LET(
  p, QUERY(GOOGLEFINANCE(TRIM(A24),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Loading"")"),37.8)</f>
        <v>37.8</v>
      </c>
      <c r="AC24" s="53" t="str">
        <f t="shared" si="15"/>
        <v>WEAK MOM</v>
      </c>
      <c r="AD24" s="53" t="str">
        <f>IFERROR(__xludf.DUMMYFUNCTION("IFERROR(IF(GOOGLEFINANCE(A24,""eps"")&gt;0,""EPS+"",""EPS-""),"""")"),"EPS+")</f>
        <v>EPS+</v>
      </c>
      <c r="AE24" s="53">
        <f t="shared" si="16"/>
        <v>2</v>
      </c>
      <c r="AF24" s="53">
        <f>IFERROR(__xludf.DUMMYFUNCTION("IFERROR(N24+IF(S24&gt;=1.2,1,0)+IF(U24&gt;=1,1,0)+IF(Z24&gt;0,1,0)+IF(AND(W24&gt;=-20,W24&lt;=0),1,0)+IF(IFERROR(GOOGLEFINANCE(A24,""eps""),0)&gt;0,1,0),"""")"),2.0)</f>
        <v>2</v>
      </c>
      <c r="AG24" s="53" t="str">
        <f t="shared" si="17"/>
        <v>REVERSE TRADE</v>
      </c>
    </row>
    <row r="25" ht="15.0" customHeight="1">
      <c r="A25" s="43" t="s">
        <v>152</v>
      </c>
      <c r="B25" s="44">
        <f>IFERROR(__xludf.DUMMYFUNCTION("GOOGLEFINANCE(A25,""price"")"),72.8)</f>
        <v>72.8</v>
      </c>
      <c r="C25" s="45">
        <f>IFERROR(__xludf.DUMMYFUNCTION("AVERAGE(QUERY(SORT(GOOGLEFINANCE(A25,""price"",TODAY()-150,TODAY()),1,0),""select Col2 limit 50""))"),86.5878)</f>
        <v>86.5878</v>
      </c>
      <c r="D25" s="45">
        <f>IFERROR(__xludf.DUMMYFUNCTION("AVERAGE(QUERY(SORT(GOOGLEFINANCE(A25,""price"",TODAY()-300,TODAY()),1,0),""select Col2 limit 100""))"),93.32230000000001)</f>
        <v>93.3223</v>
      </c>
      <c r="E25" s="45">
        <f>IFERROR(__xludf.DUMMYFUNCTION("AVERAGE(QUERY(SORT(GOOGLEFINANCE(A25,""price"",TODAY()-500,TODAY()),1,0),""select Col2 limit 200""))"),104.26879999999997)</f>
        <v>104.2688</v>
      </c>
      <c r="F25" s="46" t="str">
        <f t="shared" si="1"/>
        <v>In Bear Run</v>
      </c>
      <c r="G25" s="47">
        <f t="shared" si="2"/>
        <v>-30.18045667</v>
      </c>
      <c r="H25" s="48" t="str">
        <f t="shared" si="3"/>
        <v>Inverted ✗</v>
      </c>
      <c r="I25" s="48">
        <f t="shared" si="4"/>
        <v>0</v>
      </c>
      <c r="J25" s="48">
        <f t="shared" si="5"/>
        <v>0</v>
      </c>
      <c r="K25" s="49" t="str">
        <f>IFERROR(__xludf.DUMMYFUNCTION("IFERROR(IF(A25="""",""ENTER STOCK"",LET(stock,A25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5" s="48">
        <f t="shared" si="6"/>
        <v>0</v>
      </c>
      <c r="M25" s="48">
        <f t="shared" si="7"/>
        <v>1</v>
      </c>
      <c r="N25" s="50">
        <f t="shared" si="8"/>
        <v>1</v>
      </c>
      <c r="O25" s="51" t="s">
        <v>153</v>
      </c>
      <c r="P25" s="46" t="str">
        <f t="shared" si="9"/>
        <v>REVERSE TRADE</v>
      </c>
      <c r="Q25" s="52"/>
      <c r="R25" s="53">
        <f t="shared" si="10"/>
        <v>15</v>
      </c>
      <c r="S25" s="53">
        <f>IFERROR(__xludf.DUMMYFUNCTION("IFERROR(ROUND(GOOGLEFINANCE(A25,""volume"")/GOOGLEFINANCE(A25,""volumeavg""),2),"""")"),3.08)</f>
        <v>3.08</v>
      </c>
      <c r="T25" s="53" t="str">
        <f t="shared" si="11"/>
        <v>HIGH VOL</v>
      </c>
      <c r="U25" s="53">
        <f>IFERROR(__xludf.DUMMYFUNCTION("IFERROR(
  LET(
    sd, GOOGLEFINANCE(A25,""close"",TODAY()-100,TODAY()),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"""")"),0.79)</f>
        <v>0.79</v>
      </c>
      <c r="V25" s="53" t="str">
        <f t="shared" si="12"/>
        <v>SLOW</v>
      </c>
      <c r="W25" s="53">
        <f>IFERROR(__xludf.DUMMYFUNCTION("IFERROR(ROUND((B25/GOOGLEFINANCE(A25,""high52"")-1)*100,1),"""")"),-46.8)</f>
        <v>-46.8</v>
      </c>
      <c r="X25" s="53">
        <f>IFERROR(__xludf.DUMMYFUNCTION("IFERROR(ROUND((B25-GOOGLEFINANCE(A25,""low52""))/(GOOGLEFINANCE(A25,""high52"")-GOOGLEFINANCE(A25,""low52""))*100,1),"""")"),0.2)</f>
        <v>0.2</v>
      </c>
      <c r="Y25" s="53" t="str">
        <f t="shared" si="13"/>
        <v>DEEP RECOVERY</v>
      </c>
      <c r="Z25" s="53">
        <f>IFERROR(__xludf.DUMMYFUNCTION("IFERROR(ROUND(((B25 / INDEX(GOOGLEFINANCE(TRIM(A25), ""price"", TODAY()-34, TODAY()), 2, 2)) - (GOOGLEFINANCE(""NIFTY_50"") / INDEX(GOOGLEFINANCE(""NIFTY_50"", ""price"", TODAY()-34, TODAY()), 2, 2))) * 100, 2), ""Check History"")"),-4.46)</f>
        <v>-4.46</v>
      </c>
      <c r="AA25" s="53" t="str">
        <f t="shared" si="14"/>
        <v>WEAK RS</v>
      </c>
      <c r="AB25" s="53">
        <f>IFERROR(__xludf.DUMMYFUNCTION("IFERROR(LET(
  p, QUERY(GOOGLEFINANCE(TRIM(A25),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Loading"")"),42.5)</f>
        <v>42.5</v>
      </c>
      <c r="AC25" s="53" t="str">
        <f t="shared" si="15"/>
        <v>WEAK MOM</v>
      </c>
      <c r="AD25" s="53" t="str">
        <f>IFERROR(__xludf.DUMMYFUNCTION("IFERROR(IF(GOOGLEFINANCE(A25,""eps"")&gt;0,""EPS+"",""EPS-""),"""")"),"EPS+")</f>
        <v>EPS+</v>
      </c>
      <c r="AE25" s="53">
        <f t="shared" si="16"/>
        <v>4</v>
      </c>
      <c r="AF25" s="53">
        <f>IFERROR(__xludf.DUMMYFUNCTION("IFERROR(N25+IF(S25&gt;=1.2,1,0)+IF(U25&gt;=1,1,0)+IF(Z25&gt;0,1,0)+IF(AND(W25&gt;=-20,W25&lt;=0),1,0)+IF(IFERROR(GOOGLEFINANCE(A25,""eps""),0)&gt;0,1,0),"""")"),3.0)</f>
        <v>3</v>
      </c>
      <c r="AG25" s="53" t="str">
        <f t="shared" si="17"/>
        <v>REVERSE TRADE</v>
      </c>
    </row>
    <row r="26" ht="15.0" customHeight="1">
      <c r="A26" s="43" t="s">
        <v>154</v>
      </c>
      <c r="B26" s="44">
        <f>IFERROR(__xludf.DUMMYFUNCTION("GOOGLEFINANCE(A26,""price"")"),138.04)</f>
        <v>138.04</v>
      </c>
      <c r="C26" s="45">
        <f>IFERROR(__xludf.DUMMYFUNCTION("AVERAGE(QUERY(SORT(GOOGLEFINANCE(A26,""price"",TODAY()-150,TODAY()),1,0),""select Col2 limit 50""))"),172.1342)</f>
        <v>172.1342</v>
      </c>
      <c r="D26" s="45">
        <f>IFERROR(__xludf.DUMMYFUNCTION("AVERAGE(QUERY(SORT(GOOGLEFINANCE(A26,""price"",TODAY()-300,TODAY()),1,0),""select Col2 limit 100""))"),187.00910000000005)</f>
        <v>187.0091</v>
      </c>
      <c r="E26" s="45">
        <f>IFERROR(__xludf.DUMMYFUNCTION("AVERAGE(QUERY(SORT(GOOGLEFINANCE(A26,""price"",TODAY()-500,TODAY()),1,0),""select Col2 limit 200""))"),208.2322500000001)</f>
        <v>208.23225</v>
      </c>
      <c r="F26" s="46" t="str">
        <f t="shared" si="1"/>
        <v>In Bear Run</v>
      </c>
      <c r="G26" s="47">
        <f t="shared" si="2"/>
        <v>-33.70863543</v>
      </c>
      <c r="H26" s="48" t="str">
        <f t="shared" si="3"/>
        <v>Inverted ✗</v>
      </c>
      <c r="I26" s="48">
        <f t="shared" si="4"/>
        <v>0</v>
      </c>
      <c r="J26" s="48">
        <f t="shared" si="5"/>
        <v>0</v>
      </c>
      <c r="K26" s="49" t="str">
        <f>IFERROR(__xludf.DUMMYFUNCTION("IFERROR(IF(A26="""",""ENTER STOCK"",LET(stock,A26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6" s="48">
        <f t="shared" si="6"/>
        <v>0</v>
      </c>
      <c r="M26" s="48">
        <f t="shared" si="7"/>
        <v>1</v>
      </c>
      <c r="N26" s="50">
        <f t="shared" si="8"/>
        <v>1</v>
      </c>
      <c r="O26" s="51" t="s">
        <v>155</v>
      </c>
      <c r="P26" s="46" t="str">
        <f t="shared" si="9"/>
        <v>REVERSE TRADE</v>
      </c>
      <c r="Q26" s="52"/>
      <c r="R26" s="53">
        <f t="shared" si="10"/>
        <v>15</v>
      </c>
      <c r="S26" s="53">
        <f>IFERROR(__xludf.DUMMYFUNCTION("IFERROR(ROUND(GOOGLEFINANCE(A26,""volume"")/GOOGLEFINANCE(A26,""volumeavg""),2),"""")"),1.4)</f>
        <v>1.4</v>
      </c>
      <c r="T26" s="53" t="str">
        <f t="shared" si="11"/>
        <v>OK VOL</v>
      </c>
      <c r="U26" s="53">
        <f>IFERROR(__xludf.DUMMYFUNCTION("IFERROR(
  LET(
    sd, GOOGLEFINANCE(A26,""close"",TODAY()-100,TODAY()),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"""")"),1.18)</f>
        <v>1.18</v>
      </c>
      <c r="V26" s="53" t="str">
        <f t="shared" si="12"/>
        <v>MEDIUM</v>
      </c>
      <c r="W26" s="53">
        <f>IFERROR(__xludf.DUMMYFUNCTION("IFERROR(ROUND((B26/GOOGLEFINANCE(A26,""high52"")-1)*100,1),"""")"),-47.2)</f>
        <v>-47.2</v>
      </c>
      <c r="X26" s="53">
        <f>IFERROR(__xludf.DUMMYFUNCTION("IFERROR(ROUND((B26-GOOGLEFINANCE(A26,""low52""))/(GOOGLEFINANCE(A26,""high52"")-GOOGLEFINANCE(A26,""low52""))*100,1),"""")"),0.6)</f>
        <v>0.6</v>
      </c>
      <c r="Y26" s="53" t="str">
        <f t="shared" si="13"/>
        <v>DEEP RECOVERY</v>
      </c>
      <c r="Z26" s="53">
        <f>IFERROR(__xludf.DUMMYFUNCTION("IFERROR(ROUND(((B26 / INDEX(GOOGLEFINANCE(TRIM(A26), ""price"", TODAY()-34, TODAY()), 2, 2)) - (GOOGLEFINANCE(""NIFTY_50"") / INDEX(GOOGLEFINANCE(""NIFTY_50"", ""price"", TODAY()-34, TODAY()), 2, 2))) * 100, 2), ""Check History"")"),-10.99)</f>
        <v>-10.99</v>
      </c>
      <c r="AA26" s="53" t="str">
        <f t="shared" si="14"/>
        <v>WEAK RS</v>
      </c>
      <c r="AB26" s="53">
        <f>IFERROR(__xludf.DUMMYFUNCTION("IFERROR(LET(
  p, QUERY(GOOGLEFINANCE(TRIM(A26),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Loading"")"),50.3)</f>
        <v>50.3</v>
      </c>
      <c r="AC26" s="53" t="str">
        <f t="shared" si="15"/>
        <v>IDEAL ENTRY</v>
      </c>
      <c r="AD26" s="53" t="str">
        <f>IFERROR(__xludf.DUMMYFUNCTION("IFERROR(IF(GOOGLEFINANCE(A26,""eps"")&gt;0,""EPS+"",""EPS-""),"""")"),"EPS+")</f>
        <v>EPS+</v>
      </c>
      <c r="AE26" s="53">
        <f t="shared" si="16"/>
        <v>4</v>
      </c>
      <c r="AF26" s="53">
        <f>IFERROR(__xludf.DUMMYFUNCTION("IFERROR(N26+IF(S26&gt;=1.2,1,0)+IF(U26&gt;=1,1,0)+IF(Z26&gt;0,1,0)+IF(AND(W26&gt;=-20,W26&lt;=0),1,0)+IF(IFERROR(GOOGLEFINANCE(A26,""eps""),0)&gt;0,1,0),"""")"),4.0)</f>
        <v>4</v>
      </c>
      <c r="AG26" s="53" t="str">
        <f t="shared" si="17"/>
        <v>REVERSE TRADE</v>
      </c>
    </row>
    <row r="27" ht="15.0" customHeight="1">
      <c r="A27" s="43" t="s">
        <v>156</v>
      </c>
      <c r="B27" s="44">
        <f>IFERROR(__xludf.DUMMYFUNCTION("GOOGLEFINANCE(A27,""price"")"),376.3)</f>
        <v>376.3</v>
      </c>
      <c r="C27" s="45">
        <f>IFERROR(__xludf.DUMMYFUNCTION("AVERAGE(QUERY(SORT(GOOGLEFINANCE(A27,""price"",TODAY()-150,TODAY()),1,0),""select Col2 limit 50""))"),400.86)</f>
        <v>400.86</v>
      </c>
      <c r="D27" s="45">
        <f>IFERROR(__xludf.DUMMYFUNCTION("AVERAGE(QUERY(SORT(GOOGLEFINANCE(A27,""price"",TODAY()-300,TODAY()),1,0),""select Col2 limit 100""))"),447.49499999999995)</f>
        <v>447.495</v>
      </c>
      <c r="E27" s="45">
        <f>IFERROR(__xludf.DUMMYFUNCTION("AVERAGE(QUERY(SORT(GOOGLEFINANCE(A27,""price"",TODAY()-500,TODAY()),1,0),""select Col2 limit 200""))"),488.6175)</f>
        <v>488.6175</v>
      </c>
      <c r="F27" s="46" t="str">
        <f t="shared" si="1"/>
        <v>In Bear Run</v>
      </c>
      <c r="G27" s="47">
        <f t="shared" si="2"/>
        <v>-22.98679437</v>
      </c>
      <c r="H27" s="48" t="str">
        <f t="shared" si="3"/>
        <v>Inverted ✗</v>
      </c>
      <c r="I27" s="48">
        <f t="shared" si="4"/>
        <v>0</v>
      </c>
      <c r="J27" s="48">
        <f t="shared" si="5"/>
        <v>0</v>
      </c>
      <c r="K27" s="49" t="str">
        <f>IFERROR(__xludf.DUMMYFUNCTION("IFERROR(IF(A27="""",""ENTER STOCK"",LET(stock,A27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7" s="48">
        <f t="shared" si="6"/>
        <v>0</v>
      </c>
      <c r="M27" s="48">
        <f t="shared" si="7"/>
        <v>1</v>
      </c>
      <c r="N27" s="50">
        <f t="shared" si="8"/>
        <v>1</v>
      </c>
      <c r="O27" s="51" t="s">
        <v>157</v>
      </c>
      <c r="P27" s="46" t="str">
        <f t="shared" si="9"/>
        <v>REVERSE TRADE</v>
      </c>
      <c r="Q27" s="52"/>
      <c r="R27" s="53">
        <f t="shared" si="10"/>
        <v>15</v>
      </c>
      <c r="S27" s="53">
        <f>IFERROR(__xludf.DUMMYFUNCTION("IFERROR(ROUND(GOOGLEFINANCE(A27,""volume"")/GOOGLEFINANCE(A27,""volumeavg""),2),"""")"),1.33)</f>
        <v>1.33</v>
      </c>
      <c r="T27" s="53" t="str">
        <f t="shared" si="11"/>
        <v>OK VOL</v>
      </c>
      <c r="U27" s="53">
        <f>IFERROR(__xludf.DUMMYFUNCTION("IFERROR(
  LET(
    sd, GOOGLEFINANCE(A27,""close"",TODAY()-100,TODAY()),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"""")"),0.49)</f>
        <v>0.49</v>
      </c>
      <c r="V27" s="53" t="str">
        <f t="shared" si="12"/>
        <v>SLOW</v>
      </c>
      <c r="W27" s="53">
        <f>IFERROR(__xludf.DUMMYFUNCTION("IFERROR(ROUND((B27/GOOGLEFINANCE(A27,""high52"")-1)*100,1),"""")"),-39.1)</f>
        <v>-39.1</v>
      </c>
      <c r="X27" s="53">
        <f>IFERROR(__xludf.DUMMYFUNCTION("IFERROR(ROUND((B27-GOOGLEFINANCE(A27,""low52""))/(GOOGLEFINANCE(A27,""high52"")-GOOGLEFINANCE(A27,""low52""))*100,1),"""")"),10.7)</f>
        <v>10.7</v>
      </c>
      <c r="Y27" s="53" t="str">
        <f t="shared" si="13"/>
        <v>MID</v>
      </c>
      <c r="Z27" s="53">
        <f>IFERROR(__xludf.DUMMYFUNCTION("IFERROR(ROUND(((B27 / INDEX(GOOGLEFINANCE(TRIM(A27), ""price"", TODAY()-34, TODAY()), 2, 2)) - (GOOGLEFINANCE(""NIFTY_50"") / INDEX(GOOGLEFINANCE(""NIFTY_50"", ""price"", TODAY()-34, TODAY()), 2, 2))) * 100, 2), ""Check History"")"),4.65)</f>
        <v>4.65</v>
      </c>
      <c r="AA27" s="53" t="str">
        <f t="shared" si="14"/>
        <v>MILD RS</v>
      </c>
      <c r="AB27" s="53">
        <f>IFERROR(__xludf.DUMMYFUNCTION("IFERROR(LET(
  p, QUERY(GOOGLEFINANCE(TRIM(A27),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Loading"")"),44.5)</f>
        <v>44.5</v>
      </c>
      <c r="AC27" s="53" t="str">
        <f t="shared" si="15"/>
        <v>WEAK MOM</v>
      </c>
      <c r="AD27" s="53" t="str">
        <f>IFERROR(__xludf.DUMMYFUNCTION("IFERROR(IF(GOOGLEFINANCE(A27,""eps"")&gt;0,""EPS+"",""EPS-""),"""")"),"EPS+")</f>
        <v>EPS+</v>
      </c>
      <c r="AE27" s="53">
        <f t="shared" si="16"/>
        <v>3</v>
      </c>
      <c r="AF27" s="53">
        <f>IFERROR(__xludf.DUMMYFUNCTION("IFERROR(N27+IF(S27&gt;=1.2,1,0)+IF(U27&gt;=1,1,0)+IF(Z27&gt;0,1,0)+IF(AND(W27&gt;=-20,W27&lt;=0),1,0)+IF(IFERROR(GOOGLEFINANCE(A27,""eps""),0)&gt;0,1,0),"""")"),4.0)</f>
        <v>4</v>
      </c>
      <c r="AG27" s="53" t="str">
        <f t="shared" si="17"/>
        <v>REVERSE TRADE</v>
      </c>
    </row>
    <row r="28" ht="15.0" customHeight="1">
      <c r="A28" s="43" t="s">
        <v>158</v>
      </c>
      <c r="B28" s="44">
        <f>IFERROR(__xludf.DUMMYFUNCTION("GOOGLEFINANCE(A28,""price"")"),224.45)</f>
        <v>224.45</v>
      </c>
      <c r="C28" s="45">
        <f>IFERROR(__xludf.DUMMYFUNCTION("AVERAGE(QUERY(SORT(GOOGLEFINANCE(A28,""price"",TODAY()-150,TODAY()),1,0),""select Col2 limit 50""))"),253.15200000000002)</f>
        <v>253.152</v>
      </c>
      <c r="D28" s="45">
        <f>IFERROR(__xludf.DUMMYFUNCTION("AVERAGE(QUERY(SORT(GOOGLEFINANCE(A28,""price"",TODAY()-300,TODAY()),1,0),""select Col2 limit 100""))"),276.63750000000005)</f>
        <v>276.6375</v>
      </c>
      <c r="E28" s="45">
        <f>IFERROR(__xludf.DUMMYFUNCTION("AVERAGE(QUERY(SORT(GOOGLEFINANCE(A28,""price"",TODAY()-500,TODAY()),1,0),""select Col2 limit 200""))"),295.0402499999999)</f>
        <v>295.04025</v>
      </c>
      <c r="F28" s="46" t="str">
        <f t="shared" si="1"/>
        <v>In Bear Run</v>
      </c>
      <c r="G28" s="47">
        <f t="shared" si="2"/>
        <v>-23.92563388</v>
      </c>
      <c r="H28" s="48" t="str">
        <f t="shared" si="3"/>
        <v>Inverted ✗</v>
      </c>
      <c r="I28" s="48">
        <f t="shared" si="4"/>
        <v>0</v>
      </c>
      <c r="J28" s="48">
        <f t="shared" si="5"/>
        <v>0</v>
      </c>
      <c r="K28" s="49" t="str">
        <f>IFERROR(__xludf.DUMMYFUNCTION("IFERROR(IF(A28="""",""ENTER STOCK"",LET(stock,A28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8" s="48">
        <f t="shared" si="6"/>
        <v>0</v>
      </c>
      <c r="M28" s="48">
        <f t="shared" si="7"/>
        <v>1</v>
      </c>
      <c r="N28" s="50">
        <f t="shared" si="8"/>
        <v>1</v>
      </c>
      <c r="O28" s="51" t="s">
        <v>153</v>
      </c>
      <c r="P28" s="46" t="str">
        <f t="shared" si="9"/>
        <v>REVERSE TRADE</v>
      </c>
      <c r="Q28" s="52"/>
      <c r="R28" s="53">
        <f t="shared" si="10"/>
        <v>15</v>
      </c>
      <c r="S28" s="53">
        <f>IFERROR(__xludf.DUMMYFUNCTION("IFERROR(ROUND(GOOGLEFINANCE(A28,""volume"")/GOOGLEFINANCE(A28,""volumeavg""),2),"""")"),1.95)</f>
        <v>1.95</v>
      </c>
      <c r="T28" s="53" t="str">
        <f t="shared" si="11"/>
        <v>HIGH VOL</v>
      </c>
      <c r="U28" s="53">
        <f>IFERROR(__xludf.DUMMYFUNCTION("IFERROR(
  LET(
    sd, GOOGLEFINANCE(A28,""close"",TODAY()-100,TODAY()),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"""")"),1.52)</f>
        <v>1.52</v>
      </c>
      <c r="V28" s="53" t="str">
        <f t="shared" si="12"/>
        <v>FAST</v>
      </c>
      <c r="W28" s="53">
        <f>IFERROR(__xludf.DUMMYFUNCTION("IFERROR(ROUND((B28/GOOGLEFINANCE(A28,""high52"")-1)*100,1),"""")"),-33.7)</f>
        <v>-33.7</v>
      </c>
      <c r="X28" s="53">
        <f>IFERROR(__xludf.DUMMYFUNCTION("IFERROR(ROUND((B28-GOOGLEFINANCE(A28,""low52""))/(GOOGLEFINANCE(A28,""high52"")-GOOGLEFINANCE(A28,""low52""))*100,1),"""")"),15.8)</f>
        <v>15.8</v>
      </c>
      <c r="Y28" s="53" t="str">
        <f t="shared" si="13"/>
        <v>MID</v>
      </c>
      <c r="Z28" s="53">
        <f>IFERROR(__xludf.DUMMYFUNCTION("IFERROR(ROUND(((B28 / INDEX(GOOGLEFINANCE(TRIM(A28), ""price"", TODAY()-34, TODAY()), 2, 2)) - (GOOGLEFINANCE(""NIFTY_50"") / INDEX(GOOGLEFINANCE(""NIFTY_50"", ""price"", TODAY()-34, TODAY()), 2, 2))) * 100, 2), ""Check History"")"),0.1)</f>
        <v>0.1</v>
      </c>
      <c r="AA28" s="53" t="str">
        <f t="shared" si="14"/>
        <v>MILD RS</v>
      </c>
      <c r="AB28" s="53">
        <f>IFERROR(__xludf.DUMMYFUNCTION("IFERROR(LET(
  p, QUERY(GOOGLEFINANCE(TRIM(A28),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Loading"")"),44.8)</f>
        <v>44.8</v>
      </c>
      <c r="AC28" s="53" t="str">
        <f t="shared" si="15"/>
        <v>WEAK MOM</v>
      </c>
      <c r="AD28" s="53" t="str">
        <f>IFERROR(__xludf.DUMMYFUNCTION("IFERROR(IF(GOOGLEFINANCE(A28,""eps"")&gt;0,""EPS+"",""EPS-""),"""")"),"EPS+")</f>
        <v>EPS+</v>
      </c>
      <c r="AE28" s="53">
        <f t="shared" si="16"/>
        <v>7</v>
      </c>
      <c r="AF28" s="53">
        <f>IFERROR(__xludf.DUMMYFUNCTION("IFERROR(N28+IF(S28&gt;=1.2,1,0)+IF(U28&gt;=1,1,0)+IF(Z28&gt;0,1,0)+IF(AND(W28&gt;=-20,W28&lt;=0),1,0)+IF(IFERROR(GOOGLEFINANCE(A28,""eps""),0)&gt;0,1,0),"""")"),5.0)</f>
        <v>5</v>
      </c>
      <c r="AG28" s="53" t="str">
        <f t="shared" si="17"/>
        <v>REVERSE TRADE</v>
      </c>
    </row>
    <row r="29" ht="15.0" customHeight="1">
      <c r="A29" s="43" t="s">
        <v>159</v>
      </c>
      <c r="B29" s="44">
        <f>IFERROR(__xludf.DUMMYFUNCTION("GOOGLEFINANCE(A29,""price"")"),108.8)</f>
        <v>108.8</v>
      </c>
      <c r="C29" s="45">
        <f>IFERROR(__xludf.DUMMYFUNCTION("AVERAGE(QUERY(SORT(GOOGLEFINANCE(A29,""price"",TODAY()-150,TODAY()),1,0),""select Col2 limit 50""))"),123.64560000000002)</f>
        <v>123.6456</v>
      </c>
      <c r="D29" s="45">
        <f>IFERROR(__xludf.DUMMYFUNCTION("AVERAGE(QUERY(SORT(GOOGLEFINANCE(A29,""price"",TODAY()-300,TODAY()),1,0),""select Col2 limit 100""))"),132.5666)</f>
        <v>132.5666</v>
      </c>
      <c r="E29" s="45">
        <f>IFERROR(__xludf.DUMMYFUNCTION("AVERAGE(QUERY(SORT(GOOGLEFINANCE(A29,""price"",TODAY()-500,TODAY()),1,0),""select Col2 limit 200""))"),143.6507499999999)</f>
        <v>143.65075</v>
      </c>
      <c r="F29" s="46" t="str">
        <f t="shared" si="1"/>
        <v>In Bear Run</v>
      </c>
      <c r="G29" s="47">
        <f t="shared" si="2"/>
        <v>-24.26075047</v>
      </c>
      <c r="H29" s="48" t="str">
        <f t="shared" si="3"/>
        <v>Inverted ✗</v>
      </c>
      <c r="I29" s="48">
        <f t="shared" si="4"/>
        <v>0</v>
      </c>
      <c r="J29" s="48">
        <f t="shared" si="5"/>
        <v>0</v>
      </c>
      <c r="K29" s="49" t="str">
        <f>IFERROR(__xludf.DUMMYFUNCTION("IFERROR(IF(A29="""",""ENTER STOCK"",LET(stock,A29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9" s="48">
        <f t="shared" si="6"/>
        <v>0</v>
      </c>
      <c r="M29" s="48">
        <f t="shared" si="7"/>
        <v>1</v>
      </c>
      <c r="N29" s="50">
        <f t="shared" si="8"/>
        <v>1</v>
      </c>
      <c r="O29" s="51" t="s">
        <v>160</v>
      </c>
      <c r="P29" s="46" t="str">
        <f t="shared" si="9"/>
        <v>REVERSE TRADE</v>
      </c>
      <c r="Q29" s="52"/>
      <c r="R29" s="53">
        <f t="shared" si="10"/>
        <v>15</v>
      </c>
      <c r="S29" s="53">
        <f>IFERROR(__xludf.DUMMYFUNCTION("IFERROR(ROUND(GOOGLEFINANCE(A29,""volume"")/GOOGLEFINANCE(A29,""volumeavg""),2),"""")"),1.94)</f>
        <v>1.94</v>
      </c>
      <c r="T29" s="53" t="str">
        <f t="shared" si="11"/>
        <v>HIGH VOL</v>
      </c>
      <c r="U29" s="53">
        <f>IFERROR(__xludf.DUMMYFUNCTION("IFERROR(
  LET(
    sd, GOOGLEFINANCE(A29,""close"",TODAY()-100,TODAY()),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"""")"),1.52)</f>
        <v>1.52</v>
      </c>
      <c r="V29" s="53" t="str">
        <f t="shared" si="12"/>
        <v>FAST</v>
      </c>
      <c r="W29" s="53">
        <f>IFERROR(__xludf.DUMMYFUNCTION("IFERROR(ROUND((B29/GOOGLEFINANCE(A29,""high52"")-1)*100,1),"""")"),-41.7)</f>
        <v>-41.7</v>
      </c>
      <c r="X29" s="53">
        <f>IFERROR(__xludf.DUMMYFUNCTION("IFERROR(ROUND((B29-GOOGLEFINANCE(A29,""low52""))/(GOOGLEFINANCE(A29,""high52"")-GOOGLEFINANCE(A29,""low52""))*100,1),"""")"),0.2)</f>
        <v>0.2</v>
      </c>
      <c r="Y29" s="53" t="str">
        <f t="shared" si="13"/>
        <v>DEEP RECOVERY</v>
      </c>
      <c r="Z29" s="53">
        <f>IFERROR(__xludf.DUMMYFUNCTION("IFERROR(ROUND(((B29 / INDEX(GOOGLEFINANCE(TRIM(A29), ""price"", TODAY()-34, TODAY()), 2, 2)) - (GOOGLEFINANCE(""NIFTY_50"") / INDEX(GOOGLEFINANCE(""NIFTY_50"", ""price"", TODAY()-34, TODAY()), 2, 2))) * 100, 2), ""Check History"")"),-1.49)</f>
        <v>-1.49</v>
      </c>
      <c r="AA29" s="53" t="str">
        <f t="shared" si="14"/>
        <v>WEAK RS</v>
      </c>
      <c r="AB29" s="53">
        <f>IFERROR(__xludf.DUMMYFUNCTION("IFERROR(LET(
  p, QUERY(GOOGLEFINANCE(TRIM(A29),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Loading"")"),43.1)</f>
        <v>43.1</v>
      </c>
      <c r="AC29" s="53" t="str">
        <f t="shared" si="15"/>
        <v>WEAK MOM</v>
      </c>
      <c r="AD29" s="53" t="str">
        <f>IFERROR(__xludf.DUMMYFUNCTION("IFERROR(IF(GOOGLEFINANCE(A29,""eps"")&gt;0,""EPS+"",""EPS-""),"""")"),"EPS+")</f>
        <v>EPS+</v>
      </c>
      <c r="AE29" s="53">
        <f t="shared" si="16"/>
        <v>6</v>
      </c>
      <c r="AF29" s="53">
        <f>IFERROR(__xludf.DUMMYFUNCTION("IFERROR(N29+IF(S29&gt;=1.2,1,0)+IF(U29&gt;=1,1,0)+IF(Z29&gt;0,1,0)+IF(AND(W29&gt;=-20,W29&lt;=0),1,0)+IF(IFERROR(GOOGLEFINANCE(A29,""eps""),0)&gt;0,1,0),"""")"),4.0)</f>
        <v>4</v>
      </c>
      <c r="AG29" s="53" t="str">
        <f t="shared" si="17"/>
        <v>REVERSE TRADE</v>
      </c>
    </row>
    <row r="30" ht="15.0" customHeight="1">
      <c r="A30" s="43" t="s">
        <v>161</v>
      </c>
      <c r="B30" s="44">
        <f>IFERROR(__xludf.DUMMYFUNCTION("GOOGLEFINANCE(A30,""price"")"),263.0)</f>
        <v>263</v>
      </c>
      <c r="C30" s="45">
        <f>IFERROR(__xludf.DUMMYFUNCTION("AVERAGE(QUERY(SORT(GOOGLEFINANCE(A30,""price"",TODAY()-150,TODAY()),1,0),""select Col2 limit 50""))"),310.28099999999995)</f>
        <v>310.281</v>
      </c>
      <c r="D30" s="45">
        <f>IFERROR(__xludf.DUMMYFUNCTION("AVERAGE(QUERY(SORT(GOOGLEFINANCE(A30,""price"",TODAY()-300,TODAY()),1,0),""select Col2 limit 100""))"),350.8909999999999)</f>
        <v>350.891</v>
      </c>
      <c r="E30" s="45">
        <f>IFERROR(__xludf.DUMMYFUNCTION("AVERAGE(QUERY(SORT(GOOGLEFINANCE(A30,""price"",TODAY()-500,TODAY()),1,0),""select Col2 limit 200""))"),380.2652499999998)</f>
        <v>380.26525</v>
      </c>
      <c r="F30" s="46" t="str">
        <f t="shared" si="1"/>
        <v>In Bear Run</v>
      </c>
      <c r="G30" s="47">
        <f t="shared" si="2"/>
        <v>-30.83775075</v>
      </c>
      <c r="H30" s="48" t="str">
        <f t="shared" si="3"/>
        <v>Inverted ✗</v>
      </c>
      <c r="I30" s="48">
        <f t="shared" si="4"/>
        <v>0</v>
      </c>
      <c r="J30" s="48">
        <f t="shared" si="5"/>
        <v>0</v>
      </c>
      <c r="K30" s="49" t="str">
        <f>IFERROR(__xludf.DUMMYFUNCTION("IFERROR(IF(A30="""",""ENTER STOCK"",LET(stock,A30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0" s="48">
        <f t="shared" si="6"/>
        <v>0</v>
      </c>
      <c r="M30" s="48">
        <f t="shared" si="7"/>
        <v>1</v>
      </c>
      <c r="N30" s="50">
        <f t="shared" si="8"/>
        <v>1</v>
      </c>
      <c r="O30" s="51" t="s">
        <v>162</v>
      </c>
      <c r="P30" s="46" t="str">
        <f t="shared" si="9"/>
        <v>REVERSE TRADE</v>
      </c>
      <c r="Q30" s="52"/>
      <c r="R30" s="53">
        <f t="shared" si="10"/>
        <v>15</v>
      </c>
      <c r="S30" s="53">
        <f>IFERROR(__xludf.DUMMYFUNCTION("IFERROR(ROUND(GOOGLEFINANCE(A30,""volume"")/GOOGLEFINANCE(A30,""volumeavg""),2),"""")"),1.53)</f>
        <v>1.53</v>
      </c>
      <c r="T30" s="53" t="str">
        <f t="shared" si="11"/>
        <v>HIGH VOL</v>
      </c>
      <c r="U30" s="53">
        <f>IFERROR(__xludf.DUMMYFUNCTION("IFERROR(
  LET(
    sd, GOOGLEFINANCE(A30,""close"",TODAY()-100,TODAY()),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"""")"),0.99)</f>
        <v>0.99</v>
      </c>
      <c r="V30" s="53" t="str">
        <f t="shared" si="12"/>
        <v>MEDIUM</v>
      </c>
      <c r="W30" s="53">
        <f>IFERROR(__xludf.DUMMYFUNCTION("IFERROR(ROUND((B30/GOOGLEFINANCE(A30,""high52"")-1)*100,1),"""")"),-44.5)</f>
        <v>-44.5</v>
      </c>
      <c r="X30" s="53">
        <f>IFERROR(__xludf.DUMMYFUNCTION("IFERROR(ROUND((B30-GOOGLEFINANCE(A30,""low52""))/(GOOGLEFINANCE(A30,""high52"")-GOOGLEFINANCE(A30,""low52""))*100,1),"""")"),2.2)</f>
        <v>2.2</v>
      </c>
      <c r="Y30" s="53" t="str">
        <f t="shared" si="13"/>
        <v>DEEP RECOVERY</v>
      </c>
      <c r="Z30" s="53">
        <f>IFERROR(__xludf.DUMMYFUNCTION("IFERROR(ROUND(((B30 / INDEX(GOOGLEFINANCE(TRIM(A30), ""price"", TODAY()-34, TODAY()), 2, 2)) - (GOOGLEFINANCE(""NIFTY_50"") / INDEX(GOOGLEFINANCE(""NIFTY_50"", ""price"", TODAY()-34, TODAY()), 2, 2))) * 100, 2), ""Check History"")"),-4.08)</f>
        <v>-4.08</v>
      </c>
      <c r="AA30" s="53" t="str">
        <f t="shared" si="14"/>
        <v>WEAK RS</v>
      </c>
      <c r="AB30" s="53">
        <f>IFERROR(__xludf.DUMMYFUNCTION("IFERROR(LET(
  p, QUERY(GOOGLEFINANCE(TRIM(A30),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Loading"")"),31.7)</f>
        <v>31.7</v>
      </c>
      <c r="AC30" s="53" t="str">
        <f t="shared" si="15"/>
        <v>WEAK MOM</v>
      </c>
      <c r="AD30" s="53" t="str">
        <f>IFERROR(__xludf.DUMMYFUNCTION("IFERROR(IF(GOOGLEFINANCE(A30,""eps"")&gt;0,""EPS+"",""EPS-""),"""")"),"EPS-")</f>
        <v>EPS-</v>
      </c>
      <c r="AE30" s="53">
        <f t="shared" si="16"/>
        <v>5</v>
      </c>
      <c r="AF30" s="53">
        <f>IFERROR(__xludf.DUMMYFUNCTION("IFERROR(N30+IF(S30&gt;=1.2,1,0)+IF(U30&gt;=1,1,0)+IF(Z30&gt;0,1,0)+IF(AND(W30&gt;=-20,W30&lt;=0),1,0)+IF(IFERROR(GOOGLEFINANCE(A30,""eps""),0)&gt;0,1,0),"""")"),2.0)</f>
        <v>2</v>
      </c>
      <c r="AG30" s="53" t="str">
        <f t="shared" si="17"/>
        <v>REVERSE TRADE</v>
      </c>
    </row>
    <row r="31" ht="15.0" customHeight="1">
      <c r="A31" s="43" t="s">
        <v>163</v>
      </c>
      <c r="B31" s="44">
        <f>IFERROR(__xludf.DUMMYFUNCTION("GOOGLEFINANCE(A31,""price"")"),229.2)</f>
        <v>229.2</v>
      </c>
      <c r="C31" s="45">
        <f>IFERROR(__xludf.DUMMYFUNCTION("AVERAGE(QUERY(SORT(GOOGLEFINANCE(A31,""price"",TODAY()-150,TODAY()),1,0),""select Col2 limit 50""))"),260.5086)</f>
        <v>260.5086</v>
      </c>
      <c r="D31" s="45">
        <f>IFERROR(__xludf.DUMMYFUNCTION("AVERAGE(QUERY(SORT(GOOGLEFINANCE(A31,""price"",TODAY()-300,TODAY()),1,0),""select Col2 limit 100""))"),277.66579999999993)</f>
        <v>277.6658</v>
      </c>
      <c r="E31" s="45">
        <f>IFERROR(__xludf.DUMMYFUNCTION("AVERAGE(QUERY(SORT(GOOGLEFINANCE(A31,""price"",TODAY()-500,TODAY()),1,0),""select Col2 limit 200""))"),290.82415000000003)</f>
        <v>290.82415</v>
      </c>
      <c r="F31" s="46" t="str">
        <f t="shared" si="1"/>
        <v>In Bear Run</v>
      </c>
      <c r="G31" s="47">
        <f t="shared" si="2"/>
        <v>-21.18948856</v>
      </c>
      <c r="H31" s="48" t="str">
        <f t="shared" si="3"/>
        <v>Inverted ✗</v>
      </c>
      <c r="I31" s="48">
        <f t="shared" si="4"/>
        <v>0</v>
      </c>
      <c r="J31" s="48">
        <f t="shared" si="5"/>
        <v>0</v>
      </c>
      <c r="K31" s="49" t="str">
        <f>IFERROR(__xludf.DUMMYFUNCTION("IFERROR(IF(A31="""",""ENTER STOCK"",LET(stock,A31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1" s="48">
        <f t="shared" si="6"/>
        <v>0</v>
      </c>
      <c r="M31" s="48">
        <f t="shared" si="7"/>
        <v>1</v>
      </c>
      <c r="N31" s="50">
        <f t="shared" si="8"/>
        <v>1</v>
      </c>
      <c r="O31" s="51" t="s">
        <v>162</v>
      </c>
      <c r="P31" s="46" t="str">
        <f t="shared" si="9"/>
        <v>REVERSE TRADE</v>
      </c>
      <c r="Q31" s="52"/>
      <c r="R31" s="53">
        <f t="shared" si="10"/>
        <v>15</v>
      </c>
      <c r="S31" s="53">
        <f>IFERROR(__xludf.DUMMYFUNCTION("IFERROR(ROUND(GOOGLEFINANCE(A31,""volume"")/GOOGLEFINANCE(A31,""volumeavg""),2),"""")"),0.97)</f>
        <v>0.97</v>
      </c>
      <c r="T31" s="53" t="str">
        <f t="shared" si="11"/>
        <v>LOW VOL</v>
      </c>
      <c r="U31" s="53">
        <f>IFERROR(__xludf.DUMMYFUNCTION("IFERROR(
  LET(
    sd, GOOGLEFINANCE(A31,""close"",TODAY()-100,TODAY()),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"""")"),0.25)</f>
        <v>0.25</v>
      </c>
      <c r="V31" s="53" t="str">
        <f t="shared" si="12"/>
        <v>SLOW</v>
      </c>
      <c r="W31" s="53">
        <f>IFERROR(__xludf.DUMMYFUNCTION("IFERROR(ROUND((B31/GOOGLEFINANCE(A31,""high52"")-1)*100,1),"""")"),-37.8)</f>
        <v>-37.8</v>
      </c>
      <c r="X31" s="53">
        <f>IFERROR(__xludf.DUMMYFUNCTION("IFERROR(ROUND((B31-GOOGLEFINANCE(A31,""low52""))/(GOOGLEFINANCE(A31,""high52"")-GOOGLEFINANCE(A31,""low52""))*100,1),"""")"),12.2)</f>
        <v>12.2</v>
      </c>
      <c r="Y31" s="53" t="str">
        <f t="shared" si="13"/>
        <v>MID</v>
      </c>
      <c r="Z31" s="53">
        <f>IFERROR(__xludf.DUMMYFUNCTION("IFERROR(ROUND(((B31 / INDEX(GOOGLEFINANCE(TRIM(A31), ""price"", TODAY()-34, TODAY()), 2, 2)) - (GOOGLEFINANCE(""NIFTY_50"") / INDEX(GOOGLEFINANCE(""NIFTY_50"", ""price"", TODAY()-34, TODAY()), 2, 2))) * 100, 2), ""Check History"")"),2.4)</f>
        <v>2.4</v>
      </c>
      <c r="AA31" s="53" t="str">
        <f t="shared" si="14"/>
        <v>MILD RS</v>
      </c>
      <c r="AB31" s="53">
        <f>IFERROR(__xludf.DUMMYFUNCTION("IFERROR(LET(
  p, QUERY(GOOGLEFINANCE(TRIM(A31),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Loading"")"),56.8)</f>
        <v>56.8</v>
      </c>
      <c r="AC31" s="53" t="str">
        <f t="shared" si="15"/>
        <v>IDEAL ENTRY</v>
      </c>
      <c r="AD31" s="53" t="str">
        <f>IFERROR(__xludf.DUMMYFUNCTION("IFERROR(IF(GOOGLEFINANCE(A31,""eps"")&gt;0,""EPS+"",""EPS-""),"""")"),"EPS+")</f>
        <v>EPS+</v>
      </c>
      <c r="AE31" s="53">
        <f t="shared" si="16"/>
        <v>1</v>
      </c>
      <c r="AF31" s="53">
        <f>IFERROR(__xludf.DUMMYFUNCTION("IFERROR(N31+IF(S31&gt;=1.2,1,0)+IF(U31&gt;=1,1,0)+IF(Z31&gt;0,1,0)+IF(AND(W31&gt;=-20,W31&lt;=0),1,0)+IF(IFERROR(GOOGLEFINANCE(A31,""eps""),0)&gt;0,1,0),"""")"),3.0)</f>
        <v>3</v>
      </c>
      <c r="AG31" s="53" t="str">
        <f t="shared" si="17"/>
        <v>REVERSE TRADE</v>
      </c>
    </row>
    <row r="32" ht="15.0" customHeight="1">
      <c r="A32" s="43" t="s">
        <v>164</v>
      </c>
      <c r="B32" s="44">
        <f>IFERROR(__xludf.DUMMYFUNCTION("GOOGLEFINANCE(A32,""price"")"),159.5)</f>
        <v>159.5</v>
      </c>
      <c r="C32" s="45">
        <f>IFERROR(__xludf.DUMMYFUNCTION("AVERAGE(QUERY(SORT(GOOGLEFINANCE(A32,""price"",TODAY()-150,TODAY()),1,0),""select Col2 limit 50""))"),188.5207999999999)</f>
        <v>188.5208</v>
      </c>
      <c r="D32" s="45">
        <f>IFERROR(__xludf.DUMMYFUNCTION("AVERAGE(QUERY(SORT(GOOGLEFINANCE(A32,""price"",TODAY()-300,TODAY()),1,0),""select Col2 limit 100""))"),206.76179999999988)</f>
        <v>206.7618</v>
      </c>
      <c r="E32" s="45">
        <f>IFERROR(__xludf.DUMMYFUNCTION("AVERAGE(QUERY(SORT(GOOGLEFINANCE(A32,""price"",TODAY()-500,TODAY()),1,0),""select Col2 limit 200""))"),215.52269999999993)</f>
        <v>215.5227</v>
      </c>
      <c r="F32" s="46" t="str">
        <f t="shared" si="1"/>
        <v>In Bear Run</v>
      </c>
      <c r="G32" s="47">
        <f t="shared" si="2"/>
        <v>-25.99387443</v>
      </c>
      <c r="H32" s="48" t="str">
        <f t="shared" si="3"/>
        <v>Inverted ✗</v>
      </c>
      <c r="I32" s="48">
        <f t="shared" si="4"/>
        <v>0</v>
      </c>
      <c r="J32" s="48">
        <f t="shared" si="5"/>
        <v>0</v>
      </c>
      <c r="K32" s="49" t="str">
        <f>IFERROR(__xludf.DUMMYFUNCTION("IFERROR(IF(A32="""",""ENTER STOCK"",LET(stock,A32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2" s="48">
        <f t="shared" si="6"/>
        <v>0</v>
      </c>
      <c r="M32" s="48">
        <f t="shared" si="7"/>
        <v>1</v>
      </c>
      <c r="N32" s="50">
        <f t="shared" si="8"/>
        <v>1</v>
      </c>
      <c r="O32" s="51" t="s">
        <v>165</v>
      </c>
      <c r="P32" s="46" t="str">
        <f t="shared" si="9"/>
        <v>REVERSE TRADE</v>
      </c>
      <c r="Q32" s="52"/>
      <c r="R32" s="53">
        <f t="shared" si="10"/>
        <v>15</v>
      </c>
      <c r="S32" s="53">
        <f>IFERROR(__xludf.DUMMYFUNCTION("IFERROR(ROUND(GOOGLEFINANCE(A32,""volume"")/GOOGLEFINANCE(A32,""volumeavg""),2),"""")"),2.11)</f>
        <v>2.11</v>
      </c>
      <c r="T32" s="53" t="str">
        <f t="shared" si="11"/>
        <v>HIGH VOL</v>
      </c>
      <c r="U32" s="53">
        <f>IFERROR(__xludf.DUMMYFUNCTION("IFERROR(
  LET(
    sd, GOOGLEFINANCE(A32,""close"",TODAY()-100,TODAY()),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"""")"),1.61)</f>
        <v>1.61</v>
      </c>
      <c r="V32" s="53" t="str">
        <f t="shared" si="12"/>
        <v>FAST</v>
      </c>
      <c r="W32" s="53">
        <f>IFERROR(__xludf.DUMMYFUNCTION("IFERROR(ROUND((B32/GOOGLEFINANCE(A32,""high52"")-1)*100,1),"""")"),-37.1)</f>
        <v>-37.1</v>
      </c>
      <c r="X32" s="53">
        <f>IFERROR(__xludf.DUMMYFUNCTION("IFERROR(ROUND((B32-GOOGLEFINANCE(A32,""low52""))/(GOOGLEFINANCE(A32,""high52"")-GOOGLEFINANCE(A32,""low52""))*100,1),"""")"),0.5)</f>
        <v>0.5</v>
      </c>
      <c r="Y32" s="53" t="str">
        <f t="shared" si="13"/>
        <v>MID</v>
      </c>
      <c r="Z32" s="53">
        <f>IFERROR(__xludf.DUMMYFUNCTION("IFERROR(ROUND(((B32 / INDEX(GOOGLEFINANCE(TRIM(A32), ""price"", TODAY()-34, TODAY()), 2, 2)) - (GOOGLEFINANCE(""NIFTY_50"") / INDEX(GOOGLEFINANCE(""NIFTY_50"", ""price"", TODAY()-34, TODAY()), 2, 2))) * 100, 2), ""Check History"")"),-3.92)</f>
        <v>-3.92</v>
      </c>
      <c r="AA32" s="53" t="str">
        <f t="shared" si="14"/>
        <v>WEAK RS</v>
      </c>
      <c r="AB32" s="53">
        <f>IFERROR(__xludf.DUMMYFUNCTION("IFERROR(LET(
  p, QUERY(GOOGLEFINANCE(TRIM(A32),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Loading"")"),45.9)</f>
        <v>45.9</v>
      </c>
      <c r="AC32" s="53" t="str">
        <f t="shared" si="15"/>
        <v>IDEAL ENTRY</v>
      </c>
      <c r="AD32" s="53" t="str">
        <f>IFERROR(__xludf.DUMMYFUNCTION("IFERROR(IF(GOOGLEFINANCE(A32,""eps"")&gt;0,""EPS+"",""EPS-""),"""")"),"EPS+")</f>
        <v>EPS+</v>
      </c>
      <c r="AE32" s="53">
        <f t="shared" si="16"/>
        <v>6</v>
      </c>
      <c r="AF32" s="53">
        <f>IFERROR(__xludf.DUMMYFUNCTION("IFERROR(N32+IF(S32&gt;=1.2,1,0)+IF(U32&gt;=1,1,0)+IF(Z32&gt;0,1,0)+IF(AND(W32&gt;=-20,W32&lt;=0),1,0)+IF(IFERROR(GOOGLEFINANCE(A32,""eps""),0)&gt;0,1,0),"""")"),4.0)</f>
        <v>4</v>
      </c>
      <c r="AG32" s="53" t="str">
        <f t="shared" si="17"/>
        <v>REVERSE TRADE</v>
      </c>
    </row>
    <row r="33" ht="15.0" customHeight="1">
      <c r="A33" s="43" t="s">
        <v>166</v>
      </c>
      <c r="B33" s="44">
        <f>IFERROR(__xludf.DUMMYFUNCTION("GOOGLEFINANCE(A33,""price"")"),506.0)</f>
        <v>506</v>
      </c>
      <c r="C33" s="45">
        <f>IFERROR(__xludf.DUMMYFUNCTION("AVERAGE(QUERY(SORT(GOOGLEFINANCE(A33,""price"",TODAY()-150,TODAY()),1,0),""select Col2 limit 50""))"),527.354)</f>
        <v>527.354</v>
      </c>
      <c r="D33" s="45">
        <f>IFERROR(__xludf.DUMMYFUNCTION("AVERAGE(QUERY(SORT(GOOGLEFINANCE(A33,""price"",TODAY()-300,TODAY()),1,0),""select Col2 limit 100""))"),559.6105000000002)</f>
        <v>559.6105</v>
      </c>
      <c r="E33" s="45">
        <f>IFERROR(__xludf.DUMMYFUNCTION("AVERAGE(QUERY(SORT(GOOGLEFINANCE(A33,""price"",TODAY()-500,TODAY()),1,0),""select Col2 limit 200""))"),596.0500000000004)</f>
        <v>596.05</v>
      </c>
      <c r="F33" s="46" t="str">
        <f t="shared" si="1"/>
        <v>In Bear Run</v>
      </c>
      <c r="G33" s="47">
        <f t="shared" si="2"/>
        <v>-15.10779297</v>
      </c>
      <c r="H33" s="48" t="str">
        <f t="shared" si="3"/>
        <v>Inverted ✗</v>
      </c>
      <c r="I33" s="48">
        <f t="shared" si="4"/>
        <v>0</v>
      </c>
      <c r="J33" s="48">
        <f t="shared" si="5"/>
        <v>0</v>
      </c>
      <c r="K33" s="49" t="str">
        <f>IFERROR(__xludf.DUMMYFUNCTION("IFERROR(IF(A33="""",""ENTER STOCK"",LET(stock,A33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3" s="48">
        <f t="shared" si="6"/>
        <v>0</v>
      </c>
      <c r="M33" s="48">
        <f t="shared" si="7"/>
        <v>1</v>
      </c>
      <c r="N33" s="50">
        <f t="shared" si="8"/>
        <v>1</v>
      </c>
      <c r="O33" s="51" t="s">
        <v>167</v>
      </c>
      <c r="P33" s="46" t="str">
        <f t="shared" si="9"/>
        <v>REVERSE TRADE</v>
      </c>
      <c r="Q33" s="52"/>
      <c r="R33" s="53">
        <f t="shared" si="10"/>
        <v>15</v>
      </c>
      <c r="S33" s="53">
        <f>IFERROR(__xludf.DUMMYFUNCTION("IFERROR(ROUND(GOOGLEFINANCE(A33,""volume"")/GOOGLEFINANCE(A33,""volumeavg""),2),"""")"),0.44)</f>
        <v>0.44</v>
      </c>
      <c r="T33" s="53" t="str">
        <f t="shared" si="11"/>
        <v>LOW VOL</v>
      </c>
      <c r="U33" s="53">
        <f>IFERROR(__xludf.DUMMYFUNCTION("IFERROR(
  LET(
    sd, GOOGLEFINANCE(A33,""close"",TODAY()-100,TODAY()),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"""")"),0.24)</f>
        <v>0.24</v>
      </c>
      <c r="V33" s="53" t="str">
        <f t="shared" si="12"/>
        <v>SLOW</v>
      </c>
      <c r="W33" s="53">
        <f>IFERROR(__xludf.DUMMYFUNCTION("IFERROR(ROUND((B33/GOOGLEFINANCE(A33,""high52"")-1)*100,1),"""")"),-36.6)</f>
        <v>-36.6</v>
      </c>
      <c r="X33" s="53">
        <f>IFERROR(__xludf.DUMMYFUNCTION("IFERROR(ROUND((B33-GOOGLEFINANCE(A33,""low52""))/(GOOGLEFINANCE(A33,""high52"")-GOOGLEFINANCE(A33,""low52""))*100,1),"""")"),12.9)</f>
        <v>12.9</v>
      </c>
      <c r="Y33" s="53" t="str">
        <f t="shared" si="13"/>
        <v>MID</v>
      </c>
      <c r="Z33" s="53">
        <f>IFERROR(__xludf.DUMMYFUNCTION("IFERROR(ROUND(((B33 / INDEX(GOOGLEFINANCE(TRIM(A33), ""price"", TODAY()-34, TODAY()), 2, 2)) - (GOOGLEFINANCE(""NIFTY_50"") / INDEX(GOOGLEFINANCE(""NIFTY_50"", ""price"", TODAY()-34, TODAY()), 2, 2))) * 100, 2), ""Check History"")"),9.82)</f>
        <v>9.82</v>
      </c>
      <c r="AA33" s="53" t="str">
        <f t="shared" si="14"/>
        <v>STRONG RS</v>
      </c>
      <c r="AB33" s="53">
        <f>IFERROR(__xludf.DUMMYFUNCTION("IFERROR(LET(
  p, QUERY(GOOGLEFINANCE(TRIM(A33),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Loading"")"),62.9)</f>
        <v>62.9</v>
      </c>
      <c r="AC33" s="53" t="str">
        <f t="shared" si="15"/>
        <v>IDEAL ENTRY</v>
      </c>
      <c r="AD33" s="53" t="str">
        <f>IFERROR(__xludf.DUMMYFUNCTION("IFERROR(IF(GOOGLEFINANCE(A33,""eps"")&gt;0,""EPS+"",""EPS-""),"""")"),"EPS+")</f>
        <v>EPS+</v>
      </c>
      <c r="AE33" s="53">
        <f t="shared" si="16"/>
        <v>2</v>
      </c>
      <c r="AF33" s="53">
        <f>IFERROR(__xludf.DUMMYFUNCTION("IFERROR(N33+IF(S33&gt;=1.2,1,0)+IF(U33&gt;=1,1,0)+IF(Z33&gt;0,1,0)+IF(AND(W33&gt;=-20,W33&lt;=0),1,0)+IF(IFERROR(GOOGLEFINANCE(A33,""eps""),0)&gt;0,1,0),"""")"),3.0)</f>
        <v>3</v>
      </c>
      <c r="AG33" s="53" t="str">
        <f t="shared" si="17"/>
        <v>REVERSE TRADE</v>
      </c>
    </row>
    <row r="34" ht="15.0" customHeight="1">
      <c r="A34" s="43" t="s">
        <v>168</v>
      </c>
      <c r="B34" s="44">
        <f>IFERROR(__xludf.DUMMYFUNCTION("GOOGLEFINANCE(A34,""price"")"),146.0)</f>
        <v>146</v>
      </c>
      <c r="C34" s="45">
        <f>IFERROR(__xludf.DUMMYFUNCTION("AVERAGE(QUERY(SORT(GOOGLEFINANCE(A34,""price"",TODAY()-150,TODAY()),1,0),""select Col2 limit 50""))"),166.98779999999996)</f>
        <v>166.9878</v>
      </c>
      <c r="D34" s="45">
        <f>IFERROR(__xludf.DUMMYFUNCTION("AVERAGE(QUERY(SORT(GOOGLEFINANCE(A34,""price"",TODAY()-300,TODAY()),1,0),""select Col2 limit 100""))"),181.83269999999996)</f>
        <v>181.8327</v>
      </c>
      <c r="E34" s="45">
        <f>IFERROR(__xludf.DUMMYFUNCTION("AVERAGE(QUERY(SORT(GOOGLEFINANCE(A34,""price"",TODAY()-500,TODAY()),1,0),""select Col2 limit 200""))"),196.46164999999996)</f>
        <v>196.46165</v>
      </c>
      <c r="F34" s="46" t="str">
        <f t="shared" si="1"/>
        <v>In Bear Run</v>
      </c>
      <c r="G34" s="47">
        <f t="shared" si="2"/>
        <v>-25.68524188</v>
      </c>
      <c r="H34" s="48" t="str">
        <f t="shared" si="3"/>
        <v>Inverted ✗</v>
      </c>
      <c r="I34" s="48">
        <f t="shared" si="4"/>
        <v>0</v>
      </c>
      <c r="J34" s="48">
        <f t="shared" si="5"/>
        <v>0</v>
      </c>
      <c r="K34" s="49" t="str">
        <f>IFERROR(__xludf.DUMMYFUNCTION("IFERROR(IF(A34="""",""ENTER STOCK"",LET(stock,A34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4" s="48">
        <f t="shared" si="6"/>
        <v>0</v>
      </c>
      <c r="M34" s="48">
        <f t="shared" si="7"/>
        <v>1</v>
      </c>
      <c r="N34" s="50">
        <f t="shared" si="8"/>
        <v>1</v>
      </c>
      <c r="O34" s="51" t="s">
        <v>167</v>
      </c>
      <c r="P34" s="46" t="str">
        <f t="shared" si="9"/>
        <v>REVERSE TRADE</v>
      </c>
      <c r="Q34" s="52"/>
      <c r="R34" s="53">
        <f t="shared" si="10"/>
        <v>15</v>
      </c>
      <c r="S34" s="53">
        <f>IFERROR(__xludf.DUMMYFUNCTION("IFERROR(ROUND(GOOGLEFINANCE(A34,""volume"")/GOOGLEFINANCE(A34,""volumeavg""),2),"""")"),1.4)</f>
        <v>1.4</v>
      </c>
      <c r="T34" s="53" t="str">
        <f t="shared" si="11"/>
        <v>OK VOL</v>
      </c>
      <c r="U34" s="53">
        <f>IFERROR(__xludf.DUMMYFUNCTION("IFERROR(
  LET(
    sd, GOOGLEFINANCE(A34,""close"",TODAY()-100,TODAY()),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"""")"),0.91)</f>
        <v>0.91</v>
      </c>
      <c r="V34" s="53" t="str">
        <f t="shared" si="12"/>
        <v>MEDIUM</v>
      </c>
      <c r="W34" s="53">
        <f>IFERROR(__xludf.DUMMYFUNCTION("IFERROR(ROUND((B34/GOOGLEFINANCE(A34,""high52"")-1)*100,1),"""")"),-36.2)</f>
        <v>-36.2</v>
      </c>
      <c r="X34" s="53">
        <f>IFERROR(__xludf.DUMMYFUNCTION("IFERROR(ROUND((B34-GOOGLEFINANCE(A34,""low52""))/(GOOGLEFINANCE(A34,""high52"")-GOOGLEFINANCE(A34,""low52""))*100,1),"""")"),3.2)</f>
        <v>3.2</v>
      </c>
      <c r="Y34" s="53" t="str">
        <f t="shared" si="13"/>
        <v>MID</v>
      </c>
      <c r="Z34" s="53">
        <f>IFERROR(__xludf.DUMMYFUNCTION("IFERROR(ROUND(((B34 / INDEX(GOOGLEFINANCE(TRIM(A34), ""price"", TODAY()-34, TODAY()), 2, 2)) - (GOOGLEFINANCE(""NIFTY_50"") / INDEX(GOOGLEFINANCE(""NIFTY_50"", ""price"", TODAY()-34, TODAY()), 2, 2))) * 100, 2), ""Check History"")"),-2.03)</f>
        <v>-2.03</v>
      </c>
      <c r="AA34" s="53" t="str">
        <f t="shared" si="14"/>
        <v>WEAK RS</v>
      </c>
      <c r="AB34" s="53">
        <f>IFERROR(__xludf.DUMMYFUNCTION("IFERROR(LET(
  p, QUERY(GOOGLEFINANCE(TRIM(A34),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Loading"")"),45.1)</f>
        <v>45.1</v>
      </c>
      <c r="AC34" s="53" t="str">
        <f t="shared" si="15"/>
        <v>IDEAL ENTRY</v>
      </c>
      <c r="AD34" s="53" t="str">
        <f>IFERROR(__xludf.DUMMYFUNCTION("IFERROR(IF(GOOGLEFINANCE(A34,""eps"")&gt;0,""EPS+"",""EPS-""),"""")"),"EPS+")</f>
        <v>EPS+</v>
      </c>
      <c r="AE34" s="53">
        <f t="shared" si="16"/>
        <v>4</v>
      </c>
      <c r="AF34" s="53">
        <f>IFERROR(__xludf.DUMMYFUNCTION("IFERROR(N34+IF(S34&gt;=1.2,1,0)+IF(U34&gt;=1,1,0)+IF(Z34&gt;0,1,0)+IF(AND(W34&gt;=-20,W34&lt;=0),1,0)+IF(IFERROR(GOOGLEFINANCE(A34,""eps""),0)&gt;0,1,0),"""")"),3.0)</f>
        <v>3</v>
      </c>
      <c r="AG34" s="53" t="str">
        <f t="shared" si="17"/>
        <v>REVERSE TRADE</v>
      </c>
    </row>
    <row r="35" ht="15.0" customHeight="1">
      <c r="A35" s="43" t="s">
        <v>169</v>
      </c>
      <c r="B35" s="44">
        <f>IFERROR(__xludf.DUMMYFUNCTION("GOOGLEFINANCE(A35,""price"")"),87.35)</f>
        <v>87.35</v>
      </c>
      <c r="C35" s="45">
        <f>IFERROR(__xludf.DUMMYFUNCTION("AVERAGE(QUERY(SORT(GOOGLEFINANCE(A35,""price"",TODAY()-150,TODAY()),1,0),""select Col2 limit 50""))"),107.4368)</f>
        <v>107.4368</v>
      </c>
      <c r="D35" s="45">
        <f>IFERROR(__xludf.DUMMYFUNCTION("AVERAGE(QUERY(SORT(GOOGLEFINANCE(A35,""price"",TODAY()-300,TODAY()),1,0),""select Col2 limit 100""))"),113.53920000000002)</f>
        <v>113.5392</v>
      </c>
      <c r="E35" s="45">
        <f>IFERROR(__xludf.DUMMYFUNCTION("AVERAGE(QUERY(SORT(GOOGLEFINANCE(A35,""price"",TODAY()-500,TODAY()),1,0),""select Col2 limit 200""))"),121.5535000000001)</f>
        <v>121.5535</v>
      </c>
      <c r="F35" s="46" t="str">
        <f t="shared" si="1"/>
        <v>In Bear Run</v>
      </c>
      <c r="G35" s="47">
        <f t="shared" si="2"/>
        <v>-28.13863854</v>
      </c>
      <c r="H35" s="48" t="str">
        <f t="shared" si="3"/>
        <v>Inverted ✗</v>
      </c>
      <c r="I35" s="48">
        <f t="shared" si="4"/>
        <v>0</v>
      </c>
      <c r="J35" s="48">
        <f t="shared" si="5"/>
        <v>0</v>
      </c>
      <c r="K35" s="49" t="str">
        <f>IFERROR(__xludf.DUMMYFUNCTION("IFERROR(IF(A35="""",""ENTER STOCK"",LET(stock,A35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5" s="48">
        <f t="shared" si="6"/>
        <v>0</v>
      </c>
      <c r="M35" s="48">
        <f t="shared" si="7"/>
        <v>1</v>
      </c>
      <c r="N35" s="50">
        <f t="shared" si="8"/>
        <v>1</v>
      </c>
      <c r="O35" s="51" t="s">
        <v>170</v>
      </c>
      <c r="P35" s="46" t="str">
        <f t="shared" si="9"/>
        <v>REVERSE TRADE</v>
      </c>
      <c r="Q35" s="52"/>
      <c r="R35" s="53">
        <f t="shared" si="10"/>
        <v>15</v>
      </c>
      <c r="S35" s="53">
        <f>IFERROR(__xludf.DUMMYFUNCTION("IFERROR(ROUND(GOOGLEFINANCE(A35,""volume"")/GOOGLEFINANCE(A35,""volumeavg""),2),"""")"),1.55)</f>
        <v>1.55</v>
      </c>
      <c r="T35" s="53" t="str">
        <f t="shared" si="11"/>
        <v>HIGH VOL</v>
      </c>
      <c r="U35" s="53">
        <f>IFERROR(__xludf.DUMMYFUNCTION("IFERROR(
  LET(
    sd, GOOGLEFINANCE(A35,""close"",TODAY()-100,TODAY()),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"""")"),1.35)</f>
        <v>1.35</v>
      </c>
      <c r="V35" s="53" t="str">
        <f t="shared" si="12"/>
        <v>FAST</v>
      </c>
      <c r="W35" s="53">
        <f>IFERROR(__xludf.DUMMYFUNCTION("IFERROR(ROUND((B35/GOOGLEFINANCE(A35,""high52"")-1)*100,1),"""")"),-41.4)</f>
        <v>-41.4</v>
      </c>
      <c r="X35" s="53">
        <f>IFERROR(__xludf.DUMMYFUNCTION("IFERROR(ROUND((B35-GOOGLEFINANCE(A35,""low52""))/(GOOGLEFINANCE(A35,""high52"")-GOOGLEFINANCE(A35,""low52""))*100,1),"""")"),0.6)</f>
        <v>0.6</v>
      </c>
      <c r="Y35" s="53" t="str">
        <f t="shared" si="13"/>
        <v>DEEP RECOVERY</v>
      </c>
      <c r="Z35" s="53">
        <f>IFERROR(__xludf.DUMMYFUNCTION("IFERROR(ROUND(((B35 / INDEX(GOOGLEFINANCE(TRIM(A35), ""price"", TODAY()-34, TODAY()), 2, 2)) - (GOOGLEFINANCE(""NIFTY_50"") / INDEX(GOOGLEFINANCE(""NIFTY_50"", ""price"", TODAY()-34, TODAY()), 2, 2))) * 100, 2), ""Check History"")"),-8.02)</f>
        <v>-8.02</v>
      </c>
      <c r="AA35" s="53" t="str">
        <f t="shared" si="14"/>
        <v>WEAK RS</v>
      </c>
      <c r="AB35" s="53">
        <f>IFERROR(__xludf.DUMMYFUNCTION("IFERROR(LET(
  p, QUERY(GOOGLEFINANCE(TRIM(A35),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Loading"")"),41.2)</f>
        <v>41.2</v>
      </c>
      <c r="AC35" s="53" t="str">
        <f t="shared" si="15"/>
        <v>WEAK MOM</v>
      </c>
      <c r="AD35" s="53" t="str">
        <f>IFERROR(__xludf.DUMMYFUNCTION("IFERROR(IF(GOOGLEFINANCE(A35,""eps"")&gt;0,""EPS+"",""EPS-""),"""")"),"EPS+")</f>
        <v>EPS+</v>
      </c>
      <c r="AE35" s="53">
        <f t="shared" si="16"/>
        <v>6</v>
      </c>
      <c r="AF35" s="53">
        <f>IFERROR(__xludf.DUMMYFUNCTION("IFERROR(N35+IF(S35&gt;=1.2,1,0)+IF(U35&gt;=1,1,0)+IF(Z35&gt;0,1,0)+IF(AND(W35&gt;=-20,W35&lt;=0),1,0)+IF(IFERROR(GOOGLEFINANCE(A35,""eps""),0)&gt;0,1,0),"""")"),4.0)</f>
        <v>4</v>
      </c>
      <c r="AG35" s="53" t="str">
        <f t="shared" si="17"/>
        <v>REVERSE TRADE</v>
      </c>
    </row>
    <row r="36" ht="15.0" customHeight="1">
      <c r="A36" s="43" t="s">
        <v>171</v>
      </c>
      <c r="B36" s="44">
        <f>IFERROR(__xludf.DUMMYFUNCTION("GOOGLEFINANCE(A36,""price"")"),288.5)</f>
        <v>288.5</v>
      </c>
      <c r="C36" s="45">
        <f>IFERROR(__xludf.DUMMYFUNCTION("AVERAGE(QUERY(SORT(GOOGLEFINANCE(A36,""price"",TODAY()-150,TODAY()),1,0),""select Col2 limit 50""))"),315.13700000000006)</f>
        <v>315.137</v>
      </c>
      <c r="D36" s="45">
        <f>IFERROR(__xludf.DUMMYFUNCTION("AVERAGE(QUERY(SORT(GOOGLEFINANCE(A36,""price"",TODAY()-300,TODAY()),1,0),""select Col2 limit 100""))"),355.09049999999996)</f>
        <v>355.0905</v>
      </c>
      <c r="E36" s="45">
        <f>IFERROR(__xludf.DUMMYFUNCTION("AVERAGE(QUERY(SORT(GOOGLEFINANCE(A36,""price"",TODAY()-500,TODAY()),1,0),""select Col2 limit 200""))"),383.52899999999994)</f>
        <v>383.529</v>
      </c>
      <c r="F36" s="46" t="str">
        <f t="shared" si="1"/>
        <v>In Bear Run</v>
      </c>
      <c r="G36" s="47">
        <f t="shared" si="2"/>
        <v>-24.7775266</v>
      </c>
      <c r="H36" s="48" t="str">
        <f t="shared" si="3"/>
        <v>Inverted ✗</v>
      </c>
      <c r="I36" s="48">
        <f t="shared" si="4"/>
        <v>0</v>
      </c>
      <c r="J36" s="48">
        <f t="shared" si="5"/>
        <v>0</v>
      </c>
      <c r="K36" s="49" t="str">
        <f>IFERROR(__xludf.DUMMYFUNCTION("IFERROR(IF(A36="""",""ENTER STOCK"",LET(stock,A36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6" s="48">
        <f t="shared" si="6"/>
        <v>0</v>
      </c>
      <c r="M36" s="48">
        <f t="shared" si="7"/>
        <v>1</v>
      </c>
      <c r="N36" s="50">
        <f t="shared" si="8"/>
        <v>1</v>
      </c>
      <c r="O36" s="51" t="s">
        <v>131</v>
      </c>
      <c r="P36" s="46" t="str">
        <f t="shared" si="9"/>
        <v>REVERSE TRADE</v>
      </c>
      <c r="Q36" s="52"/>
      <c r="R36" s="53">
        <f t="shared" si="10"/>
        <v>15</v>
      </c>
      <c r="S36" s="53">
        <f>IFERROR(__xludf.DUMMYFUNCTION("IFERROR(ROUND(GOOGLEFINANCE(A36,""volume"")/GOOGLEFINANCE(A36,""volumeavg""),2),"""")"),1.16)</f>
        <v>1.16</v>
      </c>
      <c r="T36" s="53" t="str">
        <f t="shared" si="11"/>
        <v>LOW VOL</v>
      </c>
      <c r="U36" s="53">
        <f>IFERROR(__xludf.DUMMYFUNCTION("IFERROR(
  LET(
    sd, GOOGLEFINANCE(A36,""close"",TODAY()-100,TODAY()),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"""")"),0.09)</f>
        <v>0.09</v>
      </c>
      <c r="V36" s="53" t="str">
        <f t="shared" si="12"/>
        <v>SLOW</v>
      </c>
      <c r="W36" s="53">
        <f>IFERROR(__xludf.DUMMYFUNCTION("IFERROR(ROUND((B36/GOOGLEFINANCE(A36,""high52"")-1)*100,1),"""")"),-35.1)</f>
        <v>-35.1</v>
      </c>
      <c r="X36" s="53">
        <f>IFERROR(__xludf.DUMMYFUNCTION("IFERROR(ROUND((B36-GOOGLEFINANCE(A36,""low52""))/(GOOGLEFINANCE(A36,""high52"")-GOOGLEFINANCE(A36,""low52""))*100,1),"""")"),1.0)</f>
        <v>1</v>
      </c>
      <c r="Y36" s="53" t="str">
        <f t="shared" si="13"/>
        <v>MID</v>
      </c>
      <c r="Z36" s="53">
        <f>IFERROR(__xludf.DUMMYFUNCTION("IFERROR(ROUND(((B36 / INDEX(GOOGLEFINANCE(TRIM(A36), ""price"", TODAY()-34, TODAY()), 2, 2)) - (GOOGLEFINANCE(""NIFTY_50"") / INDEX(GOOGLEFINANCE(""NIFTY_50"", ""price"", TODAY()-34, TODAY()), 2, 2))) * 100, 2), ""Check History"")"),1.35)</f>
        <v>1.35</v>
      </c>
      <c r="AA36" s="53" t="str">
        <f t="shared" si="14"/>
        <v>MILD RS</v>
      </c>
      <c r="AB36" s="53">
        <f>IFERROR(__xludf.DUMMYFUNCTION("IFERROR(LET(
  p, QUERY(GOOGLEFINANCE(TRIM(A36),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Loading"")"),46.5)</f>
        <v>46.5</v>
      </c>
      <c r="AC36" s="53" t="str">
        <f t="shared" si="15"/>
        <v>IDEAL ENTRY</v>
      </c>
      <c r="AD36" s="53" t="str">
        <f>IFERROR(__xludf.DUMMYFUNCTION("IFERROR(IF(GOOGLEFINANCE(A36,""eps"")&gt;0,""EPS+"",""EPS-""),"""")"),"EPS+")</f>
        <v>EPS+</v>
      </c>
      <c r="AE36" s="53">
        <f t="shared" si="16"/>
        <v>2</v>
      </c>
      <c r="AF36" s="53">
        <f>IFERROR(__xludf.DUMMYFUNCTION("IFERROR(N36+IF(S36&gt;=1.2,1,0)+IF(U36&gt;=1,1,0)+IF(Z36&gt;0,1,0)+IF(AND(W36&gt;=-20,W36&lt;=0),1,0)+IF(IFERROR(GOOGLEFINANCE(A36,""eps""),0)&gt;0,1,0),"""")"),3.0)</f>
        <v>3</v>
      </c>
      <c r="AG36" s="53" t="str">
        <f t="shared" si="17"/>
        <v>REVERSE TRADE</v>
      </c>
    </row>
    <row r="37" ht="15.0" customHeight="1">
      <c r="A37" s="43" t="s">
        <v>172</v>
      </c>
      <c r="B37" s="44">
        <f>IFERROR(__xludf.DUMMYFUNCTION("GOOGLEFINANCE(A37,""price"")"),633.9)</f>
        <v>633.9</v>
      </c>
      <c r="C37" s="45">
        <f>IFERROR(__xludf.DUMMYFUNCTION("AVERAGE(QUERY(SORT(GOOGLEFINANCE(A37,""price"",TODAY()-150,TODAY()),1,0),""select Col2 limit 50""))"),742.7760000000001)</f>
        <v>742.776</v>
      </c>
      <c r="D37" s="45">
        <f>IFERROR(__xludf.DUMMYFUNCTION("AVERAGE(QUERY(SORT(GOOGLEFINANCE(A37,""price"",TODAY()-300,TODAY()),1,0),""select Col2 limit 100""))"),823.5254999999994)</f>
        <v>823.5255</v>
      </c>
      <c r="E37" s="45">
        <f>IFERROR(__xludf.DUMMYFUNCTION("AVERAGE(QUERY(SORT(GOOGLEFINANCE(A37,""price"",TODAY()-500,TODAY()),1,0),""select Col2 limit 200""))"),872.9662499999994)</f>
        <v>872.96625</v>
      </c>
      <c r="F37" s="46" t="str">
        <f t="shared" si="1"/>
        <v>In Bear Run</v>
      </c>
      <c r="G37" s="47">
        <f t="shared" si="2"/>
        <v>-27.38550889</v>
      </c>
      <c r="H37" s="48" t="str">
        <f t="shared" si="3"/>
        <v>Inverted ✗</v>
      </c>
      <c r="I37" s="48">
        <f t="shared" si="4"/>
        <v>0</v>
      </c>
      <c r="J37" s="48">
        <f t="shared" si="5"/>
        <v>0</v>
      </c>
      <c r="K37" s="49" t="str">
        <f>IFERROR(__xludf.DUMMYFUNCTION("IFERROR(IF(A37="""",""ENTER STOCK"",LET(stock,A37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7" s="48">
        <f t="shared" si="6"/>
        <v>0</v>
      </c>
      <c r="M37" s="48">
        <f t="shared" si="7"/>
        <v>1</v>
      </c>
      <c r="N37" s="50">
        <f t="shared" si="8"/>
        <v>1</v>
      </c>
      <c r="O37" s="51" t="s">
        <v>173</v>
      </c>
      <c r="P37" s="46" t="str">
        <f t="shared" si="9"/>
        <v>REVERSE TRADE</v>
      </c>
      <c r="Q37" s="52"/>
      <c r="R37" s="53">
        <f t="shared" si="10"/>
        <v>15</v>
      </c>
      <c r="S37" s="53">
        <f>IFERROR(__xludf.DUMMYFUNCTION("IFERROR(ROUND(GOOGLEFINANCE(A37,""volume"")/GOOGLEFINANCE(A37,""volumeavg""),2),"""")"),1.84)</f>
        <v>1.84</v>
      </c>
      <c r="T37" s="53" t="str">
        <f t="shared" si="11"/>
        <v>HIGH VOL</v>
      </c>
      <c r="U37" s="53">
        <f>IFERROR(__xludf.DUMMYFUNCTION("IFERROR(
  LET(
    sd, GOOGLEFINANCE(A37,""close"",TODAY()-100,TODAY()),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"""")"),1.68)</f>
        <v>1.68</v>
      </c>
      <c r="V37" s="53" t="str">
        <f t="shared" si="12"/>
        <v>FAST</v>
      </c>
      <c r="W37" s="53">
        <f>IFERROR(__xludf.DUMMYFUNCTION("IFERROR(ROUND((B37/GOOGLEFINANCE(A37,""high52"")-1)*100,1),"""")"),-42.2)</f>
        <v>-42.2</v>
      </c>
      <c r="X37" s="53">
        <f>IFERROR(__xludf.DUMMYFUNCTION("IFERROR(ROUND((B37-GOOGLEFINANCE(A37,""low52""))/(GOOGLEFINANCE(A37,""high52"")-GOOGLEFINANCE(A37,""low52""))*100,1),"""")"),20.7)</f>
        <v>20.7</v>
      </c>
      <c r="Y37" s="53" t="str">
        <f t="shared" si="13"/>
        <v>DEEP RECOVERY</v>
      </c>
      <c r="Z37" s="53">
        <f>IFERROR(__xludf.DUMMYFUNCTION("IFERROR(ROUND(((B37 / INDEX(GOOGLEFINANCE(TRIM(A37), ""price"", TODAY()-34, TODAY()), 2, 2)) - (GOOGLEFINANCE(""NIFTY_50"") / INDEX(GOOGLEFINANCE(""NIFTY_50"", ""price"", TODAY()-34, TODAY()), 2, 2))) * 100, 2), ""Check History"")"),-2.54)</f>
        <v>-2.54</v>
      </c>
      <c r="AA37" s="53" t="str">
        <f t="shared" si="14"/>
        <v>WEAK RS</v>
      </c>
      <c r="AB37" s="53">
        <f>IFERROR(__xludf.DUMMYFUNCTION("IFERROR(LET(
  p, QUERY(GOOGLEFINANCE(TRIM(A37),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Loading"")"),53.6)</f>
        <v>53.6</v>
      </c>
      <c r="AC37" s="53" t="str">
        <f t="shared" si="15"/>
        <v>IDEAL ENTRY</v>
      </c>
      <c r="AD37" s="53" t="str">
        <f>IFERROR(__xludf.DUMMYFUNCTION("IFERROR(IF(GOOGLEFINANCE(A37,""eps"")&gt;0,""EPS+"",""EPS-""),"""")"),"EPS+")</f>
        <v>EPS+</v>
      </c>
      <c r="AE37" s="53">
        <f t="shared" si="16"/>
        <v>6</v>
      </c>
      <c r="AF37" s="53">
        <f>IFERROR(__xludf.DUMMYFUNCTION("IFERROR(N37+IF(S37&gt;=1.2,1,0)+IF(U37&gt;=1,1,0)+IF(Z37&gt;0,1,0)+IF(AND(W37&gt;=-20,W37&lt;=0),1,0)+IF(IFERROR(GOOGLEFINANCE(A37,""eps""),0)&gt;0,1,0),"""")"),4.0)</f>
        <v>4</v>
      </c>
      <c r="AG37" s="53" t="str">
        <f t="shared" si="17"/>
        <v>REVERSE TRADE</v>
      </c>
    </row>
    <row r="38" ht="15.0" customHeight="1">
      <c r="A38" s="43" t="s">
        <v>174</v>
      </c>
      <c r="B38" s="44">
        <f>IFERROR(__xludf.DUMMYFUNCTION("GOOGLEFINANCE(A38,""price"")"),4029.9)</f>
        <v>4029.9</v>
      </c>
      <c r="C38" s="45">
        <f>IFERROR(__xludf.DUMMYFUNCTION("AVERAGE(QUERY(SORT(GOOGLEFINANCE(A38,""price"",TODAY()-150,TODAY()),1,0),""select Col2 limit 50""))"),4262.754999999999)</f>
        <v>4262.755</v>
      </c>
      <c r="D38" s="45">
        <f>IFERROR(__xludf.DUMMYFUNCTION("AVERAGE(QUERY(SORT(GOOGLEFINANCE(A38,""price"",TODAY()-300,TODAY()),1,0),""select Col2 limit 100""))"),4262.754999999999)</f>
        <v>4262.755</v>
      </c>
      <c r="E38" s="45">
        <f>IFERROR(__xludf.DUMMYFUNCTION("AVERAGE(QUERY(SORT(GOOGLEFINANCE(A38,""price"",TODAY()-500,TODAY()),1,0),""select Col2 limit 200""))"),4262.754999999999)</f>
        <v>4262.755</v>
      </c>
      <c r="F38" s="46" t="str">
        <f t="shared" si="1"/>
        <v>In Bear Run</v>
      </c>
      <c r="G38" s="47">
        <f t="shared" si="2"/>
        <v>-5.462547109</v>
      </c>
      <c r="H38" s="48" t="str">
        <f t="shared" si="3"/>
        <v>Inverted ✗</v>
      </c>
      <c r="I38" s="48">
        <f t="shared" si="4"/>
        <v>0</v>
      </c>
      <c r="J38" s="48">
        <f t="shared" si="5"/>
        <v>0</v>
      </c>
      <c r="K38" s="49" t="str">
        <f>IFERROR(__xludf.DUMMYFUNCTION("IFERROR(IF(A38="""",""ENTER STOCK"",LET(stock,A38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8" s="48">
        <f t="shared" si="6"/>
        <v>0</v>
      </c>
      <c r="M38" s="48">
        <f t="shared" si="7"/>
        <v>0</v>
      </c>
      <c r="N38" s="50">
        <f t="shared" si="8"/>
        <v>0</v>
      </c>
      <c r="O38" s="51" t="s">
        <v>175</v>
      </c>
      <c r="P38" s="46" t="str">
        <f t="shared" si="9"/>
        <v>REVERSE TRADE</v>
      </c>
      <c r="Q38" s="52"/>
      <c r="R38" s="53">
        <f t="shared" si="10"/>
        <v>15</v>
      </c>
      <c r="S38" s="53">
        <f>IFERROR(__xludf.DUMMYFUNCTION("IFERROR(ROUND(GOOGLEFINANCE(A38,""volume"")/GOOGLEFINANCE(A38,""volumeavg""),2),"""")"),2.7)</f>
        <v>2.7</v>
      </c>
      <c r="T38" s="53" t="str">
        <f t="shared" si="11"/>
        <v>HIGH VOL</v>
      </c>
      <c r="U38" s="53">
        <f>IFERROR(__xludf.DUMMYFUNCTION("IFERROR(
  LET(
    sd, GOOGLEFINANCE(A38,""close"",TODAY()-100,TODAY()),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"""")"),1.71)</f>
        <v>1.71</v>
      </c>
      <c r="V38" s="53" t="str">
        <f t="shared" si="12"/>
        <v>FAST</v>
      </c>
      <c r="W38" s="53">
        <f>IFERROR(__xludf.DUMMYFUNCTION("IFERROR(ROUND((B38/GOOGLEFINANCE(A38,""high52"")-1)*100,1),"""")"),-13.3)</f>
        <v>-13.3</v>
      </c>
      <c r="X38" s="53">
        <f>IFERROR(__xludf.DUMMYFUNCTION("IFERROR(ROUND((B38-GOOGLEFINANCE(A38,""low52""))/(GOOGLEFINANCE(A38,""high52"")-GOOGLEFINANCE(A38,""low52""))*100,1),"""")"),4.6)</f>
        <v>4.6</v>
      </c>
      <c r="Y38" s="53" t="str">
        <f t="shared" si="13"/>
        <v>UPPER</v>
      </c>
      <c r="Z38" s="53">
        <f>IFERROR(__xludf.DUMMYFUNCTION("IFERROR(ROUND(((B38 / INDEX(GOOGLEFINANCE(TRIM(A38), ""price"", TODAY()-34, TODAY()), 2, 2)) - (GOOGLEFINANCE(""NIFTY_50"") / INDEX(GOOGLEFINANCE(""NIFTY_50"", ""price"", TODAY()-34, TODAY()), 2, 2))) * 100, 2), ""Check History"")"),2.48)</f>
        <v>2.48</v>
      </c>
      <c r="AA38" s="53" t="str">
        <f t="shared" si="14"/>
        <v>MILD RS</v>
      </c>
      <c r="AB38" s="53">
        <f>IFERROR(__xludf.DUMMYFUNCTION("IFERROR(LET(
  p, QUERY(GOOGLEFINANCE(TRIM(A38),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Loading"")"),37.7)</f>
        <v>37.7</v>
      </c>
      <c r="AC38" s="53" t="str">
        <f t="shared" si="15"/>
        <v>WEAK MOM</v>
      </c>
      <c r="AD38" s="53" t="str">
        <f>IFERROR(__xludf.DUMMYFUNCTION("IFERROR(IF(GOOGLEFINANCE(A38,""eps"")&gt;0,""EPS+"",""EPS-""),"""")"),"EPS+")</f>
        <v>EPS+</v>
      </c>
      <c r="AE38" s="53">
        <f t="shared" si="16"/>
        <v>7</v>
      </c>
      <c r="AF38" s="53">
        <f>IFERROR(__xludf.DUMMYFUNCTION("IFERROR(N38+IF(S38&gt;=1.2,1,0)+IF(U38&gt;=1,1,0)+IF(Z38&gt;0,1,0)+IF(AND(W38&gt;=-20,W38&lt;=0),1,0)+IF(IFERROR(GOOGLEFINANCE(A38,""eps""),0)&gt;0,1,0),"""")"),5.0)</f>
        <v>5</v>
      </c>
      <c r="AG38" s="53" t="str">
        <f t="shared" si="17"/>
        <v>REVERSE TRADE</v>
      </c>
    </row>
    <row r="39" ht="15.0" customHeight="1">
      <c r="A39" s="43" t="s">
        <v>176</v>
      </c>
      <c r="B39" s="44">
        <f>IFERROR(__xludf.DUMMYFUNCTION("GOOGLEFINANCE(A39,""price"")"),830.2)</f>
        <v>830.2</v>
      </c>
      <c r="C39" s="45">
        <f>IFERROR(__xludf.DUMMYFUNCTION("AVERAGE(QUERY(SORT(GOOGLEFINANCE(A39,""price"",TODAY()-150,TODAY()),1,0),""select Col2 limit 50""))"),881.0050000000001)</f>
        <v>881.005</v>
      </c>
      <c r="D39" s="45">
        <f>IFERROR(__xludf.DUMMYFUNCTION("AVERAGE(QUERY(SORT(GOOGLEFINANCE(A39,""price"",TODAY()-300,TODAY()),1,0),""select Col2 limit 100""))"),939.3330000000001)</f>
        <v>939.333</v>
      </c>
      <c r="E39" s="45">
        <f>IFERROR(__xludf.DUMMYFUNCTION("AVERAGE(QUERY(SORT(GOOGLEFINANCE(A39,""price"",TODAY()-500,TODAY()),1,0),""select Col2 limit 200""))"),1010.2462499999998)</f>
        <v>1010.24625</v>
      </c>
      <c r="F39" s="46" t="str">
        <f t="shared" si="1"/>
        <v>In Bear Run</v>
      </c>
      <c r="G39" s="47">
        <f t="shared" si="2"/>
        <v>-17.82201617</v>
      </c>
      <c r="H39" s="48" t="str">
        <f t="shared" si="3"/>
        <v>Inverted ✗</v>
      </c>
      <c r="I39" s="48">
        <f t="shared" si="4"/>
        <v>0</v>
      </c>
      <c r="J39" s="48">
        <f t="shared" si="5"/>
        <v>0</v>
      </c>
      <c r="K39" s="49" t="str">
        <f>IFERROR(__xludf.DUMMYFUNCTION("IFERROR(IF(A39="""",""ENTER STOCK"",LET(stock,A39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9" s="48">
        <f t="shared" si="6"/>
        <v>0</v>
      </c>
      <c r="M39" s="48">
        <f t="shared" si="7"/>
        <v>1</v>
      </c>
      <c r="N39" s="50">
        <f t="shared" si="8"/>
        <v>1</v>
      </c>
      <c r="O39" s="51" t="s">
        <v>143</v>
      </c>
      <c r="P39" s="46" t="str">
        <f t="shared" si="9"/>
        <v>REVERSE TRADE</v>
      </c>
      <c r="Q39" s="52"/>
      <c r="R39" s="53">
        <f t="shared" si="10"/>
        <v>15</v>
      </c>
      <c r="S39" s="53">
        <f>IFERROR(__xludf.DUMMYFUNCTION("IFERROR(ROUND(GOOGLEFINANCE(A39,""volume"")/GOOGLEFINANCE(A39,""volumeavg""),2),"""")"),0.82)</f>
        <v>0.82</v>
      </c>
      <c r="T39" s="53" t="str">
        <f t="shared" si="11"/>
        <v>LOW VOL</v>
      </c>
      <c r="U39" s="53">
        <f>IFERROR(__xludf.DUMMYFUNCTION("IFERROR(
  LET(
    sd, GOOGLEFINANCE(A39,""close"",TODAY()-100,TODAY()),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"""")"),1.0)</f>
        <v>1</v>
      </c>
      <c r="V39" s="53" t="str">
        <f t="shared" si="12"/>
        <v>MEDIUM</v>
      </c>
      <c r="W39" s="53">
        <f>IFERROR(__xludf.DUMMYFUNCTION("IFERROR(ROUND((B39/GOOGLEFINANCE(A39,""high52"")-1)*100,1),"""")"),-40.2)</f>
        <v>-40.2</v>
      </c>
      <c r="X39" s="53">
        <f>IFERROR(__xludf.DUMMYFUNCTION("IFERROR(ROUND((B39-GOOGLEFINANCE(A39,""low52""))/(GOOGLEFINANCE(A39,""high52"")-GOOGLEFINANCE(A39,""low52""))*100,1),"""")"),5.8)</f>
        <v>5.8</v>
      </c>
      <c r="Y39" s="53" t="str">
        <f t="shared" si="13"/>
        <v>DEEP RECOVERY</v>
      </c>
      <c r="Z39" s="53">
        <f>IFERROR(__xludf.DUMMYFUNCTION("IFERROR(ROUND(((B39 / INDEX(GOOGLEFINANCE(TRIM(A39), ""price"", TODAY()-34, TODAY()), 2, 2)) - (GOOGLEFINANCE(""NIFTY_50"") / INDEX(GOOGLEFINANCE(""NIFTY_50"", ""price"", TODAY()-34, TODAY()), 2, 2))) * 100, 2), ""Check History"")"),2.39)</f>
        <v>2.39</v>
      </c>
      <c r="AA39" s="53" t="str">
        <f t="shared" si="14"/>
        <v>MILD RS</v>
      </c>
      <c r="AB39" s="53">
        <f>IFERROR(__xludf.DUMMYFUNCTION("IFERROR(LET(
  p, QUERY(GOOGLEFINANCE(TRIM(A39),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Loading"")"),56.8)</f>
        <v>56.8</v>
      </c>
      <c r="AC39" s="53" t="str">
        <f t="shared" si="15"/>
        <v>IDEAL ENTRY</v>
      </c>
      <c r="AD39" s="53" t="str">
        <f>IFERROR(__xludf.DUMMYFUNCTION("IFERROR(IF(GOOGLEFINANCE(A39,""eps"")&gt;0,""EPS+"",""EPS-""),"""")"),"EPS+")</f>
        <v>EPS+</v>
      </c>
      <c r="AE39" s="53">
        <f t="shared" si="16"/>
        <v>3</v>
      </c>
      <c r="AF39" s="53">
        <f>IFERROR(__xludf.DUMMYFUNCTION("IFERROR(N39+IF(S39&gt;=1.2,1,0)+IF(U39&gt;=1,1,0)+IF(Z39&gt;0,1,0)+IF(AND(W39&gt;=-20,W39&lt;=0),1,0)+IF(IFERROR(GOOGLEFINANCE(A39,""eps""),0)&gt;0,1,0),"""")"),4.0)</f>
        <v>4</v>
      </c>
      <c r="AG39" s="53" t="str">
        <f t="shared" si="17"/>
        <v>REVERSE TRADE</v>
      </c>
    </row>
    <row r="40" ht="15.0" customHeight="1">
      <c r="A40" s="43" t="s">
        <v>177</v>
      </c>
      <c r="B40" s="44">
        <f>IFERROR(__xludf.DUMMYFUNCTION("GOOGLEFINANCE(A40,""price"")"),1470.0)</f>
        <v>1470</v>
      </c>
      <c r="C40" s="45">
        <f>IFERROR(__xludf.DUMMYFUNCTION("AVERAGE(QUERY(SORT(GOOGLEFINANCE(A40,""price"",TODAY()-150,TODAY()),1,0),""select Col2 limit 50""))"),1686.6779999999992)</f>
        <v>1686.678</v>
      </c>
      <c r="D40" s="45">
        <f>IFERROR(__xludf.DUMMYFUNCTION("AVERAGE(QUERY(SORT(GOOGLEFINANCE(A40,""price"",TODAY()-300,TODAY()),1,0),""select Col2 limit 100""))"),1884.6589999999997)</f>
        <v>1884.659</v>
      </c>
      <c r="E40" s="45">
        <f>IFERROR(__xludf.DUMMYFUNCTION("AVERAGE(QUERY(SORT(GOOGLEFINANCE(A40,""price"",TODAY()-500,TODAY()),1,0),""select Col2 limit 200""))"),2026.062499999999)</f>
        <v>2026.0625</v>
      </c>
      <c r="F40" s="46" t="str">
        <f t="shared" si="1"/>
        <v>In Bear Run</v>
      </c>
      <c r="G40" s="47">
        <f t="shared" si="2"/>
        <v>-27.44547614</v>
      </c>
      <c r="H40" s="48" t="str">
        <f t="shared" si="3"/>
        <v>Inverted ✗</v>
      </c>
      <c r="I40" s="48">
        <f t="shared" si="4"/>
        <v>0</v>
      </c>
      <c r="J40" s="48">
        <f t="shared" si="5"/>
        <v>0</v>
      </c>
      <c r="K40" s="49" t="str">
        <f>IFERROR(__xludf.DUMMYFUNCTION("IFERROR(IF(A40="""",""ENTER STOCK"",LET(stock,A40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0" s="48">
        <f t="shared" si="6"/>
        <v>0</v>
      </c>
      <c r="M40" s="48">
        <f t="shared" si="7"/>
        <v>1</v>
      </c>
      <c r="N40" s="50">
        <f t="shared" si="8"/>
        <v>1</v>
      </c>
      <c r="O40" s="51" t="s">
        <v>134</v>
      </c>
      <c r="P40" s="46" t="str">
        <f t="shared" si="9"/>
        <v>REVERSE TRADE</v>
      </c>
      <c r="Q40" s="52"/>
      <c r="R40" s="53">
        <f t="shared" si="10"/>
        <v>15</v>
      </c>
      <c r="S40" s="53">
        <f>IFERROR(__xludf.DUMMYFUNCTION("IFERROR(ROUND(GOOGLEFINANCE(A40,""volume"")/GOOGLEFINANCE(A40,""volumeavg""),2),"""")"),1.14)</f>
        <v>1.14</v>
      </c>
      <c r="T40" s="53" t="str">
        <f t="shared" si="11"/>
        <v>LOW VOL</v>
      </c>
      <c r="U40" s="53">
        <f>IFERROR(__xludf.DUMMYFUNCTION("IFERROR(
  LET(
    sd, GOOGLEFINANCE(A40,""close"",TODAY()-100,TODAY()),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"""")"),1.88)</f>
        <v>1.88</v>
      </c>
      <c r="V40" s="53" t="str">
        <f t="shared" si="12"/>
        <v>FAST</v>
      </c>
      <c r="W40" s="53">
        <f>IFERROR(__xludf.DUMMYFUNCTION("IFERROR(ROUND((B40/GOOGLEFINANCE(A40,""high52"")-1)*100,1),"""")"),-41.4)</f>
        <v>-41.4</v>
      </c>
      <c r="X40" s="53">
        <f>IFERROR(__xludf.DUMMYFUNCTION("IFERROR(ROUND((B40-GOOGLEFINANCE(A40,""low52""))/(GOOGLEFINANCE(A40,""high52"")-GOOGLEFINANCE(A40,""low52""))*100,1),"""")"),0.4)</f>
        <v>0.4</v>
      </c>
      <c r="Y40" s="53" t="str">
        <f t="shared" si="13"/>
        <v>DEEP RECOVERY</v>
      </c>
      <c r="Z40" s="53">
        <f>IFERROR(__xludf.DUMMYFUNCTION("IFERROR(ROUND(((B40 / INDEX(GOOGLEFINANCE(TRIM(A40), ""price"", TODAY()-34, TODAY()), 2, 2)) - (GOOGLEFINANCE(""NIFTY_50"") / INDEX(GOOGLEFINANCE(""NIFTY_50"", ""price"", TODAY()-34, TODAY()), 2, 2))) * 100, 2), ""Check History"")"),-4.82)</f>
        <v>-4.82</v>
      </c>
      <c r="AA40" s="53" t="str">
        <f t="shared" si="14"/>
        <v>WEAK RS</v>
      </c>
      <c r="AB40" s="53">
        <f>IFERROR(__xludf.DUMMYFUNCTION("IFERROR(LET(
  p, QUERY(GOOGLEFINANCE(TRIM(A40),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Loading"")"),47.8)</f>
        <v>47.8</v>
      </c>
      <c r="AC40" s="53" t="str">
        <f t="shared" si="15"/>
        <v>IDEAL ENTRY</v>
      </c>
      <c r="AD40" s="53" t="str">
        <f>IFERROR(__xludf.DUMMYFUNCTION("IFERROR(IF(GOOGLEFINANCE(A40,""eps"")&gt;0,""EPS+"",""EPS-""),"""")"),"EPS+")</f>
        <v>EPS+</v>
      </c>
      <c r="AE40" s="53">
        <f t="shared" si="16"/>
        <v>4</v>
      </c>
      <c r="AF40" s="53">
        <f>IFERROR(__xludf.DUMMYFUNCTION("IFERROR(N40+IF(S40&gt;=1.2,1,0)+IF(U40&gt;=1,1,0)+IF(Z40&gt;0,1,0)+IF(AND(W40&gt;=-20,W40&lt;=0),1,0)+IF(IFERROR(GOOGLEFINANCE(A40,""eps""),0)&gt;0,1,0),"""")"),3.0)</f>
        <v>3</v>
      </c>
      <c r="AG40" s="53" t="str">
        <f t="shared" si="17"/>
        <v>REVERSE TRADE</v>
      </c>
    </row>
    <row r="41" ht="15.0" customHeight="1">
      <c r="A41" s="43" t="s">
        <v>178</v>
      </c>
      <c r="B41" s="44">
        <f>IFERROR(__xludf.DUMMYFUNCTION("GOOGLEFINANCE(A41,""price"")"),187.0)</f>
        <v>187</v>
      </c>
      <c r="C41" s="45">
        <f>IFERROR(__xludf.DUMMYFUNCTION("AVERAGE(QUERY(SORT(GOOGLEFINANCE(A41,""price"",TODAY()-150,TODAY()),1,0),""select Col2 limit 50""))"),215.0312)</f>
        <v>215.0312</v>
      </c>
      <c r="D41" s="45">
        <f>IFERROR(__xludf.DUMMYFUNCTION("AVERAGE(QUERY(SORT(GOOGLEFINANCE(A41,""price"",TODAY()-300,TODAY()),1,0),""select Col2 limit 100""))"),235.23029999999994)</f>
        <v>235.2303</v>
      </c>
      <c r="E41" s="45">
        <f>IFERROR(__xludf.DUMMYFUNCTION("AVERAGE(QUERY(SORT(GOOGLEFINANCE(A41,""price"",TODAY()-500,TODAY()),1,0),""select Col2 limit 200""))"),243.71805000000015)</f>
        <v>243.71805</v>
      </c>
      <c r="F41" s="46" t="str">
        <f t="shared" si="1"/>
        <v>In Bear Run</v>
      </c>
      <c r="G41" s="47">
        <f t="shared" si="2"/>
        <v>-23.27199401</v>
      </c>
      <c r="H41" s="48" t="str">
        <f t="shared" si="3"/>
        <v>Inverted ✗</v>
      </c>
      <c r="I41" s="48">
        <f t="shared" si="4"/>
        <v>0</v>
      </c>
      <c r="J41" s="48">
        <f t="shared" si="5"/>
        <v>0</v>
      </c>
      <c r="K41" s="49" t="str">
        <f>IFERROR(__xludf.DUMMYFUNCTION("IFERROR(IF(A41="""",""ENTER STOCK"",LET(stock,A41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1" s="48">
        <f t="shared" si="6"/>
        <v>0</v>
      </c>
      <c r="M41" s="48">
        <f t="shared" si="7"/>
        <v>1</v>
      </c>
      <c r="N41" s="50">
        <f t="shared" si="8"/>
        <v>1</v>
      </c>
      <c r="O41" s="51" t="s">
        <v>121</v>
      </c>
      <c r="P41" s="46" t="str">
        <f t="shared" si="9"/>
        <v>REVERSE TRADE</v>
      </c>
      <c r="Q41" s="52"/>
      <c r="R41" s="53">
        <f t="shared" si="10"/>
        <v>15</v>
      </c>
      <c r="S41" s="53">
        <f>IFERROR(__xludf.DUMMYFUNCTION("IFERROR(ROUND(GOOGLEFINANCE(A41,""volume"")/GOOGLEFINANCE(A41,""volumeavg""),2),"""")"),1.67)</f>
        <v>1.67</v>
      </c>
      <c r="T41" s="53" t="str">
        <f t="shared" si="11"/>
        <v>HIGH VOL</v>
      </c>
      <c r="U41" s="53">
        <f>IFERROR(__xludf.DUMMYFUNCTION("IFERROR(
  LET(
    sd, GOOGLEFINANCE(A41,""close"",TODAY()-100,TODAY()),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"""")"),0.44)</f>
        <v>0.44</v>
      </c>
      <c r="V41" s="53" t="str">
        <f t="shared" si="12"/>
        <v>SLOW</v>
      </c>
      <c r="W41" s="53">
        <f>IFERROR(__xludf.DUMMYFUNCTION("IFERROR(ROUND((B41/GOOGLEFINANCE(A41,""high52"")-1)*100,1),"""")"),-31.5)</f>
        <v>-31.5</v>
      </c>
      <c r="X41" s="53">
        <f>IFERROR(__xludf.DUMMYFUNCTION("IFERROR(ROUND((B41-GOOGLEFINANCE(A41,""low52""))/(GOOGLEFINANCE(A41,""high52"")-GOOGLEFINANCE(A41,""low52""))*100,1),"""")"),0.6)</f>
        <v>0.6</v>
      </c>
      <c r="Y41" s="53" t="str">
        <f t="shared" si="13"/>
        <v>MID</v>
      </c>
      <c r="Z41" s="53">
        <f>IFERROR(__xludf.DUMMYFUNCTION("IFERROR(ROUND(((B41 / INDEX(GOOGLEFINANCE(TRIM(A41), ""price"", TODAY()-34, TODAY()), 2, 2)) - (GOOGLEFINANCE(""NIFTY_50"") / INDEX(GOOGLEFINANCE(""NIFTY_50"", ""price"", TODAY()-34, TODAY()), 2, 2))) * 100, 2), ""Check History"")"),5.6)</f>
        <v>5.6</v>
      </c>
      <c r="AA41" s="53" t="str">
        <f t="shared" si="14"/>
        <v>STRONG RS</v>
      </c>
      <c r="AB41" s="53">
        <f>IFERROR(__xludf.DUMMYFUNCTION("IFERROR(LET(
  p, QUERY(GOOGLEFINANCE(TRIM(A41),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Loading"")"),29.0)</f>
        <v>29</v>
      </c>
      <c r="AC41" s="53" t="str">
        <f t="shared" si="15"/>
        <v>WEAK MOM</v>
      </c>
      <c r="AD41" s="53" t="str">
        <f>IFERROR(__xludf.DUMMYFUNCTION("IFERROR(IF(GOOGLEFINANCE(A41,""eps"")&gt;0,""EPS+"",""EPS-""),"""")"),"EPS+")</f>
        <v>EPS+</v>
      </c>
      <c r="AE41" s="53">
        <f t="shared" si="16"/>
        <v>5</v>
      </c>
      <c r="AF41" s="53">
        <f>IFERROR(__xludf.DUMMYFUNCTION("IFERROR(N41+IF(S41&gt;=1.2,1,0)+IF(U41&gt;=1,1,0)+IF(Z41&gt;0,1,0)+IF(AND(W41&gt;=-20,W41&lt;=0),1,0)+IF(IFERROR(GOOGLEFINANCE(A41,""eps""),0)&gt;0,1,0),"""")"),4.0)</f>
        <v>4</v>
      </c>
      <c r="AG41" s="53" t="str">
        <f t="shared" si="17"/>
        <v>REVERSE TRADE</v>
      </c>
    </row>
    <row r="42" ht="15.0" customHeight="1">
      <c r="A42" s="43" t="s">
        <v>179</v>
      </c>
      <c r="B42" s="44">
        <f>IFERROR(__xludf.DUMMYFUNCTION("GOOGLEFINANCE(A42,""price"")"),63.3)</f>
        <v>63.3</v>
      </c>
      <c r="C42" s="45">
        <f>IFERROR(__xludf.DUMMYFUNCTION("AVERAGE(QUERY(SORT(GOOGLEFINANCE(A42,""price"",TODAY()-150,TODAY()),1,0),""select Col2 limit 50""))"),72.2442)</f>
        <v>72.2442</v>
      </c>
      <c r="D42" s="45">
        <f>IFERROR(__xludf.DUMMYFUNCTION("AVERAGE(QUERY(SORT(GOOGLEFINANCE(A42,""price"",TODAY()-300,TODAY()),1,0),""select Col2 limit 100""))"),75.29330000000002)</f>
        <v>75.2933</v>
      </c>
      <c r="E42" s="45">
        <f>IFERROR(__xludf.DUMMYFUNCTION("AVERAGE(QUERY(SORT(GOOGLEFINANCE(A42,""price"",TODAY()-500,TODAY()),1,0),""select Col2 limit 200""))"),84.98960000000005)</f>
        <v>84.9896</v>
      </c>
      <c r="F42" s="46" t="str">
        <f t="shared" si="1"/>
        <v>In Bear Run</v>
      </c>
      <c r="G42" s="47">
        <f t="shared" si="2"/>
        <v>-25.52029895</v>
      </c>
      <c r="H42" s="48" t="str">
        <f t="shared" si="3"/>
        <v>Inverted ✗</v>
      </c>
      <c r="I42" s="48">
        <f t="shared" si="4"/>
        <v>0</v>
      </c>
      <c r="J42" s="48">
        <f t="shared" si="5"/>
        <v>0</v>
      </c>
      <c r="K42" s="49" t="str">
        <f>IFERROR(__xludf.DUMMYFUNCTION("IFERROR(IF(A42="""",""ENTER STOCK"",LET(stock,A42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2" s="48">
        <f t="shared" si="6"/>
        <v>0</v>
      </c>
      <c r="M42" s="48">
        <f t="shared" si="7"/>
        <v>1</v>
      </c>
      <c r="N42" s="50">
        <f t="shared" si="8"/>
        <v>1</v>
      </c>
      <c r="O42" s="51" t="s">
        <v>180</v>
      </c>
      <c r="P42" s="46" t="str">
        <f t="shared" si="9"/>
        <v>REVERSE TRADE</v>
      </c>
      <c r="Q42" s="52"/>
      <c r="R42" s="53">
        <f t="shared" si="10"/>
        <v>15</v>
      </c>
      <c r="S42" s="53">
        <f>IFERROR(__xludf.DUMMYFUNCTION("IFERROR(ROUND(GOOGLEFINANCE(A42,""volume"")/GOOGLEFINANCE(A42,""volumeavg""),2),"""")"),1.55)</f>
        <v>1.55</v>
      </c>
      <c r="T42" s="53" t="str">
        <f t="shared" si="11"/>
        <v>HIGH VOL</v>
      </c>
      <c r="U42" s="53">
        <f>IFERROR(__xludf.DUMMYFUNCTION("IFERROR(
  LET(
    sd, GOOGLEFINANCE(A42,""close"",TODAY()-100,TODAY()),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"""")"),1.52)</f>
        <v>1.52</v>
      </c>
      <c r="V42" s="53" t="str">
        <f t="shared" si="12"/>
        <v>FAST</v>
      </c>
      <c r="W42" s="53">
        <f>IFERROR(__xludf.DUMMYFUNCTION("IFERROR(ROUND((B42/GOOGLEFINANCE(A42,""high52"")-1)*100,1),"""")"),-41.1)</f>
        <v>-41.1</v>
      </c>
      <c r="X42" s="53">
        <f>IFERROR(__xludf.DUMMYFUNCTION("IFERROR(ROUND((B42-GOOGLEFINANCE(A42,""low52""))/(GOOGLEFINANCE(A42,""high52"")-GOOGLEFINANCE(A42,""low52""))*100,1),"""")"),0.6)</f>
        <v>0.6</v>
      </c>
      <c r="Y42" s="53" t="str">
        <f t="shared" si="13"/>
        <v>DEEP RECOVERY</v>
      </c>
      <c r="Z42" s="53">
        <f>IFERROR(__xludf.DUMMYFUNCTION("IFERROR(ROUND(((B42 / INDEX(GOOGLEFINANCE(TRIM(A42), ""price"", TODAY()-34, TODAY()), 2, 2)) - (GOOGLEFINANCE(""NIFTY_50"") / INDEX(GOOGLEFINANCE(""NIFTY_50"", ""price"", TODAY()-34, TODAY()), 2, 2))) * 100, 2), ""Check History"")"),-2.51)</f>
        <v>-2.51</v>
      </c>
      <c r="AA42" s="53" t="str">
        <f t="shared" si="14"/>
        <v>WEAK RS</v>
      </c>
      <c r="AB42" s="53">
        <f>IFERROR(__xludf.DUMMYFUNCTION("IFERROR(LET(
  p, QUERY(GOOGLEFINANCE(TRIM(A42),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Loading"")"),36.4)</f>
        <v>36.4</v>
      </c>
      <c r="AC42" s="53" t="str">
        <f t="shared" si="15"/>
        <v>WEAK MOM</v>
      </c>
      <c r="AD42" s="53" t="str">
        <f>IFERROR(__xludf.DUMMYFUNCTION("IFERROR(IF(GOOGLEFINANCE(A42,""eps"")&gt;0,""EPS+"",""EPS-""),"""")"),"EPS+")</f>
        <v>EPS+</v>
      </c>
      <c r="AE42" s="53">
        <f t="shared" si="16"/>
        <v>6</v>
      </c>
      <c r="AF42" s="53">
        <f>IFERROR(__xludf.DUMMYFUNCTION("IFERROR(N42+IF(S42&gt;=1.2,1,0)+IF(U42&gt;=1,1,0)+IF(Z42&gt;0,1,0)+IF(AND(W42&gt;=-20,W42&lt;=0),1,0)+IF(IFERROR(GOOGLEFINANCE(A42,""eps""),0)&gt;0,1,0),"""")"),4.0)</f>
        <v>4</v>
      </c>
      <c r="AG42" s="53" t="str">
        <f t="shared" si="17"/>
        <v>REVERSE TRADE</v>
      </c>
    </row>
    <row r="43" ht="15.0" customHeight="1">
      <c r="A43" s="43" t="s">
        <v>181</v>
      </c>
      <c r="B43" s="44">
        <f>IFERROR(__xludf.DUMMYFUNCTION("GOOGLEFINANCE(A43,""price"")"),436.85)</f>
        <v>436.85</v>
      </c>
      <c r="C43" s="45">
        <f>IFERROR(__xludf.DUMMYFUNCTION("AVERAGE(QUERY(SORT(GOOGLEFINANCE(A43,""price"",TODAY()-150,TODAY()),1,0),""select Col2 limit 50""))"),501.63399999999984)</f>
        <v>501.634</v>
      </c>
      <c r="D43" s="45">
        <f>IFERROR(__xludf.DUMMYFUNCTION("AVERAGE(QUERY(SORT(GOOGLEFINANCE(A43,""price"",TODAY()-300,TODAY()),1,0),""select Col2 limit 100""))"),539.1739999999999)</f>
        <v>539.174</v>
      </c>
      <c r="E43" s="45">
        <f>IFERROR(__xludf.DUMMYFUNCTION("AVERAGE(QUERY(SORT(GOOGLEFINANCE(A43,""price"",TODAY()-500,TODAY()),1,0),""select Col2 limit 200""))"),593.2762499999999)</f>
        <v>593.27625</v>
      </c>
      <c r="F43" s="46" t="str">
        <f t="shared" si="1"/>
        <v>In Bear Run</v>
      </c>
      <c r="G43" s="47">
        <f t="shared" si="2"/>
        <v>-26.36651138</v>
      </c>
      <c r="H43" s="48" t="str">
        <f t="shared" si="3"/>
        <v>Inverted ✗</v>
      </c>
      <c r="I43" s="48">
        <f t="shared" si="4"/>
        <v>0</v>
      </c>
      <c r="J43" s="48">
        <f t="shared" si="5"/>
        <v>0</v>
      </c>
      <c r="K43" s="49" t="str">
        <f>IFERROR(__xludf.DUMMYFUNCTION("IFERROR(IF(A43="""",""ENTER STOCK"",LET(stock,A43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3" s="48">
        <f t="shared" si="6"/>
        <v>0</v>
      </c>
      <c r="M43" s="48">
        <f t="shared" si="7"/>
        <v>1</v>
      </c>
      <c r="N43" s="50">
        <f t="shared" si="8"/>
        <v>1</v>
      </c>
      <c r="O43" s="51" t="s">
        <v>182</v>
      </c>
      <c r="P43" s="46" t="str">
        <f t="shared" si="9"/>
        <v>REVERSE TRADE</v>
      </c>
      <c r="Q43" s="52"/>
      <c r="R43" s="53">
        <f t="shared" si="10"/>
        <v>15</v>
      </c>
      <c r="S43" s="53">
        <f>IFERROR(__xludf.DUMMYFUNCTION("IFERROR(ROUND(GOOGLEFINANCE(A43,""volume"")/GOOGLEFINANCE(A43,""volumeavg""),2),"""")"),2.56)</f>
        <v>2.56</v>
      </c>
      <c r="T43" s="53" t="str">
        <f t="shared" si="11"/>
        <v>HIGH VOL</v>
      </c>
      <c r="U43" s="53">
        <f>IFERROR(__xludf.DUMMYFUNCTION("IFERROR(
  LET(
    sd, GOOGLEFINANCE(A43,""close"",TODAY()-100,TODAY()),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"""")"),0.25)</f>
        <v>0.25</v>
      </c>
      <c r="V43" s="53" t="str">
        <f t="shared" si="12"/>
        <v>SLOW</v>
      </c>
      <c r="W43" s="53">
        <f>IFERROR(__xludf.DUMMYFUNCTION("IFERROR(ROUND((B43/GOOGLEFINANCE(A43,""high52"")-1)*100,1),"""")"),-40.0)</f>
        <v>-40</v>
      </c>
      <c r="X43" s="53">
        <f>IFERROR(__xludf.DUMMYFUNCTION("IFERROR(ROUND((B43-GOOGLEFINANCE(A43,""low52""))/(GOOGLEFINANCE(A43,""high52"")-GOOGLEFINANCE(A43,""low52""))*100,1),"""")"),2.1)</f>
        <v>2.1</v>
      </c>
      <c r="Y43" s="53" t="str">
        <f t="shared" si="13"/>
        <v>MID</v>
      </c>
      <c r="Z43" s="53">
        <f>IFERROR(__xludf.DUMMYFUNCTION("IFERROR(ROUND(((B43 / INDEX(GOOGLEFINANCE(TRIM(A43), ""price"", TODAY()-34, TODAY()), 2, 2)) - (GOOGLEFINANCE(""NIFTY_50"") / INDEX(GOOGLEFINANCE(""NIFTY_50"", ""price"", TODAY()-34, TODAY()), 2, 2))) * 100, 2), ""Check History"")"),-3.65)</f>
        <v>-3.65</v>
      </c>
      <c r="AA43" s="53" t="str">
        <f t="shared" si="14"/>
        <v>WEAK RS</v>
      </c>
      <c r="AB43" s="53">
        <f>IFERROR(__xludf.DUMMYFUNCTION("IFERROR(LET(
  p, QUERY(GOOGLEFINANCE(TRIM(A43),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Loading"")"),53.4)</f>
        <v>53.4</v>
      </c>
      <c r="AC43" s="53" t="str">
        <f t="shared" si="15"/>
        <v>IDEAL ENTRY</v>
      </c>
      <c r="AD43" s="53" t="str">
        <f>IFERROR(__xludf.DUMMYFUNCTION("IFERROR(IF(GOOGLEFINANCE(A43,""eps"")&gt;0,""EPS+"",""EPS-""),"""")"),"EPS+")</f>
        <v>EPS+</v>
      </c>
      <c r="AE43" s="53">
        <f t="shared" si="16"/>
        <v>3</v>
      </c>
      <c r="AF43" s="53">
        <f>IFERROR(__xludf.DUMMYFUNCTION("IFERROR(N43+IF(S43&gt;=1.2,1,0)+IF(U43&gt;=1,1,0)+IF(Z43&gt;0,1,0)+IF(AND(W43&gt;=-20,W43&lt;=0),1,0)+IF(IFERROR(GOOGLEFINANCE(A43,""eps""),0)&gt;0,1,0),"""")"),3.0)</f>
        <v>3</v>
      </c>
      <c r="AG43" s="53" t="str">
        <f t="shared" si="17"/>
        <v>REVERSE TRADE</v>
      </c>
    </row>
    <row r="44" ht="15.0" customHeight="1">
      <c r="A44" s="43" t="s">
        <v>183</v>
      </c>
      <c r="B44" s="44">
        <f>IFERROR(__xludf.DUMMYFUNCTION("GOOGLEFINANCE(A44,""price"")"),105.8)</f>
        <v>105.8</v>
      </c>
      <c r="C44" s="45">
        <f>IFERROR(__xludf.DUMMYFUNCTION("AVERAGE(QUERY(SORT(GOOGLEFINANCE(A44,""price"",TODAY()-150,TODAY()),1,0),""select Col2 limit 50""))"),117.03619999999997)</f>
        <v>117.0362</v>
      </c>
      <c r="D44" s="45">
        <f>IFERROR(__xludf.DUMMYFUNCTION("AVERAGE(QUERY(SORT(GOOGLEFINANCE(A44,""price"",TODAY()-300,TODAY()),1,0),""select Col2 limit 100""))"),126.02529999999997)</f>
        <v>126.0253</v>
      </c>
      <c r="E44" s="45">
        <f>IFERROR(__xludf.DUMMYFUNCTION("AVERAGE(QUERY(SORT(GOOGLEFINANCE(A44,""price"",TODAY()-500,TODAY()),1,0),""select Col2 limit 200""))"),134.08204999999987)</f>
        <v>134.08205</v>
      </c>
      <c r="F44" s="46" t="str">
        <f t="shared" si="1"/>
        <v>In Bear Run</v>
      </c>
      <c r="G44" s="47">
        <f t="shared" si="2"/>
        <v>-21.09309188</v>
      </c>
      <c r="H44" s="48" t="str">
        <f t="shared" si="3"/>
        <v>Inverted ✗</v>
      </c>
      <c r="I44" s="48">
        <f t="shared" si="4"/>
        <v>0</v>
      </c>
      <c r="J44" s="48">
        <f t="shared" si="5"/>
        <v>0</v>
      </c>
      <c r="K44" s="49" t="str">
        <f>IFERROR(__xludf.DUMMYFUNCTION("IFERROR(IF(A44="""",""ENTER STOCK"",LET(stock,A44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4" s="48">
        <f t="shared" si="6"/>
        <v>0</v>
      </c>
      <c r="M44" s="48">
        <f t="shared" si="7"/>
        <v>1</v>
      </c>
      <c r="N44" s="50">
        <f t="shared" si="8"/>
        <v>1</v>
      </c>
      <c r="O44" s="51" t="s">
        <v>137</v>
      </c>
      <c r="P44" s="46" t="str">
        <f t="shared" si="9"/>
        <v>REVERSE TRADE</v>
      </c>
      <c r="Q44" s="52"/>
      <c r="R44" s="53">
        <f t="shared" si="10"/>
        <v>15</v>
      </c>
      <c r="S44" s="53">
        <f>IFERROR(__xludf.DUMMYFUNCTION("IFERROR(ROUND(GOOGLEFINANCE(A44,""volume"")/GOOGLEFINANCE(A44,""volumeavg""),2),"""")"),0.45)</f>
        <v>0.45</v>
      </c>
      <c r="T44" s="53" t="str">
        <f t="shared" si="11"/>
        <v>LOW VOL</v>
      </c>
      <c r="U44" s="53">
        <f>IFERROR(__xludf.DUMMYFUNCTION("IFERROR(
  LET(
    sd, GOOGLEFINANCE(A44,""close"",TODAY()-100,TODAY()),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"""")"),1.22)</f>
        <v>1.22</v>
      </c>
      <c r="V44" s="53" t="str">
        <f t="shared" si="12"/>
        <v>FAST</v>
      </c>
      <c r="W44" s="53">
        <f>IFERROR(__xludf.DUMMYFUNCTION("IFERROR(ROUND((B44/GOOGLEFINANCE(A44,""high52"")-1)*100,1),"""")"),-32.9)</f>
        <v>-32.9</v>
      </c>
      <c r="X44" s="53">
        <f>IFERROR(__xludf.DUMMYFUNCTION("IFERROR(ROUND((B44-GOOGLEFINANCE(A44,""low52""))/(GOOGLEFINANCE(A44,""high52"")-GOOGLEFINANCE(A44,""low52""))*100,1),"""")"),15.5)</f>
        <v>15.5</v>
      </c>
      <c r="Y44" s="53" t="str">
        <f t="shared" si="13"/>
        <v>MID</v>
      </c>
      <c r="Z44" s="53">
        <f>IFERROR(__xludf.DUMMYFUNCTION("IFERROR(ROUND(((B44 / INDEX(GOOGLEFINANCE(TRIM(A44), ""price"", TODAY()-34, TODAY()), 2, 2)) - (GOOGLEFINANCE(""NIFTY_50"") / INDEX(GOOGLEFINANCE(""NIFTY_50"", ""price"", TODAY()-34, TODAY()), 2, 2))) * 100, 2), ""Check History"")"),-2.23)</f>
        <v>-2.23</v>
      </c>
      <c r="AA44" s="53" t="str">
        <f t="shared" si="14"/>
        <v>WEAK RS</v>
      </c>
      <c r="AB44" s="53">
        <f>IFERROR(__xludf.DUMMYFUNCTION("IFERROR(LET(
  p, QUERY(GOOGLEFINANCE(TRIM(A44),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Loading"")"),60.4)</f>
        <v>60.4</v>
      </c>
      <c r="AC44" s="53" t="str">
        <f t="shared" si="15"/>
        <v>IDEAL ENTRY</v>
      </c>
      <c r="AD44" s="53" t="str">
        <f>IFERROR(__xludf.DUMMYFUNCTION("IFERROR(IF(GOOGLEFINANCE(A44,""eps"")&gt;0,""EPS+"",""EPS-""),"""")"),"EPS+")</f>
        <v>EPS+</v>
      </c>
      <c r="AE44" s="53">
        <f t="shared" si="16"/>
        <v>3</v>
      </c>
      <c r="AF44" s="53">
        <f>IFERROR(__xludf.DUMMYFUNCTION("IFERROR(N44+IF(S44&gt;=1.2,1,0)+IF(U44&gt;=1,1,0)+IF(Z44&gt;0,1,0)+IF(AND(W44&gt;=-20,W44&lt;=0),1,0)+IF(IFERROR(GOOGLEFINANCE(A44,""eps""),0)&gt;0,1,0),"""")"),3.0)</f>
        <v>3</v>
      </c>
      <c r="AG44" s="53" t="str">
        <f t="shared" si="17"/>
        <v>REVERSE TRADE</v>
      </c>
    </row>
    <row r="45" ht="15.0" customHeight="1">
      <c r="A45" s="43" t="s">
        <v>184</v>
      </c>
      <c r="B45" s="44">
        <f>IFERROR(__xludf.DUMMYFUNCTION("GOOGLEFINANCE(A45,""price"")"),414.0)</f>
        <v>414</v>
      </c>
      <c r="C45" s="45">
        <f>IFERROR(__xludf.DUMMYFUNCTION("AVERAGE(QUERY(SORT(GOOGLEFINANCE(A45,""price"",TODAY()-150,TODAY()),1,0),""select Col2 limit 50""))"),456.1669999999999)</f>
        <v>456.167</v>
      </c>
      <c r="D45" s="45">
        <f>IFERROR(__xludf.DUMMYFUNCTION("AVERAGE(QUERY(SORT(GOOGLEFINANCE(A45,""price"",TODAY()-300,TODAY()),1,0),""select Col2 limit 100""))"),502.22849999999994)</f>
        <v>502.2285</v>
      </c>
      <c r="E45" s="45">
        <f>IFERROR(__xludf.DUMMYFUNCTION("AVERAGE(QUERY(SORT(GOOGLEFINANCE(A45,""price"",TODAY()-500,TODAY()),1,0),""select Col2 limit 200""))"),526.7769999999999)</f>
        <v>526.777</v>
      </c>
      <c r="F45" s="46" t="str">
        <f t="shared" si="1"/>
        <v>In Bear Run</v>
      </c>
      <c r="G45" s="47">
        <f t="shared" si="2"/>
        <v>-21.40886941</v>
      </c>
      <c r="H45" s="48" t="str">
        <f t="shared" si="3"/>
        <v>Inverted ✗</v>
      </c>
      <c r="I45" s="48">
        <f t="shared" si="4"/>
        <v>0</v>
      </c>
      <c r="J45" s="48">
        <f t="shared" si="5"/>
        <v>0</v>
      </c>
      <c r="K45" s="49" t="str">
        <f>IFERROR(__xludf.DUMMYFUNCTION("IFERROR(IF(A45="""",""ENTER STOCK"",LET(stock,A45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5" s="48">
        <f t="shared" si="6"/>
        <v>0</v>
      </c>
      <c r="M45" s="48">
        <f t="shared" si="7"/>
        <v>1</v>
      </c>
      <c r="N45" s="50">
        <f t="shared" si="8"/>
        <v>1</v>
      </c>
      <c r="O45" s="51" t="s">
        <v>185</v>
      </c>
      <c r="P45" s="46" t="str">
        <f t="shared" si="9"/>
        <v>REVERSE TRADE</v>
      </c>
      <c r="Q45" s="52"/>
      <c r="R45" s="53">
        <f t="shared" si="10"/>
        <v>15</v>
      </c>
      <c r="S45" s="53">
        <f>IFERROR(__xludf.DUMMYFUNCTION("IFERROR(ROUND(GOOGLEFINANCE(A45,""volume"")/GOOGLEFINANCE(A45,""volumeavg""),2),"""")"),1.01)</f>
        <v>1.01</v>
      </c>
      <c r="T45" s="53" t="str">
        <f t="shared" si="11"/>
        <v>LOW VOL</v>
      </c>
      <c r="U45" s="53">
        <f>IFERROR(__xludf.DUMMYFUNCTION("IFERROR(
  LET(
    sd, GOOGLEFINANCE(A45,""close"",TODAY()-100,TODAY()),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"""")"),0.64)</f>
        <v>0.64</v>
      </c>
      <c r="V45" s="53" t="str">
        <f t="shared" si="12"/>
        <v>SLOW</v>
      </c>
      <c r="W45" s="53">
        <f>IFERROR(__xludf.DUMMYFUNCTION("IFERROR(ROUND((B45/GOOGLEFINANCE(A45,""high52"")-1)*100,1),"""")"),-31.6)</f>
        <v>-31.6</v>
      </c>
      <c r="X45" s="53">
        <f>IFERROR(__xludf.DUMMYFUNCTION("IFERROR(ROUND((B45-GOOGLEFINANCE(A45,""low52""))/(GOOGLEFINANCE(A45,""high52"")-GOOGLEFINANCE(A45,""low52""))*100,1),"""")"),10.7)</f>
        <v>10.7</v>
      </c>
      <c r="Y45" s="53" t="str">
        <f t="shared" si="13"/>
        <v>MID</v>
      </c>
      <c r="Z45" s="53">
        <f>IFERROR(__xludf.DUMMYFUNCTION("IFERROR(ROUND(((B45 / INDEX(GOOGLEFINANCE(TRIM(A45), ""price"", TODAY()-34, TODAY()), 2, 2)) - (GOOGLEFINANCE(""NIFTY_50"") / INDEX(GOOGLEFINANCE(""NIFTY_50"", ""price"", TODAY()-34, TODAY()), 2, 2))) * 100, 2), ""Check History"")"),1.64)</f>
        <v>1.64</v>
      </c>
      <c r="AA45" s="53" t="str">
        <f t="shared" si="14"/>
        <v>MILD RS</v>
      </c>
      <c r="AB45" s="53">
        <f>IFERROR(__xludf.DUMMYFUNCTION("IFERROR(LET(
  p, QUERY(GOOGLEFINANCE(TRIM(A45),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Loading"")"),53.2)</f>
        <v>53.2</v>
      </c>
      <c r="AC45" s="53" t="str">
        <f t="shared" si="15"/>
        <v>IDEAL ENTRY</v>
      </c>
      <c r="AD45" s="53" t="str">
        <f>IFERROR(__xludf.DUMMYFUNCTION("IFERROR(IF(GOOGLEFINANCE(A45,""eps"")&gt;0,""EPS+"",""EPS-""),"""")"),"EPS+")</f>
        <v>EPS+</v>
      </c>
      <c r="AE45" s="53">
        <f t="shared" si="16"/>
        <v>3</v>
      </c>
      <c r="AF45" s="53">
        <f>IFERROR(__xludf.DUMMYFUNCTION("IFERROR(N45+IF(S45&gt;=1.2,1,0)+IF(U45&gt;=1,1,0)+IF(Z45&gt;0,1,0)+IF(AND(W45&gt;=-20,W45&lt;=0),1,0)+IF(IFERROR(GOOGLEFINANCE(A45,""eps""),0)&gt;0,1,0),"""")"),3.0)</f>
        <v>3</v>
      </c>
      <c r="AG45" s="53" t="str">
        <f t="shared" si="17"/>
        <v>REVERSE TRADE</v>
      </c>
    </row>
    <row r="46" ht="15.0" customHeight="1">
      <c r="A46" s="43" t="s">
        <v>186</v>
      </c>
      <c r="B46" s="44">
        <f>IFERROR(__xludf.DUMMYFUNCTION("GOOGLEFINANCE(A46,""price"")"),1424.1)</f>
        <v>1424.1</v>
      </c>
      <c r="C46" s="45">
        <f>IFERROR(__xludf.DUMMYFUNCTION("AVERAGE(QUERY(SORT(GOOGLEFINANCE(A46,""price"",TODAY()-150,TODAY()),1,0),""select Col2 limit 50""))"),1525.8780000000002)</f>
        <v>1525.878</v>
      </c>
      <c r="D46" s="45">
        <f>IFERROR(__xludf.DUMMYFUNCTION("AVERAGE(QUERY(SORT(GOOGLEFINANCE(A46,""price"",TODAY()-300,TODAY()),1,0),""select Col2 limit 100""))"),1673.5620000000001)</f>
        <v>1673.562</v>
      </c>
      <c r="E46" s="45">
        <f>IFERROR(__xludf.DUMMYFUNCTION("AVERAGE(QUERY(SORT(GOOGLEFINANCE(A46,""price"",TODAY()-500,TODAY()),1,0),""select Col2 limit 200""))"),1737.0715000000005)</f>
        <v>1737.0715</v>
      </c>
      <c r="F46" s="46" t="str">
        <f t="shared" si="1"/>
        <v>In Bear Run</v>
      </c>
      <c r="G46" s="47">
        <f t="shared" si="2"/>
        <v>-18.01719158</v>
      </c>
      <c r="H46" s="48" t="str">
        <f t="shared" si="3"/>
        <v>Inverted ✗</v>
      </c>
      <c r="I46" s="48">
        <f t="shared" si="4"/>
        <v>0</v>
      </c>
      <c r="J46" s="48">
        <f t="shared" si="5"/>
        <v>0</v>
      </c>
      <c r="K46" s="49" t="str">
        <f>IFERROR(__xludf.DUMMYFUNCTION("IFERROR(IF(A46="""",""ENTER STOCK"",LET(stock,A46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6" s="48">
        <f t="shared" si="6"/>
        <v>0</v>
      </c>
      <c r="M46" s="48">
        <f t="shared" si="7"/>
        <v>1</v>
      </c>
      <c r="N46" s="50">
        <f t="shared" si="8"/>
        <v>1</v>
      </c>
      <c r="O46" s="51" t="s">
        <v>187</v>
      </c>
      <c r="P46" s="46" t="str">
        <f t="shared" si="9"/>
        <v>REVERSE TRADE</v>
      </c>
      <c r="Q46" s="52"/>
      <c r="R46" s="53">
        <f t="shared" si="10"/>
        <v>15</v>
      </c>
      <c r="S46" s="53">
        <f>IFERROR(__xludf.DUMMYFUNCTION("IFERROR(ROUND(GOOGLEFINANCE(A46,""volume"")/GOOGLEFINANCE(A46,""volumeavg""),2),"""")"),1.18)</f>
        <v>1.18</v>
      </c>
      <c r="T46" s="53" t="str">
        <f t="shared" si="11"/>
        <v>LOW VOL</v>
      </c>
      <c r="U46" s="53">
        <f>IFERROR(__xludf.DUMMYFUNCTION("IFERROR(
  LET(
    sd, GOOGLEFINANCE(A46,""close"",TODAY()-100,TODAY()),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"""")"),0.5)</f>
        <v>0.5</v>
      </c>
      <c r="V46" s="53" t="str">
        <f t="shared" si="12"/>
        <v>SLOW</v>
      </c>
      <c r="W46" s="53">
        <f>IFERROR(__xludf.DUMMYFUNCTION("IFERROR(ROUND((B46/GOOGLEFINANCE(A46,""high52"")-1)*100,1),"""")"),-28.0)</f>
        <v>-28</v>
      </c>
      <c r="X46" s="53">
        <f>IFERROR(__xludf.DUMMYFUNCTION("IFERROR(ROUND((B46-GOOGLEFINANCE(A46,""low52""))/(GOOGLEFINANCE(A46,""high52"")-GOOGLEFINANCE(A46,""low52""))*100,1),"""")"),9.8)</f>
        <v>9.8</v>
      </c>
      <c r="Y46" s="53" t="str">
        <f t="shared" si="13"/>
        <v>MID</v>
      </c>
      <c r="Z46" s="53">
        <f>IFERROR(__xludf.DUMMYFUNCTION("IFERROR(ROUND(((B46 / INDEX(GOOGLEFINANCE(TRIM(A46), ""price"", TODAY()-34, TODAY()), 2, 2)) - (GOOGLEFINANCE(""NIFTY_50"") / INDEX(GOOGLEFINANCE(""NIFTY_50"", ""price"", TODAY()-34, TODAY()), 2, 2))) * 100, 2), ""Check History"")"),7.45)</f>
        <v>7.45</v>
      </c>
      <c r="AA46" s="53" t="str">
        <f t="shared" si="14"/>
        <v>STRONG RS</v>
      </c>
      <c r="AB46" s="53">
        <f>IFERROR(__xludf.DUMMYFUNCTION("IFERROR(LET(
  p, QUERY(GOOGLEFINANCE(TRIM(A46),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Loading"")"),49.7)</f>
        <v>49.7</v>
      </c>
      <c r="AC46" s="53" t="str">
        <f t="shared" si="15"/>
        <v>IDEAL ENTRY</v>
      </c>
      <c r="AD46" s="53" t="str">
        <f>IFERROR(__xludf.DUMMYFUNCTION("IFERROR(IF(GOOGLEFINANCE(A46,""eps"")&gt;0,""EPS+"",""EPS-""),"""")"),"EPS+")</f>
        <v>EPS+</v>
      </c>
      <c r="AE46" s="53">
        <f t="shared" si="16"/>
        <v>3</v>
      </c>
      <c r="AF46" s="53">
        <f>IFERROR(__xludf.DUMMYFUNCTION("IFERROR(N46+IF(S46&gt;=1.2,1,0)+IF(U46&gt;=1,1,0)+IF(Z46&gt;0,1,0)+IF(AND(W46&gt;=-20,W46&lt;=0),1,0)+IF(IFERROR(GOOGLEFINANCE(A46,""eps""),0)&gt;0,1,0),"""")"),3.0)</f>
        <v>3</v>
      </c>
      <c r="AG46" s="53" t="str">
        <f t="shared" si="17"/>
        <v>REVERSE TRADE</v>
      </c>
    </row>
    <row r="47" ht="15.0" customHeight="1">
      <c r="A47" s="43" t="s">
        <v>188</v>
      </c>
      <c r="B47" s="44">
        <f>IFERROR(__xludf.DUMMYFUNCTION("GOOGLEFINANCE(A47,""price"")"),2067.0)</f>
        <v>2067</v>
      </c>
      <c r="C47" s="45">
        <f>IFERROR(__xludf.DUMMYFUNCTION("AVERAGE(QUERY(SORT(GOOGLEFINANCE(A47,""price"",TODAY()-150,TODAY()),1,0),""select Col2 limit 50""))"),2427.76)</f>
        <v>2427.76</v>
      </c>
      <c r="D47" s="45">
        <f>IFERROR(__xludf.DUMMYFUNCTION("AVERAGE(QUERY(SORT(GOOGLEFINANCE(A47,""price"",TODAY()-300,TODAY()),1,0),""select Col2 limit 100""))"),2626.317)</f>
        <v>2626.317</v>
      </c>
      <c r="E47" s="45">
        <f>IFERROR(__xludf.DUMMYFUNCTION("AVERAGE(QUERY(SORT(GOOGLEFINANCE(A47,""price"",TODAY()-500,TODAY()),1,0),""select Col2 limit 200""))"),2709.3585000000007)</f>
        <v>2709.3585</v>
      </c>
      <c r="F47" s="46" t="str">
        <f t="shared" si="1"/>
        <v>In Bear Run</v>
      </c>
      <c r="G47" s="47">
        <f t="shared" si="2"/>
        <v>-23.70887795</v>
      </c>
      <c r="H47" s="48" t="str">
        <f t="shared" si="3"/>
        <v>Inverted ✗</v>
      </c>
      <c r="I47" s="48">
        <f t="shared" si="4"/>
        <v>0</v>
      </c>
      <c r="J47" s="48">
        <f t="shared" si="5"/>
        <v>0</v>
      </c>
      <c r="K47" s="49" t="str">
        <f>IFERROR(__xludf.DUMMYFUNCTION("IFERROR(IF(A47="""",""ENTER STOCK"",LET(stock,A47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7" s="48">
        <f t="shared" si="6"/>
        <v>0</v>
      </c>
      <c r="M47" s="48">
        <f t="shared" si="7"/>
        <v>1</v>
      </c>
      <c r="N47" s="50">
        <f t="shared" si="8"/>
        <v>1</v>
      </c>
      <c r="O47" s="51" t="s">
        <v>121</v>
      </c>
      <c r="P47" s="46" t="str">
        <f t="shared" si="9"/>
        <v>REVERSE TRADE</v>
      </c>
      <c r="Q47" s="52"/>
      <c r="R47" s="53">
        <f t="shared" si="10"/>
        <v>15</v>
      </c>
      <c r="S47" s="53">
        <f>IFERROR(__xludf.DUMMYFUNCTION("IFERROR(ROUND(GOOGLEFINANCE(A47,""volume"")/GOOGLEFINANCE(A47,""volumeavg""),2),"""")"),1.35)</f>
        <v>1.35</v>
      </c>
      <c r="T47" s="53" t="str">
        <f t="shared" si="11"/>
        <v>OK VOL</v>
      </c>
      <c r="U47" s="53">
        <f>IFERROR(__xludf.DUMMYFUNCTION("IFERROR(
  LET(
    sd, GOOGLEFINANCE(A47,""close"",TODAY()-100,TODAY()),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"""")"),0.74)</f>
        <v>0.74</v>
      </c>
      <c r="V47" s="53" t="str">
        <f t="shared" si="12"/>
        <v>SLOW</v>
      </c>
      <c r="W47" s="53">
        <f>IFERROR(__xludf.DUMMYFUNCTION("IFERROR(ROUND((B47/GOOGLEFINANCE(A47,""high52"")-1)*100,1),"""")"),-31.9)</f>
        <v>-31.9</v>
      </c>
      <c r="X47" s="53">
        <f>IFERROR(__xludf.DUMMYFUNCTION("IFERROR(ROUND((B47-GOOGLEFINANCE(A47,""low52""))/(GOOGLEFINANCE(A47,""high52"")-GOOGLEFINANCE(A47,""low52""))*100,1),"""")"),5.3)</f>
        <v>5.3</v>
      </c>
      <c r="Y47" s="53" t="str">
        <f t="shared" si="13"/>
        <v>MID</v>
      </c>
      <c r="Z47" s="53">
        <f>IFERROR(__xludf.DUMMYFUNCTION("IFERROR(ROUND(((B47 / INDEX(GOOGLEFINANCE(TRIM(A47), ""price"", TODAY()-34, TODAY()), 2, 2)) - (GOOGLEFINANCE(""NIFTY_50"") / INDEX(GOOGLEFINANCE(""NIFTY_50"", ""price"", TODAY()-34, TODAY()), 2, 2))) * 100, 2), ""Check History"")"),5.15)</f>
        <v>5.15</v>
      </c>
      <c r="AA47" s="53" t="str">
        <f t="shared" si="14"/>
        <v>STRONG RS</v>
      </c>
      <c r="AB47" s="53">
        <f>IFERROR(__xludf.DUMMYFUNCTION("IFERROR(LET(
  p, QUERY(GOOGLEFINANCE(TRIM(A47),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Loading"")"),43.1)</f>
        <v>43.1</v>
      </c>
      <c r="AC47" s="53" t="str">
        <f t="shared" si="15"/>
        <v>WEAK MOM</v>
      </c>
      <c r="AD47" s="53" t="str">
        <f>IFERROR(__xludf.DUMMYFUNCTION("IFERROR(IF(GOOGLEFINANCE(A47,""eps"")&gt;0,""EPS+"",""EPS-""),"""")"),"EPS+")</f>
        <v>EPS+</v>
      </c>
      <c r="AE47" s="53">
        <f t="shared" si="16"/>
        <v>5</v>
      </c>
      <c r="AF47" s="53">
        <f>IFERROR(__xludf.DUMMYFUNCTION("IFERROR(N47+IF(S47&gt;=1.2,1,0)+IF(U47&gt;=1,1,0)+IF(Z47&gt;0,1,0)+IF(AND(W47&gt;=-20,W47&lt;=0),1,0)+IF(IFERROR(GOOGLEFINANCE(A47,""eps""),0)&gt;0,1,0),"""")"),4.0)</f>
        <v>4</v>
      </c>
      <c r="AG47" s="53" t="str">
        <f t="shared" si="17"/>
        <v>REVERSE TRADE</v>
      </c>
    </row>
    <row r="48" ht="15.0" customHeight="1">
      <c r="A48" s="43" t="s">
        <v>189</v>
      </c>
      <c r="B48" s="44">
        <f>IFERROR(__xludf.DUMMYFUNCTION("GOOGLEFINANCE(A48,""price"")"),250.0)</f>
        <v>250</v>
      </c>
      <c r="C48" s="45">
        <f>IFERROR(__xludf.DUMMYFUNCTION("AVERAGE(QUERY(SORT(GOOGLEFINANCE(A48,""price"",TODAY()-150,TODAY()),1,0),""select Col2 limit 50""))"),302.493)</f>
        <v>302.493</v>
      </c>
      <c r="D48" s="45">
        <f>IFERROR(__xludf.DUMMYFUNCTION("AVERAGE(QUERY(SORT(GOOGLEFINANCE(A48,""price"",TODAY()-300,TODAY()),1,0),""select Col2 limit 100""))"),315.3950000000001)</f>
        <v>315.395</v>
      </c>
      <c r="E48" s="45">
        <f>IFERROR(__xludf.DUMMYFUNCTION("AVERAGE(QUERY(SORT(GOOGLEFINANCE(A48,""price"",TODAY()-500,TODAY()),1,0),""select Col2 limit 200""))"),335.76925000000006)</f>
        <v>335.76925</v>
      </c>
      <c r="F48" s="46" t="str">
        <f t="shared" si="1"/>
        <v>In Bear Run</v>
      </c>
      <c r="G48" s="47">
        <f t="shared" si="2"/>
        <v>-25.54410507</v>
      </c>
      <c r="H48" s="48" t="str">
        <f t="shared" si="3"/>
        <v>Inverted ✗</v>
      </c>
      <c r="I48" s="48">
        <f t="shared" si="4"/>
        <v>0</v>
      </c>
      <c r="J48" s="48">
        <f t="shared" si="5"/>
        <v>0</v>
      </c>
      <c r="K48" s="49" t="str">
        <f>IFERROR(__xludf.DUMMYFUNCTION("IFERROR(IF(A48="""",""ENTER STOCK"",LET(stock,A48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8" s="48">
        <f t="shared" si="6"/>
        <v>0</v>
      </c>
      <c r="M48" s="48">
        <f t="shared" si="7"/>
        <v>1</v>
      </c>
      <c r="N48" s="50">
        <f t="shared" si="8"/>
        <v>1</v>
      </c>
      <c r="O48" s="51" t="s">
        <v>190</v>
      </c>
      <c r="P48" s="46" t="str">
        <f t="shared" si="9"/>
        <v>REVERSE TRADE</v>
      </c>
      <c r="Q48" s="52"/>
      <c r="R48" s="53">
        <f t="shared" si="10"/>
        <v>15</v>
      </c>
      <c r="S48" s="53">
        <f>IFERROR(__xludf.DUMMYFUNCTION("IFERROR(ROUND(GOOGLEFINANCE(A48,""volume"")/GOOGLEFINANCE(A48,""volumeavg""),2),"""")"),1.41)</f>
        <v>1.41</v>
      </c>
      <c r="T48" s="53" t="str">
        <f t="shared" si="11"/>
        <v>OK VOL</v>
      </c>
      <c r="U48" s="53">
        <f>IFERROR(__xludf.DUMMYFUNCTION("IFERROR(
  LET(
    sd, GOOGLEFINANCE(A48,""close"",TODAY()-100,TODAY()),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"""")"),1.49)</f>
        <v>1.49</v>
      </c>
      <c r="V48" s="53" t="str">
        <f t="shared" si="12"/>
        <v>FAST</v>
      </c>
      <c r="W48" s="53">
        <f>IFERROR(__xludf.DUMMYFUNCTION("IFERROR(ROUND((B48/GOOGLEFINANCE(A48,""high52"")-1)*100,1),"""")"),-44.2)</f>
        <v>-44.2</v>
      </c>
      <c r="X48" s="53">
        <f>IFERROR(__xludf.DUMMYFUNCTION("IFERROR(ROUND((B48-GOOGLEFINANCE(A48,""low52""))/(GOOGLEFINANCE(A48,""high52"")-GOOGLEFINANCE(A48,""low52""))*100,1),"""")"),1.0)</f>
        <v>1</v>
      </c>
      <c r="Y48" s="53" t="str">
        <f t="shared" si="13"/>
        <v>DEEP RECOVERY</v>
      </c>
      <c r="Z48" s="53">
        <f>IFERROR(__xludf.DUMMYFUNCTION("IFERROR(ROUND(((B48 / INDEX(GOOGLEFINANCE(TRIM(A48), ""price"", TODAY()-34, TODAY()), 2, 2)) - (GOOGLEFINANCE(""NIFTY_50"") / INDEX(GOOGLEFINANCE(""NIFTY_50"", ""price"", TODAY()-34, TODAY()), 2, 2))) * 100, 2), ""Check History"")"),-10.11)</f>
        <v>-10.11</v>
      </c>
      <c r="AA48" s="53" t="str">
        <f t="shared" si="14"/>
        <v>WEAK RS</v>
      </c>
      <c r="AB48" s="53">
        <f>IFERROR(__xludf.DUMMYFUNCTION("IFERROR(LET(
  p, QUERY(GOOGLEFINANCE(TRIM(A48),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Loading"")"),37.3)</f>
        <v>37.3</v>
      </c>
      <c r="AC48" s="53" t="str">
        <f t="shared" si="15"/>
        <v>WEAK MOM</v>
      </c>
      <c r="AD48" s="53" t="str">
        <f>IFERROR(__xludf.DUMMYFUNCTION("IFERROR(IF(GOOGLEFINANCE(A48,""eps"")&gt;0,""EPS+"",""EPS-""),"""")"),"EPS+")</f>
        <v>EPS+</v>
      </c>
      <c r="AE48" s="53">
        <f t="shared" si="16"/>
        <v>5</v>
      </c>
      <c r="AF48" s="53">
        <f>IFERROR(__xludf.DUMMYFUNCTION("IFERROR(N48+IF(S48&gt;=1.2,1,0)+IF(U48&gt;=1,1,0)+IF(Z48&gt;0,1,0)+IF(AND(W48&gt;=-20,W48&lt;=0),1,0)+IF(IFERROR(GOOGLEFINANCE(A48,""eps""),0)&gt;0,1,0),"""")"),4.0)</f>
        <v>4</v>
      </c>
      <c r="AG48" s="53" t="str">
        <f t="shared" si="17"/>
        <v>REVERSE TRADE</v>
      </c>
    </row>
    <row r="49" ht="15.0" customHeight="1">
      <c r="A49" s="43" t="s">
        <v>191</v>
      </c>
      <c r="B49" s="44">
        <f>IFERROR(__xludf.DUMMYFUNCTION("GOOGLEFINANCE(A49,""price"")"),1252.7)</f>
        <v>1252.7</v>
      </c>
      <c r="C49" s="45">
        <f>IFERROR(__xludf.DUMMYFUNCTION("AVERAGE(QUERY(SORT(GOOGLEFINANCE(A49,""price"",TODAY()-150,TODAY()),1,0),""select Col2 limit 50""))"),1569.3840000000002)</f>
        <v>1569.384</v>
      </c>
      <c r="D49" s="45">
        <f>IFERROR(__xludf.DUMMYFUNCTION("AVERAGE(QUERY(SORT(GOOGLEFINANCE(A49,""price"",TODAY()-300,TODAY()),1,0),""select Col2 limit 100""))"),1683.648)</f>
        <v>1683.648</v>
      </c>
      <c r="E49" s="45">
        <f>IFERROR(__xludf.DUMMYFUNCTION("AVERAGE(QUERY(SORT(GOOGLEFINANCE(A49,""price"",TODAY()-500,TODAY()),1,0),""select Col2 limit 200""))"),1774.4335000000012)</f>
        <v>1774.4335</v>
      </c>
      <c r="F49" s="46" t="str">
        <f t="shared" si="1"/>
        <v>In Bear Run</v>
      </c>
      <c r="G49" s="47">
        <f t="shared" si="2"/>
        <v>-29.40282067</v>
      </c>
      <c r="H49" s="48" t="str">
        <f t="shared" si="3"/>
        <v>Inverted ✗</v>
      </c>
      <c r="I49" s="48">
        <f t="shared" si="4"/>
        <v>0</v>
      </c>
      <c r="J49" s="48">
        <f t="shared" si="5"/>
        <v>0</v>
      </c>
      <c r="K49" s="49" t="str">
        <f>IFERROR(__xludf.DUMMYFUNCTION("IFERROR(IF(A49="""",""ENTER STOCK"",LET(stock,A49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9" s="48">
        <f t="shared" si="6"/>
        <v>0</v>
      </c>
      <c r="M49" s="48">
        <f t="shared" si="7"/>
        <v>1</v>
      </c>
      <c r="N49" s="50">
        <f t="shared" si="8"/>
        <v>1</v>
      </c>
      <c r="O49" s="51" t="s">
        <v>192</v>
      </c>
      <c r="P49" s="46" t="str">
        <f t="shared" si="9"/>
        <v>REVERSE TRADE</v>
      </c>
      <c r="Q49" s="52"/>
      <c r="R49" s="53">
        <f t="shared" si="10"/>
        <v>15</v>
      </c>
      <c r="S49" s="53">
        <f>IFERROR(__xludf.DUMMYFUNCTION("IFERROR(ROUND(GOOGLEFINANCE(A49,""volume"")/GOOGLEFINANCE(A49,""volumeavg""),2),"""")"),2.43)</f>
        <v>2.43</v>
      </c>
      <c r="T49" s="53" t="str">
        <f t="shared" si="11"/>
        <v>HIGH VOL</v>
      </c>
      <c r="U49" s="53">
        <f>IFERROR(__xludf.DUMMYFUNCTION("IFERROR(
  LET(
    sd, GOOGLEFINANCE(A49,""close"",TODAY()-100,TODAY()),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"""")"),1.22)</f>
        <v>1.22</v>
      </c>
      <c r="V49" s="53" t="str">
        <f t="shared" si="12"/>
        <v>FAST</v>
      </c>
      <c r="W49" s="53">
        <f>IFERROR(__xludf.DUMMYFUNCTION("IFERROR(ROUND((B49/GOOGLEFINANCE(A49,""high52"")-1)*100,1),"""")"),-40.9)</f>
        <v>-40.9</v>
      </c>
      <c r="X49" s="53">
        <f>IFERROR(__xludf.DUMMYFUNCTION("IFERROR(ROUND((B49-GOOGLEFINANCE(A49,""low52""))/(GOOGLEFINANCE(A49,""high52"")-GOOGLEFINANCE(A49,""low52""))*100,1),"""")"),0.1)</f>
        <v>0.1</v>
      </c>
      <c r="Y49" s="53" t="str">
        <f t="shared" si="13"/>
        <v>DEEP RECOVERY</v>
      </c>
      <c r="Z49" s="53">
        <f>IFERROR(__xludf.DUMMYFUNCTION("IFERROR(ROUND(((B49 / INDEX(GOOGLEFINANCE(TRIM(A49), ""price"", TODAY()-34, TODAY()), 2, 2)) - (GOOGLEFINANCE(""NIFTY_50"") / INDEX(GOOGLEFINANCE(""NIFTY_50"", ""price"", TODAY()-34, TODAY()), 2, 2))) * 100, 2), ""Check History"")"),-10.46)</f>
        <v>-10.46</v>
      </c>
      <c r="AA49" s="53" t="str">
        <f t="shared" si="14"/>
        <v>WEAK RS</v>
      </c>
      <c r="AB49" s="53">
        <f>IFERROR(__xludf.DUMMYFUNCTION("IFERROR(LET(
  p, QUERY(GOOGLEFINANCE(TRIM(A49),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Loading"")"),33.9)</f>
        <v>33.9</v>
      </c>
      <c r="AC49" s="53" t="str">
        <f t="shared" si="15"/>
        <v>WEAK MOM</v>
      </c>
      <c r="AD49" s="53" t="str">
        <f>IFERROR(__xludf.DUMMYFUNCTION("IFERROR(IF(GOOGLEFINANCE(A49,""eps"")&gt;0,""EPS+"",""EPS-""),"""")"),"EPS+")</f>
        <v>EPS+</v>
      </c>
      <c r="AE49" s="53">
        <f t="shared" si="16"/>
        <v>6</v>
      </c>
      <c r="AF49" s="53">
        <f>IFERROR(__xludf.DUMMYFUNCTION("IFERROR(N49+IF(S49&gt;=1.2,1,0)+IF(U49&gt;=1,1,0)+IF(Z49&gt;0,1,0)+IF(AND(W49&gt;=-20,W49&lt;=0),1,0)+IF(IFERROR(GOOGLEFINANCE(A49,""eps""),0)&gt;0,1,0),"""")"),4.0)</f>
        <v>4</v>
      </c>
      <c r="AG49" s="53" t="str">
        <f t="shared" si="17"/>
        <v>REVERSE TRADE</v>
      </c>
    </row>
    <row r="50" ht="15.0" customHeight="1">
      <c r="A50" s="43" t="s">
        <v>193</v>
      </c>
      <c r="B50" s="44">
        <f>IFERROR(__xludf.DUMMYFUNCTION("GOOGLEFINANCE(A50,""price"")"),6698.5)</f>
        <v>6698.5</v>
      </c>
      <c r="C50" s="45">
        <f>IFERROR(__xludf.DUMMYFUNCTION("AVERAGE(QUERY(SORT(GOOGLEFINANCE(A50,""price"",TODAY()-150,TODAY()),1,0),""select Col2 limit 50""))"),7057.11)</f>
        <v>7057.11</v>
      </c>
      <c r="D50" s="45">
        <f>IFERROR(__xludf.DUMMYFUNCTION("AVERAGE(QUERY(SORT(GOOGLEFINANCE(A50,""price"",TODAY()-300,TODAY()),1,0),""select Col2 limit 100""))"),7521.365)</f>
        <v>7521.365</v>
      </c>
      <c r="E50" s="45">
        <f>IFERROR(__xludf.DUMMYFUNCTION("AVERAGE(QUERY(SORT(GOOGLEFINANCE(A50,""price"",TODAY()-500,TODAY()),1,0),""select Col2 limit 200""))"),8178.805)</f>
        <v>8178.805</v>
      </c>
      <c r="F50" s="46" t="str">
        <f t="shared" si="1"/>
        <v>In Bear Run</v>
      </c>
      <c r="G50" s="47">
        <f t="shared" si="2"/>
        <v>-18.09928223</v>
      </c>
      <c r="H50" s="48" t="str">
        <f t="shared" si="3"/>
        <v>Inverted ✗</v>
      </c>
      <c r="I50" s="48">
        <f t="shared" si="4"/>
        <v>0</v>
      </c>
      <c r="J50" s="48">
        <f t="shared" si="5"/>
        <v>0</v>
      </c>
      <c r="K50" s="49" t="str">
        <f>IFERROR(__xludf.DUMMYFUNCTION("IFERROR(IF(A50="""",""ENTER STOCK"",LET(stock,A50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0" s="48">
        <f t="shared" si="6"/>
        <v>0</v>
      </c>
      <c r="M50" s="48">
        <f t="shared" si="7"/>
        <v>1</v>
      </c>
      <c r="N50" s="50">
        <f t="shared" si="8"/>
        <v>1</v>
      </c>
      <c r="O50" s="51" t="s">
        <v>121</v>
      </c>
      <c r="P50" s="46" t="str">
        <f t="shared" si="9"/>
        <v>REVERSE TRADE</v>
      </c>
      <c r="Q50" s="52"/>
      <c r="R50" s="53">
        <f t="shared" si="10"/>
        <v>15</v>
      </c>
      <c r="S50" s="53">
        <f>IFERROR(__xludf.DUMMYFUNCTION("IFERROR(ROUND(GOOGLEFINANCE(A50,""volume"")/GOOGLEFINANCE(A50,""volumeavg""),2),"""")"),1.61)</f>
        <v>1.61</v>
      </c>
      <c r="T50" s="53" t="str">
        <f t="shared" si="11"/>
        <v>HIGH VOL</v>
      </c>
      <c r="U50" s="53">
        <f>IFERROR(__xludf.DUMMYFUNCTION("IFERROR(
  LET(
    sd, GOOGLEFINANCE(A50,""close"",TODAY()-100,TODAY()),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"""")"),0.67)</f>
        <v>0.67</v>
      </c>
      <c r="V50" s="53" t="str">
        <f t="shared" si="12"/>
        <v>SLOW</v>
      </c>
      <c r="W50" s="53">
        <f>IFERROR(__xludf.DUMMYFUNCTION("IFERROR(ROUND((B50/GOOGLEFINANCE(A50,""high52"")-1)*100,1),"""")"),-32.7)</f>
        <v>-32.7</v>
      </c>
      <c r="X50" s="53">
        <f>IFERROR(__xludf.DUMMYFUNCTION("IFERROR(ROUND((B50-GOOGLEFINANCE(A50,""low52""))/(GOOGLEFINANCE(A50,""high52"")-GOOGLEFINANCE(A50,""low52""))*100,1),"""")"),12.5)</f>
        <v>12.5</v>
      </c>
      <c r="Y50" s="53" t="str">
        <f t="shared" si="13"/>
        <v>MID</v>
      </c>
      <c r="Z50" s="53">
        <f>IFERROR(__xludf.DUMMYFUNCTION("IFERROR(ROUND(((B50 / INDEX(GOOGLEFINANCE(TRIM(A50), ""price"", TODAY()-34, TODAY()), 2, 2)) - (GOOGLEFINANCE(""NIFTY_50"") / INDEX(GOOGLEFINANCE(""NIFTY_50"", ""price"", TODAY()-34, TODAY()), 2, 2))) * 100, 2), ""Check History"")"),15.95)</f>
        <v>15.95</v>
      </c>
      <c r="AA50" s="53" t="str">
        <f t="shared" si="14"/>
        <v>STRONG RS</v>
      </c>
      <c r="AB50" s="53">
        <f>IFERROR(__xludf.DUMMYFUNCTION("IFERROR(LET(
  p, QUERY(GOOGLEFINANCE(TRIM(A50),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Loading"")"),64.7)</f>
        <v>64.7</v>
      </c>
      <c r="AC50" s="53" t="str">
        <f t="shared" si="15"/>
        <v>IDEAL ENTRY</v>
      </c>
      <c r="AD50" s="53" t="str">
        <f>IFERROR(__xludf.DUMMYFUNCTION("IFERROR(IF(GOOGLEFINANCE(A50,""eps"")&gt;0,""EPS+"",""EPS-""),"""")"),"EPS+")</f>
        <v>EPS+</v>
      </c>
      <c r="AE50" s="53">
        <f t="shared" si="16"/>
        <v>6</v>
      </c>
      <c r="AF50" s="53">
        <f>IFERROR(__xludf.DUMMYFUNCTION("IFERROR(N50+IF(S50&gt;=1.2,1,0)+IF(U50&gt;=1,1,0)+IF(Z50&gt;0,1,0)+IF(AND(W50&gt;=-20,W50&lt;=0),1,0)+IF(IFERROR(GOOGLEFINANCE(A50,""eps""),0)&gt;0,1,0),"""")"),4.0)</f>
        <v>4</v>
      </c>
      <c r="AG50" s="53" t="str">
        <f t="shared" si="17"/>
        <v>REVERSE TRADE</v>
      </c>
    </row>
    <row r="51" ht="15.0" customHeight="1">
      <c r="A51" s="43" t="s">
        <v>194</v>
      </c>
      <c r="B51" s="44">
        <f>IFERROR(__xludf.DUMMYFUNCTION("GOOGLEFINANCE(A51,""price"")"),401.35)</f>
        <v>401.35</v>
      </c>
      <c r="C51" s="45">
        <f>IFERROR(__xludf.DUMMYFUNCTION("AVERAGE(QUERY(SORT(GOOGLEFINANCE(A51,""price"",TODAY()-150,TODAY()),1,0),""select Col2 limit 50""))"),494.096)</f>
        <v>494.096</v>
      </c>
      <c r="D51" s="45">
        <f>IFERROR(__xludf.DUMMYFUNCTION("AVERAGE(QUERY(SORT(GOOGLEFINANCE(A51,""price"",TODAY()-300,TODAY()),1,0),""select Col2 limit 100""))"),521.9855)</f>
        <v>521.9855</v>
      </c>
      <c r="E51" s="45">
        <f>IFERROR(__xludf.DUMMYFUNCTION("AVERAGE(QUERY(SORT(GOOGLEFINANCE(A51,""price"",TODAY()-500,TODAY()),1,0),""select Col2 limit 200""))"),549.5614999999999)</f>
        <v>549.5615</v>
      </c>
      <c r="F51" s="46" t="str">
        <f t="shared" si="1"/>
        <v>In Bear Run</v>
      </c>
      <c r="G51" s="47">
        <f t="shared" si="2"/>
        <v>-26.96904714</v>
      </c>
      <c r="H51" s="48" t="str">
        <f t="shared" si="3"/>
        <v>Inverted ✗</v>
      </c>
      <c r="I51" s="48">
        <f t="shared" si="4"/>
        <v>0</v>
      </c>
      <c r="J51" s="48">
        <f t="shared" si="5"/>
        <v>0</v>
      </c>
      <c r="K51" s="49" t="str">
        <f>IFERROR(__xludf.DUMMYFUNCTION("IFERROR(IF(A51="""",""ENTER STOCK"",LET(stock,A51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1" s="48">
        <f t="shared" si="6"/>
        <v>0</v>
      </c>
      <c r="M51" s="48">
        <f t="shared" si="7"/>
        <v>1</v>
      </c>
      <c r="N51" s="50">
        <f t="shared" si="8"/>
        <v>1</v>
      </c>
      <c r="O51" s="51" t="s">
        <v>192</v>
      </c>
      <c r="P51" s="46" t="str">
        <f t="shared" si="9"/>
        <v>REVERSE TRADE</v>
      </c>
      <c r="Q51" s="52"/>
      <c r="R51" s="53">
        <f t="shared" si="10"/>
        <v>15</v>
      </c>
      <c r="S51" s="53">
        <f>IFERROR(__xludf.DUMMYFUNCTION("IFERROR(ROUND(GOOGLEFINANCE(A51,""volume"")/GOOGLEFINANCE(A51,""volumeavg""),2),"""")"),1.71)</f>
        <v>1.71</v>
      </c>
      <c r="T51" s="53" t="str">
        <f t="shared" si="11"/>
        <v>HIGH VOL</v>
      </c>
      <c r="U51" s="53">
        <f>IFERROR(__xludf.DUMMYFUNCTION("IFERROR(
  LET(
    sd, GOOGLEFINANCE(A51,""close"",TODAY()-100,TODAY()),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"""")"),1.65)</f>
        <v>1.65</v>
      </c>
      <c r="V51" s="53" t="str">
        <f t="shared" si="12"/>
        <v>FAST</v>
      </c>
      <c r="W51" s="53">
        <f>IFERROR(__xludf.DUMMYFUNCTION("IFERROR(ROUND((B51/GOOGLEFINANCE(A51,""high52"")-1)*100,1),"""")"),-35.8)</f>
        <v>-35.8</v>
      </c>
      <c r="X51" s="53">
        <f>IFERROR(__xludf.DUMMYFUNCTION("IFERROR(ROUND((B51-GOOGLEFINANCE(A51,""low52""))/(GOOGLEFINANCE(A51,""high52"")-GOOGLEFINANCE(A51,""low52""))*100,1),"""")"),3.2)</f>
        <v>3.2</v>
      </c>
      <c r="Y51" s="53" t="str">
        <f t="shared" si="13"/>
        <v>MID</v>
      </c>
      <c r="Z51" s="53">
        <f>IFERROR(__xludf.DUMMYFUNCTION("IFERROR(ROUND(((B51 / INDEX(GOOGLEFINANCE(TRIM(A51), ""price"", TODAY()-34, TODAY()), 2, 2)) - (GOOGLEFINANCE(""NIFTY_50"") / INDEX(GOOGLEFINANCE(""NIFTY_50"", ""price"", TODAY()-34, TODAY()), 2, 2))) * 100, 2), ""Check History"")"),-9.83)</f>
        <v>-9.83</v>
      </c>
      <c r="AA51" s="53" t="str">
        <f t="shared" si="14"/>
        <v>WEAK RS</v>
      </c>
      <c r="AB51" s="53">
        <f>IFERROR(__xludf.DUMMYFUNCTION("IFERROR(LET(
  p, QUERY(GOOGLEFINANCE(TRIM(A51),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Loading"")"),33.8)</f>
        <v>33.8</v>
      </c>
      <c r="AC51" s="53" t="str">
        <f t="shared" si="15"/>
        <v>WEAK MOM</v>
      </c>
      <c r="AD51" s="53" t="str">
        <f>IFERROR(__xludf.DUMMYFUNCTION("IFERROR(IF(GOOGLEFINANCE(A51,""eps"")&gt;0,""EPS+"",""EPS-""),"""")"),"EPS+")</f>
        <v>EPS+</v>
      </c>
      <c r="AE51" s="53">
        <f t="shared" si="16"/>
        <v>6</v>
      </c>
      <c r="AF51" s="53">
        <f>IFERROR(__xludf.DUMMYFUNCTION("IFERROR(N51+IF(S51&gt;=1.2,1,0)+IF(U51&gt;=1,1,0)+IF(Z51&gt;0,1,0)+IF(AND(W51&gt;=-20,W51&lt;=0),1,0)+IF(IFERROR(GOOGLEFINANCE(A51,""eps""),0)&gt;0,1,0),"""")"),4.0)</f>
        <v>4</v>
      </c>
      <c r="AG51" s="53" t="str">
        <f t="shared" si="17"/>
        <v>REVERSE TRADE</v>
      </c>
    </row>
    <row r="52" ht="15.0" customHeight="1">
      <c r="A52" s="43" t="s">
        <v>195</v>
      </c>
      <c r="B52" s="44">
        <f>IFERROR(__xludf.DUMMYFUNCTION("GOOGLEFINANCE(A52,""price"")"),1128.0)</f>
        <v>1128</v>
      </c>
      <c r="C52" s="45">
        <f>IFERROR(__xludf.DUMMYFUNCTION("AVERAGE(QUERY(SORT(GOOGLEFINANCE(A52,""price"",TODAY()-150,TODAY()),1,0),""select Col2 limit 50""))"),1404.6319999999998)</f>
        <v>1404.632</v>
      </c>
      <c r="D52" s="45">
        <f>IFERROR(__xludf.DUMMYFUNCTION("AVERAGE(QUERY(SORT(GOOGLEFINANCE(A52,""price"",TODAY()-300,TODAY()),1,0),""select Col2 limit 100""))"),1529.5560000000003)</f>
        <v>1529.556</v>
      </c>
      <c r="E52" s="45">
        <f>IFERROR(__xludf.DUMMYFUNCTION("AVERAGE(QUERY(SORT(GOOGLEFINANCE(A52,""price"",TODAY()-500,TODAY()),1,0),""select Col2 limit 200""))"),1585.8879999999992)</f>
        <v>1585.888</v>
      </c>
      <c r="F52" s="46" t="str">
        <f t="shared" si="1"/>
        <v>In Bear Run</v>
      </c>
      <c r="G52" s="47">
        <f t="shared" si="2"/>
        <v>-28.87265683</v>
      </c>
      <c r="H52" s="48" t="str">
        <f t="shared" si="3"/>
        <v>Inverted ✗</v>
      </c>
      <c r="I52" s="48">
        <f t="shared" si="4"/>
        <v>0</v>
      </c>
      <c r="J52" s="48">
        <f t="shared" si="5"/>
        <v>0</v>
      </c>
      <c r="K52" s="49" t="str">
        <f>IFERROR(__xludf.DUMMYFUNCTION("IFERROR(IF(A52="""",""ENTER STOCK"",LET(stock,A52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2" s="48">
        <f t="shared" si="6"/>
        <v>0</v>
      </c>
      <c r="M52" s="48">
        <f t="shared" si="7"/>
        <v>1</v>
      </c>
      <c r="N52" s="50">
        <f t="shared" si="8"/>
        <v>1</v>
      </c>
      <c r="O52" s="51" t="s">
        <v>134</v>
      </c>
      <c r="P52" s="46" t="str">
        <f t="shared" si="9"/>
        <v>REVERSE TRADE</v>
      </c>
      <c r="Q52" s="52"/>
      <c r="R52" s="53">
        <f t="shared" si="10"/>
        <v>15</v>
      </c>
      <c r="S52" s="53">
        <f>IFERROR(__xludf.DUMMYFUNCTION("IFERROR(ROUND(GOOGLEFINANCE(A52,""volume"")/GOOGLEFINANCE(A52,""volumeavg""),2),"""")"),2.11)</f>
        <v>2.11</v>
      </c>
      <c r="T52" s="53" t="str">
        <f t="shared" si="11"/>
        <v>HIGH VOL</v>
      </c>
      <c r="U52" s="53">
        <f>IFERROR(__xludf.DUMMYFUNCTION("IFERROR(
  LET(
    sd, GOOGLEFINANCE(A52,""close"",TODAY()-100,TODAY()),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"""")"),1.47)</f>
        <v>1.47</v>
      </c>
      <c r="V52" s="53" t="str">
        <f t="shared" si="12"/>
        <v>FAST</v>
      </c>
      <c r="W52" s="53">
        <f>IFERROR(__xludf.DUMMYFUNCTION("IFERROR(ROUND((B52/GOOGLEFINANCE(A52,""high52"")-1)*100,1),"""")"),-37.8)</f>
        <v>-37.8</v>
      </c>
      <c r="X52" s="53">
        <f>IFERROR(__xludf.DUMMYFUNCTION("IFERROR(ROUND((B52-GOOGLEFINANCE(A52,""low52""))/(GOOGLEFINANCE(A52,""high52"")-GOOGLEFINANCE(A52,""low52""))*100,1),"""")"),10.4)</f>
        <v>10.4</v>
      </c>
      <c r="Y52" s="53" t="str">
        <f t="shared" si="13"/>
        <v>MID</v>
      </c>
      <c r="Z52" s="53">
        <f>IFERROR(__xludf.DUMMYFUNCTION("IFERROR(ROUND(((B52 / INDEX(GOOGLEFINANCE(TRIM(A52), ""price"", TODAY()-34, TODAY()), 2, 2)) - (GOOGLEFINANCE(""NIFTY_50"") / INDEX(GOOGLEFINANCE(""NIFTY_50"", ""price"", TODAY()-34, TODAY()), 2, 2))) * 100, 2), ""Check History"")"),-8.71)</f>
        <v>-8.71</v>
      </c>
      <c r="AA52" s="53" t="str">
        <f t="shared" si="14"/>
        <v>WEAK RS</v>
      </c>
      <c r="AB52" s="53">
        <f>IFERROR(__xludf.DUMMYFUNCTION("IFERROR(LET(
  p, QUERY(GOOGLEFINANCE(TRIM(A52),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Loading"")"),35.8)</f>
        <v>35.8</v>
      </c>
      <c r="AC52" s="53" t="str">
        <f t="shared" si="15"/>
        <v>WEAK MOM</v>
      </c>
      <c r="AD52" s="53" t="str">
        <f>IFERROR(__xludf.DUMMYFUNCTION("IFERROR(IF(GOOGLEFINANCE(A52,""eps"")&gt;0,""EPS+"",""EPS-""),"""")"),"EPS+")</f>
        <v>EPS+</v>
      </c>
      <c r="AE52" s="53">
        <f t="shared" si="16"/>
        <v>6</v>
      </c>
      <c r="AF52" s="53">
        <f>IFERROR(__xludf.DUMMYFUNCTION("IFERROR(N52+IF(S52&gt;=1.2,1,0)+IF(U52&gt;=1,1,0)+IF(Z52&gt;0,1,0)+IF(AND(W52&gt;=-20,W52&lt;=0),1,0)+IF(IFERROR(GOOGLEFINANCE(A52,""eps""),0)&gt;0,1,0),"""")"),4.0)</f>
        <v>4</v>
      </c>
      <c r="AG52" s="53" t="str">
        <f t="shared" si="17"/>
        <v>REVERSE TRADE</v>
      </c>
    </row>
    <row r="53" ht="15.0" customHeight="1">
      <c r="A53" s="43" t="s">
        <v>196</v>
      </c>
      <c r="B53" s="44">
        <f>IFERROR(__xludf.DUMMYFUNCTION("GOOGLEFINANCE(A53,""price"")"),2365.0)</f>
        <v>2365</v>
      </c>
      <c r="C53" s="45">
        <f>IFERROR(__xludf.DUMMYFUNCTION("AVERAGE(QUERY(SORT(GOOGLEFINANCE(A53,""price"",TODAY()-150,TODAY()),1,0),""select Col2 limit 50""))"),2751.482000000001)</f>
        <v>2751.482</v>
      </c>
      <c r="D53" s="45">
        <f>IFERROR(__xludf.DUMMYFUNCTION("AVERAGE(QUERY(SORT(GOOGLEFINANCE(A53,""price"",TODAY()-300,TODAY()),1,0),""select Col2 limit 100""))"),2966.114000000001)</f>
        <v>2966.114</v>
      </c>
      <c r="E53" s="45">
        <f>IFERROR(__xludf.DUMMYFUNCTION("AVERAGE(QUERY(SORT(GOOGLEFINANCE(A53,""price"",TODAY()-500,TODAY()),1,0),""select Col2 limit 200""))"),3059.0900000000024)</f>
        <v>3059.09</v>
      </c>
      <c r="F53" s="46" t="str">
        <f t="shared" si="1"/>
        <v>In Bear Run</v>
      </c>
      <c r="G53" s="47">
        <f t="shared" si="2"/>
        <v>-22.68942725</v>
      </c>
      <c r="H53" s="48" t="str">
        <f t="shared" si="3"/>
        <v>Inverted ✗</v>
      </c>
      <c r="I53" s="48">
        <f t="shared" si="4"/>
        <v>0</v>
      </c>
      <c r="J53" s="48">
        <f t="shared" si="5"/>
        <v>0</v>
      </c>
      <c r="K53" s="49" t="str">
        <f>IFERROR(__xludf.DUMMYFUNCTION("IFERROR(IF(A53="""",""ENTER STOCK"",LET(stock,A53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3" s="48">
        <f t="shared" si="6"/>
        <v>0</v>
      </c>
      <c r="M53" s="48">
        <f t="shared" si="7"/>
        <v>1</v>
      </c>
      <c r="N53" s="50">
        <f t="shared" si="8"/>
        <v>1</v>
      </c>
      <c r="O53" s="51" t="s">
        <v>121</v>
      </c>
      <c r="P53" s="46" t="str">
        <f t="shared" si="9"/>
        <v>REVERSE TRADE</v>
      </c>
      <c r="Q53" s="52"/>
      <c r="R53" s="53">
        <f t="shared" si="10"/>
        <v>15</v>
      </c>
      <c r="S53" s="53">
        <f>IFERROR(__xludf.DUMMYFUNCTION("IFERROR(ROUND(GOOGLEFINANCE(A53,""volume"")/GOOGLEFINANCE(A53,""volumeavg""),2),"""")"),1.95)</f>
        <v>1.95</v>
      </c>
      <c r="T53" s="53" t="str">
        <f t="shared" si="11"/>
        <v>HIGH VOL</v>
      </c>
      <c r="U53" s="53">
        <f>IFERROR(__xludf.DUMMYFUNCTION("IFERROR(
  LET(
    sd, GOOGLEFINANCE(A53,""close"",TODAY()-100,TODAY()),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"""")"),0.54)</f>
        <v>0.54</v>
      </c>
      <c r="V53" s="53" t="str">
        <f t="shared" si="12"/>
        <v>SLOW</v>
      </c>
      <c r="W53" s="53">
        <f>IFERROR(__xludf.DUMMYFUNCTION("IFERROR(ROUND((B53/GOOGLEFINANCE(A53,""high52"")-1)*100,1),"""")"),-34.9)</f>
        <v>-34.9</v>
      </c>
      <c r="X53" s="53">
        <f>IFERROR(__xludf.DUMMYFUNCTION("IFERROR(ROUND((B53-GOOGLEFINANCE(A53,""low52""))/(GOOGLEFINANCE(A53,""high52"")-GOOGLEFINANCE(A53,""low52""))*100,1),"""")"),1.5)</f>
        <v>1.5</v>
      </c>
      <c r="Y53" s="53" t="str">
        <f t="shared" si="13"/>
        <v>MID</v>
      </c>
      <c r="Z53" s="53">
        <f>IFERROR(__xludf.DUMMYFUNCTION("IFERROR(ROUND(((B53 / INDEX(GOOGLEFINANCE(TRIM(A53), ""price"", TODAY()-34, TODAY()), 2, 2)) - (GOOGLEFINANCE(""NIFTY_50"") / INDEX(GOOGLEFINANCE(""NIFTY_50"", ""price"", TODAY()-34, TODAY()), 2, 2))) * 100, 2), ""Check History"")"),4.06)</f>
        <v>4.06</v>
      </c>
      <c r="AA53" s="53" t="str">
        <f t="shared" si="14"/>
        <v>MILD RS</v>
      </c>
      <c r="AB53" s="53">
        <f>IFERROR(__xludf.DUMMYFUNCTION("IFERROR(LET(
  p, QUERY(GOOGLEFINANCE(TRIM(A53),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Loading"")"),49.8)</f>
        <v>49.8</v>
      </c>
      <c r="AC53" s="53" t="str">
        <f t="shared" si="15"/>
        <v>IDEAL ENTRY</v>
      </c>
      <c r="AD53" s="53" t="str">
        <f>IFERROR(__xludf.DUMMYFUNCTION("IFERROR(IF(GOOGLEFINANCE(A53,""eps"")&gt;0,""EPS+"",""EPS-""),"""")"),"EPS+")</f>
        <v>EPS+</v>
      </c>
      <c r="AE53" s="53">
        <f t="shared" si="16"/>
        <v>4</v>
      </c>
      <c r="AF53" s="53">
        <f>IFERROR(__xludf.DUMMYFUNCTION("IFERROR(N53+IF(S53&gt;=1.2,1,0)+IF(U53&gt;=1,1,0)+IF(Z53&gt;0,1,0)+IF(AND(W53&gt;=-20,W53&lt;=0),1,0)+IF(IFERROR(GOOGLEFINANCE(A53,""eps""),0)&gt;0,1,0),"""")"),4.0)</f>
        <v>4</v>
      </c>
      <c r="AG53" s="53" t="str">
        <f t="shared" si="17"/>
        <v>REVERSE TRADE</v>
      </c>
    </row>
    <row r="54" ht="15.0" customHeight="1">
      <c r="A54" s="43" t="s">
        <v>197</v>
      </c>
      <c r="B54" s="44">
        <f>IFERROR(__xludf.DUMMYFUNCTION("GOOGLEFINANCE(A54,""price"")"),287.8)</f>
        <v>287.8</v>
      </c>
      <c r="C54" s="45">
        <f>IFERROR(__xludf.DUMMYFUNCTION("AVERAGE(QUERY(SORT(GOOGLEFINANCE(A54,""price"",TODAY()-150,TODAY()),1,0),""select Col2 limit 50""))"),324.249)</f>
        <v>324.249</v>
      </c>
      <c r="D54" s="45">
        <f>IFERROR(__xludf.DUMMYFUNCTION("AVERAGE(QUERY(SORT(GOOGLEFINANCE(A54,""price"",TODAY()-300,TODAY()),1,0),""select Col2 limit 100""))"),347.49500000000006)</f>
        <v>347.495</v>
      </c>
      <c r="E54" s="45">
        <f>IFERROR(__xludf.DUMMYFUNCTION("AVERAGE(QUERY(SORT(GOOGLEFINANCE(A54,""price"",TODAY()-500,TODAY()),1,0),""select Col2 limit 200""))"),370.5472500000002)</f>
        <v>370.54725</v>
      </c>
      <c r="F54" s="46" t="str">
        <f t="shared" si="1"/>
        <v>In Bear Run</v>
      </c>
      <c r="G54" s="47">
        <f t="shared" si="2"/>
        <v>-22.33109273</v>
      </c>
      <c r="H54" s="48" t="str">
        <f t="shared" si="3"/>
        <v>Inverted ✗</v>
      </c>
      <c r="I54" s="48">
        <f t="shared" si="4"/>
        <v>0</v>
      </c>
      <c r="J54" s="48">
        <f t="shared" si="5"/>
        <v>0</v>
      </c>
      <c r="K54" s="49" t="str">
        <f>IFERROR(__xludf.DUMMYFUNCTION("IFERROR(IF(A54="""",""ENTER STOCK"",LET(stock,A54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4" s="48">
        <f t="shared" si="6"/>
        <v>0</v>
      </c>
      <c r="M54" s="48">
        <f t="shared" si="7"/>
        <v>1</v>
      </c>
      <c r="N54" s="50">
        <f t="shared" si="8"/>
        <v>1</v>
      </c>
      <c r="O54" s="51" t="s">
        <v>198</v>
      </c>
      <c r="P54" s="46" t="str">
        <f t="shared" si="9"/>
        <v>REVERSE TRADE</v>
      </c>
      <c r="Q54" s="52"/>
      <c r="R54" s="53">
        <f t="shared" si="10"/>
        <v>15</v>
      </c>
      <c r="S54" s="53">
        <f>IFERROR(__xludf.DUMMYFUNCTION("IFERROR(ROUND(GOOGLEFINANCE(A54,""volume"")/GOOGLEFINANCE(A54,""volumeavg""),2),"""")"),1.68)</f>
        <v>1.68</v>
      </c>
      <c r="T54" s="53" t="str">
        <f t="shared" si="11"/>
        <v>HIGH VOL</v>
      </c>
      <c r="U54" s="53">
        <f>IFERROR(__xludf.DUMMYFUNCTION("IFERROR(
  LET(
    sd, GOOGLEFINANCE(A54,""close"",TODAY()-100,TODAY()),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"""")"),0.54)</f>
        <v>0.54</v>
      </c>
      <c r="V54" s="53" t="str">
        <f t="shared" si="12"/>
        <v>SLOW</v>
      </c>
      <c r="W54" s="53">
        <f>IFERROR(__xludf.DUMMYFUNCTION("IFERROR(ROUND((B54/GOOGLEFINANCE(A54,""high52"")-1)*100,1),"""")"),-33.2)</f>
        <v>-33.2</v>
      </c>
      <c r="X54" s="53">
        <f>IFERROR(__xludf.DUMMYFUNCTION("IFERROR(ROUND((B54-GOOGLEFINANCE(A54,""low52""))/(GOOGLEFINANCE(A54,""high52"")-GOOGLEFINANCE(A54,""low52""))*100,1),"""")"),0.6)</f>
        <v>0.6</v>
      </c>
      <c r="Y54" s="53" t="str">
        <f t="shared" si="13"/>
        <v>MID</v>
      </c>
      <c r="Z54" s="53">
        <f>IFERROR(__xludf.DUMMYFUNCTION("IFERROR(ROUND(((B54 / INDEX(GOOGLEFINANCE(TRIM(A54), ""price"", TODAY()-34, TODAY()), 2, 2)) - (GOOGLEFINANCE(""NIFTY_50"") / INDEX(GOOGLEFINANCE(""NIFTY_50"", ""price"", TODAY()-34, TODAY()), 2, 2))) * 100, 2), ""Check History"")"),-2.17)</f>
        <v>-2.17</v>
      </c>
      <c r="AA54" s="53" t="str">
        <f t="shared" si="14"/>
        <v>WEAK RS</v>
      </c>
      <c r="AB54" s="53">
        <f>IFERROR(__xludf.DUMMYFUNCTION("IFERROR(LET(
  p, QUERY(GOOGLEFINANCE(TRIM(A54),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Loading"")"),46.4)</f>
        <v>46.4</v>
      </c>
      <c r="AC54" s="53" t="str">
        <f t="shared" si="15"/>
        <v>IDEAL ENTRY</v>
      </c>
      <c r="AD54" s="53" t="str">
        <f>IFERROR(__xludf.DUMMYFUNCTION("IFERROR(IF(GOOGLEFINANCE(A54,""eps"")&gt;0,""EPS+"",""EPS-""),"""")"),"EPS+")</f>
        <v>EPS+</v>
      </c>
      <c r="AE54" s="53">
        <f t="shared" si="16"/>
        <v>3</v>
      </c>
      <c r="AF54" s="53">
        <f>IFERROR(__xludf.DUMMYFUNCTION("IFERROR(N54+IF(S54&gt;=1.2,1,0)+IF(U54&gt;=1,1,0)+IF(Z54&gt;0,1,0)+IF(AND(W54&gt;=-20,W54&lt;=0),1,0)+IF(IFERROR(GOOGLEFINANCE(A54,""eps""),0)&gt;0,1,0),"""")"),3.0)</f>
        <v>3</v>
      </c>
      <c r="AG54" s="53" t="str">
        <f t="shared" si="17"/>
        <v>REVERSE TRADE</v>
      </c>
    </row>
    <row r="55" ht="15.0" customHeight="1">
      <c r="A55" s="43" t="s">
        <v>199</v>
      </c>
      <c r="B55" s="44">
        <f>IFERROR(__xludf.DUMMYFUNCTION("GOOGLEFINANCE(A55,""price"")"),9300.0)</f>
        <v>9300</v>
      </c>
      <c r="C55" s="45">
        <f>IFERROR(__xludf.DUMMYFUNCTION("AVERAGE(QUERY(SORT(GOOGLEFINANCE(A55,""price"",TODAY()-150,TODAY()),1,0),""select Col2 limit 50""))"),11219.9)</f>
        <v>11219.9</v>
      </c>
      <c r="D55" s="45">
        <f>IFERROR(__xludf.DUMMYFUNCTION("AVERAGE(QUERY(SORT(GOOGLEFINANCE(A55,""price"",TODAY()-300,TODAY()),1,0),""select Col2 limit 100""))"),12041.11)</f>
        <v>12041.11</v>
      </c>
      <c r="E55" s="45">
        <f>IFERROR(__xludf.DUMMYFUNCTION("AVERAGE(QUERY(SORT(GOOGLEFINANCE(A55,""price"",TODAY()-500,TODAY()),1,0),""select Col2 limit 200""))"),12762.9)</f>
        <v>12762.9</v>
      </c>
      <c r="F55" s="46" t="str">
        <f t="shared" si="1"/>
        <v>In Bear Run</v>
      </c>
      <c r="G55" s="47">
        <f t="shared" si="2"/>
        <v>-27.13254825</v>
      </c>
      <c r="H55" s="48" t="str">
        <f t="shared" si="3"/>
        <v>Inverted ✗</v>
      </c>
      <c r="I55" s="48">
        <f t="shared" si="4"/>
        <v>0</v>
      </c>
      <c r="J55" s="48">
        <f t="shared" si="5"/>
        <v>0</v>
      </c>
      <c r="K55" s="49" t="str">
        <f>IFERROR(__xludf.DUMMYFUNCTION("IFERROR(IF(A55="""",""ENTER STOCK"",LET(stock,A55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5" s="48">
        <f t="shared" si="6"/>
        <v>0</v>
      </c>
      <c r="M55" s="48">
        <f t="shared" si="7"/>
        <v>1</v>
      </c>
      <c r="N55" s="50">
        <f t="shared" si="8"/>
        <v>1</v>
      </c>
      <c r="O55" s="51" t="s">
        <v>131</v>
      </c>
      <c r="P55" s="46" t="str">
        <f t="shared" si="9"/>
        <v>REVERSE TRADE</v>
      </c>
      <c r="Q55" s="52"/>
      <c r="R55" s="53">
        <f t="shared" si="10"/>
        <v>15</v>
      </c>
      <c r="S55" s="53">
        <f>IFERROR(__xludf.DUMMYFUNCTION("IFERROR(ROUND(GOOGLEFINANCE(A55,""volume"")/GOOGLEFINANCE(A55,""volumeavg""),2),"""")"),3.11)</f>
        <v>3.11</v>
      </c>
      <c r="T55" s="53" t="str">
        <f t="shared" si="11"/>
        <v>HIGH VOL</v>
      </c>
      <c r="U55" s="53">
        <f>IFERROR(__xludf.DUMMYFUNCTION("IFERROR(
  LET(
    sd, GOOGLEFINANCE(A55,""close"",TODAY()-100,TODAY()),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"""")"),0.39)</f>
        <v>0.39</v>
      </c>
      <c r="V55" s="53" t="str">
        <f t="shared" si="12"/>
        <v>SLOW</v>
      </c>
      <c r="W55" s="53">
        <f>IFERROR(__xludf.DUMMYFUNCTION("IFERROR(ROUND((B55/GOOGLEFINANCE(A55,""high52"")-1)*100,1),"""")"),-36.1)</f>
        <v>-36.1</v>
      </c>
      <c r="X55" s="53">
        <f>IFERROR(__xludf.DUMMYFUNCTION("IFERROR(ROUND((B55-GOOGLEFINANCE(A55,""low52""))/(GOOGLEFINANCE(A55,""high52"")-GOOGLEFINANCE(A55,""low52""))*100,1),"""")"),5.8)</f>
        <v>5.8</v>
      </c>
      <c r="Y55" s="53" t="str">
        <f t="shared" si="13"/>
        <v>MID</v>
      </c>
      <c r="Z55" s="53">
        <f>IFERROR(__xludf.DUMMYFUNCTION("IFERROR(ROUND(((B55 / INDEX(GOOGLEFINANCE(TRIM(A55), ""price"", TODAY()-34, TODAY()), 2, 2)) - (GOOGLEFINANCE(""NIFTY_50"") / INDEX(GOOGLEFINANCE(""NIFTY_50"", ""price"", TODAY()-34, TODAY()), 2, 2))) * 100, 2), ""Check History"")"),-6.91)</f>
        <v>-6.91</v>
      </c>
      <c r="AA55" s="53" t="str">
        <f t="shared" si="14"/>
        <v>WEAK RS</v>
      </c>
      <c r="AB55" s="53">
        <f>IFERROR(__xludf.DUMMYFUNCTION("IFERROR(LET(
  p, QUERY(GOOGLEFINANCE(TRIM(A55),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Loading"")"),30.7)</f>
        <v>30.7</v>
      </c>
      <c r="AC55" s="53" t="str">
        <f t="shared" si="15"/>
        <v>WEAK MOM</v>
      </c>
      <c r="AD55" s="53" t="str">
        <f>IFERROR(__xludf.DUMMYFUNCTION("IFERROR(IF(GOOGLEFINANCE(A55,""eps"")&gt;0,""EPS+"",""EPS-""),"""")"),"EPS+")</f>
        <v>EPS+</v>
      </c>
      <c r="AE55" s="53">
        <f t="shared" si="16"/>
        <v>3</v>
      </c>
      <c r="AF55" s="53">
        <f>IFERROR(__xludf.DUMMYFUNCTION("IFERROR(N55+IF(S55&gt;=1.2,1,0)+IF(U55&gt;=1,1,0)+IF(Z55&gt;0,1,0)+IF(AND(W55&gt;=-20,W55&lt;=0),1,0)+IF(IFERROR(GOOGLEFINANCE(A55,""eps""),0)&gt;0,1,0),"""")"),3.0)</f>
        <v>3</v>
      </c>
      <c r="AG55" s="53" t="str">
        <f t="shared" si="17"/>
        <v>REVERSE TRADE</v>
      </c>
    </row>
    <row r="56" ht="15.0" customHeight="1">
      <c r="A56" s="43" t="s">
        <v>200</v>
      </c>
      <c r="B56" s="44">
        <f>IFERROR(__xludf.DUMMYFUNCTION("GOOGLEFINANCE(A56,""price"")"),26365.0)</f>
        <v>26365</v>
      </c>
      <c r="C56" s="45">
        <f>IFERROR(__xludf.DUMMYFUNCTION("AVERAGE(QUERY(SORT(GOOGLEFINANCE(A56,""price"",TODAY()-150,TODAY()),1,0),""select Col2 limit 50""))"),31009.2)</f>
        <v>31009.2</v>
      </c>
      <c r="D56" s="45">
        <f>IFERROR(__xludf.DUMMYFUNCTION("AVERAGE(QUERY(SORT(GOOGLEFINANCE(A56,""price"",TODAY()-300,TODAY()),1,0),""select Col2 limit 100""))"),32759.65)</f>
        <v>32759.65</v>
      </c>
      <c r="E56" s="45">
        <f>IFERROR(__xludf.DUMMYFUNCTION("AVERAGE(QUERY(SORT(GOOGLEFINANCE(A56,""price"",TODAY()-500,TODAY()),1,0),""select Col2 limit 200""))"),35281.825)</f>
        <v>35281.825</v>
      </c>
      <c r="F56" s="46" t="str">
        <f t="shared" si="1"/>
        <v>In Bear Run</v>
      </c>
      <c r="G56" s="47">
        <f t="shared" si="2"/>
        <v>-25.27313992</v>
      </c>
      <c r="H56" s="48" t="str">
        <f t="shared" si="3"/>
        <v>Inverted ✗</v>
      </c>
      <c r="I56" s="48">
        <f t="shared" si="4"/>
        <v>0</v>
      </c>
      <c r="J56" s="48">
        <f t="shared" si="5"/>
        <v>0</v>
      </c>
      <c r="K56" s="49" t="str">
        <f>IFERROR(__xludf.DUMMYFUNCTION("IFERROR(IF(A56="""",""ENTER STOCK"",LET(stock,A56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6" s="48">
        <f t="shared" si="6"/>
        <v>0</v>
      </c>
      <c r="M56" s="48">
        <f t="shared" si="7"/>
        <v>1</v>
      </c>
      <c r="N56" s="50">
        <f t="shared" si="8"/>
        <v>1</v>
      </c>
      <c r="O56" s="51" t="s">
        <v>175</v>
      </c>
      <c r="P56" s="46" t="str">
        <f t="shared" si="9"/>
        <v>REVERSE TRADE</v>
      </c>
      <c r="Q56" s="52"/>
      <c r="R56" s="53">
        <f t="shared" si="10"/>
        <v>15</v>
      </c>
      <c r="S56" s="53">
        <f>IFERROR(__xludf.DUMMYFUNCTION("IFERROR(ROUND(GOOGLEFINANCE(A56,""volume"")/GOOGLEFINANCE(A56,""volumeavg""),2),"""")"),1.38)</f>
        <v>1.38</v>
      </c>
      <c r="T56" s="53" t="str">
        <f t="shared" si="11"/>
        <v>OK VOL</v>
      </c>
      <c r="U56" s="53">
        <f>IFERROR(__xludf.DUMMYFUNCTION("IFERROR(
  LET(
    sd, GOOGLEFINANCE(A56,""close"",TODAY()-100,TODAY()),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"""")"),0.75)</f>
        <v>0.75</v>
      </c>
      <c r="V56" s="53" t="str">
        <f t="shared" si="12"/>
        <v>SLOW</v>
      </c>
      <c r="W56" s="53">
        <f>IFERROR(__xludf.DUMMYFUNCTION("IFERROR(ROUND((B56/GOOGLEFINANCE(A56,""high52"")-1)*100,1),"""")"),-36.4)</f>
        <v>-36.4</v>
      </c>
      <c r="X56" s="53">
        <f>IFERROR(__xludf.DUMMYFUNCTION("IFERROR(ROUND((B56-GOOGLEFINANCE(A56,""low52""))/(GOOGLEFINANCE(A56,""high52"")-GOOGLEFINANCE(A56,""low52""))*100,1),"""")"),1.0)</f>
        <v>1</v>
      </c>
      <c r="Y56" s="53" t="str">
        <f t="shared" si="13"/>
        <v>MID</v>
      </c>
      <c r="Z56" s="53">
        <f>IFERROR(__xludf.DUMMYFUNCTION("IFERROR(ROUND(((B56 / INDEX(GOOGLEFINANCE(TRIM(A56), ""price"", TODAY()-34, TODAY()), 2, 2)) - (GOOGLEFINANCE(""NIFTY_50"") / INDEX(GOOGLEFINANCE(""NIFTY_50"", ""price"", TODAY()-34, TODAY()), 2, 2))) * 100, 2), ""Check History"")"),-4.43)</f>
        <v>-4.43</v>
      </c>
      <c r="AA56" s="53" t="str">
        <f t="shared" si="14"/>
        <v>WEAK RS</v>
      </c>
      <c r="AB56" s="53">
        <f>IFERROR(__xludf.DUMMYFUNCTION("IFERROR(LET(
  p, QUERY(GOOGLEFINANCE(TRIM(A56),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Loading"")"),55.8)</f>
        <v>55.8</v>
      </c>
      <c r="AC56" s="53" t="str">
        <f t="shared" si="15"/>
        <v>IDEAL ENTRY</v>
      </c>
      <c r="AD56" s="53" t="str">
        <f>IFERROR(__xludf.DUMMYFUNCTION("IFERROR(IF(GOOGLEFINANCE(A56,""eps"")&gt;0,""EPS+"",""EPS-""),"""")"),"EPS+")</f>
        <v>EPS+</v>
      </c>
      <c r="AE56" s="53">
        <f t="shared" si="16"/>
        <v>3</v>
      </c>
      <c r="AF56" s="53">
        <f>IFERROR(__xludf.DUMMYFUNCTION("IFERROR(N56+IF(S56&gt;=1.2,1,0)+IF(U56&gt;=1,1,0)+IF(Z56&gt;0,1,0)+IF(AND(W56&gt;=-20,W56&lt;=0),1,0)+IF(IFERROR(GOOGLEFINANCE(A56,""eps""),0)&gt;0,1,0),"""")"),3.0)</f>
        <v>3</v>
      </c>
      <c r="AG56" s="53" t="str">
        <f t="shared" si="17"/>
        <v>REVERSE TRADE</v>
      </c>
    </row>
    <row r="57" ht="15.0" customHeight="1">
      <c r="A57" s="43" t="s">
        <v>201</v>
      </c>
      <c r="B57" s="44">
        <f>IFERROR(__xludf.DUMMYFUNCTION("GOOGLEFINANCE(A57,""price"")"),636.5)</f>
        <v>636.5</v>
      </c>
      <c r="C57" s="45">
        <f>IFERROR(__xludf.DUMMYFUNCTION("AVERAGE(QUERY(SORT(GOOGLEFINANCE(A57,""price"",TODAY()-150,TODAY()),1,0),""select Col2 limit 50""))"),749.653)</f>
        <v>749.653</v>
      </c>
      <c r="D57" s="45">
        <f>IFERROR(__xludf.DUMMYFUNCTION("AVERAGE(QUERY(SORT(GOOGLEFINANCE(A57,""price"",TODAY()-300,TODAY()),1,0),""select Col2 limit 100""))"),809.6699999999996)</f>
        <v>809.67</v>
      </c>
      <c r="E57" s="45">
        <f>IFERROR(__xludf.DUMMYFUNCTION("AVERAGE(QUERY(SORT(GOOGLEFINANCE(A57,""price"",TODAY()-500,TODAY()),1,0),""select Col2 limit 200""))"),847.03475)</f>
        <v>847.03475</v>
      </c>
      <c r="F57" s="46" t="str">
        <f t="shared" si="1"/>
        <v>In Bear Run</v>
      </c>
      <c r="G57" s="47">
        <f t="shared" si="2"/>
        <v>-24.85550327</v>
      </c>
      <c r="H57" s="48" t="str">
        <f t="shared" si="3"/>
        <v>Inverted ✗</v>
      </c>
      <c r="I57" s="48">
        <f t="shared" si="4"/>
        <v>0</v>
      </c>
      <c r="J57" s="48">
        <f t="shared" si="5"/>
        <v>0</v>
      </c>
      <c r="K57" s="49" t="str">
        <f>IFERROR(__xludf.DUMMYFUNCTION("IFERROR(IF(A57="""",""ENTER STOCK"",LET(stock,A57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7" s="48">
        <f t="shared" si="6"/>
        <v>0</v>
      </c>
      <c r="M57" s="48">
        <f t="shared" si="7"/>
        <v>1</v>
      </c>
      <c r="N57" s="50">
        <f t="shared" si="8"/>
        <v>1</v>
      </c>
      <c r="O57" s="51" t="s">
        <v>173</v>
      </c>
      <c r="P57" s="46" t="str">
        <f t="shared" si="9"/>
        <v>REVERSE TRADE</v>
      </c>
      <c r="Q57" s="52"/>
      <c r="R57" s="53">
        <f t="shared" si="10"/>
        <v>15</v>
      </c>
      <c r="S57" s="53">
        <f>IFERROR(__xludf.DUMMYFUNCTION("IFERROR(ROUND(GOOGLEFINANCE(A57,""volume"")/GOOGLEFINANCE(A57,""volumeavg""),2),"""")"),2.09)</f>
        <v>2.09</v>
      </c>
      <c r="T57" s="53" t="str">
        <f t="shared" si="11"/>
        <v>HIGH VOL</v>
      </c>
      <c r="U57" s="53">
        <f>IFERROR(__xludf.DUMMYFUNCTION("IFERROR(
  LET(
    sd, GOOGLEFINANCE(A57,""close"",TODAY()-100,TODAY()),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"""")"),1.2)</f>
        <v>1.2</v>
      </c>
      <c r="V57" s="53" t="str">
        <f t="shared" si="12"/>
        <v>FAST</v>
      </c>
      <c r="W57" s="53">
        <f>IFERROR(__xludf.DUMMYFUNCTION("IFERROR(ROUND((B57/GOOGLEFINANCE(A57,""high52"")-1)*100,1),"""")"),-38.0)</f>
        <v>-38</v>
      </c>
      <c r="X57" s="53">
        <f>IFERROR(__xludf.DUMMYFUNCTION("IFERROR(ROUND((B57-GOOGLEFINANCE(A57,""low52""))/(GOOGLEFINANCE(A57,""high52"")-GOOGLEFINANCE(A57,""low52""))*100,1),"""")"),0.6)</f>
        <v>0.6</v>
      </c>
      <c r="Y57" s="53" t="str">
        <f t="shared" si="13"/>
        <v>MID</v>
      </c>
      <c r="Z57" s="53">
        <f>IFERROR(__xludf.DUMMYFUNCTION("IFERROR(ROUND(((B57 / INDEX(GOOGLEFINANCE(TRIM(A57), ""price"", TODAY()-34, TODAY()), 2, 2)) - (GOOGLEFINANCE(""NIFTY_50"") / INDEX(GOOGLEFINANCE(""NIFTY_50"", ""price"", TODAY()-34, TODAY()), 2, 2))) * 100, 2), ""Check History"")"),-6.19)</f>
        <v>-6.19</v>
      </c>
      <c r="AA57" s="53" t="str">
        <f t="shared" si="14"/>
        <v>WEAK RS</v>
      </c>
      <c r="AB57" s="53">
        <f>IFERROR(__xludf.DUMMYFUNCTION("IFERROR(LET(
  p, QUERY(GOOGLEFINANCE(TRIM(A57),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Loading"")"),62.0)</f>
        <v>62</v>
      </c>
      <c r="AC57" s="53" t="str">
        <f t="shared" si="15"/>
        <v>IDEAL ENTRY</v>
      </c>
      <c r="AD57" s="53" t="str">
        <f>IFERROR(__xludf.DUMMYFUNCTION("IFERROR(IF(GOOGLEFINANCE(A57,""eps"")&gt;0,""EPS+"",""EPS-""),"""")"),"EPS+")</f>
        <v>EPS+</v>
      </c>
      <c r="AE57" s="53">
        <f t="shared" si="16"/>
        <v>6</v>
      </c>
      <c r="AF57" s="53">
        <f>IFERROR(__xludf.DUMMYFUNCTION("IFERROR(N57+IF(S57&gt;=1.2,1,0)+IF(U57&gt;=1,1,0)+IF(Z57&gt;0,1,0)+IF(AND(W57&gt;=-20,W57&lt;=0),1,0)+IF(IFERROR(GOOGLEFINANCE(A57,""eps""),0)&gt;0,1,0),"""")"),4.0)</f>
        <v>4</v>
      </c>
      <c r="AG57" s="53" t="str">
        <f t="shared" si="17"/>
        <v>REVERSE TRADE</v>
      </c>
    </row>
    <row r="58" ht="15.0" customHeight="1">
      <c r="A58" s="43" t="s">
        <v>202</v>
      </c>
      <c r="B58" s="44">
        <f>IFERROR(__xludf.DUMMYFUNCTION("GOOGLEFINANCE(A58,""price"")"),571.6)</f>
        <v>571.6</v>
      </c>
      <c r="C58" s="45">
        <f>IFERROR(__xludf.DUMMYFUNCTION("AVERAGE(QUERY(SORT(GOOGLEFINANCE(A58,""price"",TODAY()-150,TODAY()),1,0),""select Col2 limit 50""))"),654.207)</f>
        <v>654.207</v>
      </c>
      <c r="D58" s="45">
        <f>IFERROR(__xludf.DUMMYFUNCTION("AVERAGE(QUERY(SORT(GOOGLEFINANCE(A58,""price"",TODAY()-300,TODAY()),1,0),""select Col2 limit 100""))"),689.61)</f>
        <v>689.61</v>
      </c>
      <c r="E58" s="45">
        <f>IFERROR(__xludf.DUMMYFUNCTION("AVERAGE(QUERY(SORT(GOOGLEFINANCE(A58,""price"",TODAY()-500,TODAY()),1,0),""select Col2 limit 200""))"),721.8409999999993)</f>
        <v>721.841</v>
      </c>
      <c r="F58" s="46" t="str">
        <f t="shared" si="1"/>
        <v>In Bear Run</v>
      </c>
      <c r="G58" s="47">
        <f t="shared" si="2"/>
        <v>-20.81358637</v>
      </c>
      <c r="H58" s="48" t="str">
        <f t="shared" si="3"/>
        <v>Inverted ✗</v>
      </c>
      <c r="I58" s="48">
        <f t="shared" si="4"/>
        <v>0</v>
      </c>
      <c r="J58" s="48">
        <f t="shared" si="5"/>
        <v>0</v>
      </c>
      <c r="K58" s="49" t="str">
        <f>IFERROR(__xludf.DUMMYFUNCTION("IFERROR(IF(A58="""",""ENTER STOCK"",LET(stock,A58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8" s="48">
        <f t="shared" si="6"/>
        <v>0</v>
      </c>
      <c r="M58" s="48">
        <f t="shared" si="7"/>
        <v>1</v>
      </c>
      <c r="N58" s="50">
        <f t="shared" si="8"/>
        <v>1</v>
      </c>
      <c r="O58" s="51" t="s">
        <v>155</v>
      </c>
      <c r="P58" s="46" t="str">
        <f t="shared" si="9"/>
        <v>REVERSE TRADE</v>
      </c>
      <c r="Q58" s="52"/>
      <c r="R58" s="53">
        <f t="shared" si="10"/>
        <v>15</v>
      </c>
      <c r="S58" s="53">
        <f>IFERROR(__xludf.DUMMYFUNCTION("IFERROR(ROUND(GOOGLEFINANCE(A58,""volume"")/GOOGLEFINANCE(A58,""volumeavg""),2),"""")"),2.09)</f>
        <v>2.09</v>
      </c>
      <c r="T58" s="53" t="str">
        <f t="shared" si="11"/>
        <v>HIGH VOL</v>
      </c>
      <c r="U58" s="53">
        <f>IFERROR(__xludf.DUMMYFUNCTION("IFERROR(
  LET(
    sd, GOOGLEFINANCE(A58,""close"",TODAY()-100,TODAY()),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"""")"),1.36)</f>
        <v>1.36</v>
      </c>
      <c r="V58" s="53" t="str">
        <f t="shared" si="12"/>
        <v>FAST</v>
      </c>
      <c r="W58" s="53">
        <f>IFERROR(__xludf.DUMMYFUNCTION("IFERROR(ROUND((B58/GOOGLEFINANCE(A58,""high52"")-1)*100,1),"""")"),-33.0)</f>
        <v>-33</v>
      </c>
      <c r="X58" s="53">
        <f>IFERROR(__xludf.DUMMYFUNCTION("IFERROR(ROUND((B58-GOOGLEFINANCE(A58,""low52""))/(GOOGLEFINANCE(A58,""high52"")-GOOGLEFINANCE(A58,""low52""))*100,1),"""")"),0.9)</f>
        <v>0.9</v>
      </c>
      <c r="Y58" s="53" t="str">
        <f t="shared" si="13"/>
        <v>MID</v>
      </c>
      <c r="Z58" s="53">
        <f>IFERROR(__xludf.DUMMYFUNCTION("IFERROR(ROUND(((B58 / INDEX(GOOGLEFINANCE(TRIM(A58), ""price"", TODAY()-34, TODAY()), 2, 2)) - (GOOGLEFINANCE(""NIFTY_50"") / INDEX(GOOGLEFINANCE(""NIFTY_50"", ""price"", TODAY()-34, TODAY()), 2, 2))) * 100, 2), ""Check History"")"),-3.3)</f>
        <v>-3.3</v>
      </c>
      <c r="AA58" s="53" t="str">
        <f t="shared" si="14"/>
        <v>WEAK RS</v>
      </c>
      <c r="AB58" s="53">
        <f>IFERROR(__xludf.DUMMYFUNCTION("IFERROR(LET(
  p, QUERY(GOOGLEFINANCE(TRIM(A58),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Loading"")"),33.4)</f>
        <v>33.4</v>
      </c>
      <c r="AC58" s="53" t="str">
        <f t="shared" si="15"/>
        <v>WEAK MOM</v>
      </c>
      <c r="AD58" s="53" t="str">
        <f>IFERROR(__xludf.DUMMYFUNCTION("IFERROR(IF(GOOGLEFINANCE(A58,""eps"")&gt;0,""EPS+"",""EPS-""),"""")"),"EPS+")</f>
        <v>EPS+</v>
      </c>
      <c r="AE58" s="53">
        <f t="shared" si="16"/>
        <v>6</v>
      </c>
      <c r="AF58" s="53">
        <f>IFERROR(__xludf.DUMMYFUNCTION("IFERROR(N58+IF(S58&gt;=1.2,1,0)+IF(U58&gt;=1,1,0)+IF(Z58&gt;0,1,0)+IF(AND(W58&gt;=-20,W58&lt;=0),1,0)+IF(IFERROR(GOOGLEFINANCE(A58,""eps""),0)&gt;0,1,0),"""")"),4.0)</f>
        <v>4</v>
      </c>
      <c r="AG58" s="53" t="str">
        <f t="shared" si="17"/>
        <v>REVERSE TRADE</v>
      </c>
    </row>
    <row r="59" ht="15.0" customHeight="1">
      <c r="A59" s="43" t="s">
        <v>203</v>
      </c>
      <c r="B59" s="44">
        <f>IFERROR(__xludf.DUMMYFUNCTION("GOOGLEFINANCE(A59,""price"")"),8749.0)</f>
        <v>8749</v>
      </c>
      <c r="C59" s="45">
        <f>IFERROR(__xludf.DUMMYFUNCTION("AVERAGE(QUERY(SORT(GOOGLEFINANCE(A59,""price"",TODAY()-150,TODAY()),1,0),""select Col2 limit 50""))"),10516.8)</f>
        <v>10516.8</v>
      </c>
      <c r="D59" s="45">
        <f>IFERROR(__xludf.DUMMYFUNCTION("AVERAGE(QUERY(SORT(GOOGLEFINANCE(A59,""price"",TODAY()-300,TODAY()),1,0),""select Col2 limit 100""))"),10984.09)</f>
        <v>10984.09</v>
      </c>
      <c r="E59" s="45">
        <f>IFERROR(__xludf.DUMMYFUNCTION("AVERAGE(QUERY(SORT(GOOGLEFINANCE(A59,""price"",TODAY()-500,TODAY()),1,0),""select Col2 limit 200""))"),12185.13)</f>
        <v>12185.13</v>
      </c>
      <c r="F59" s="46" t="str">
        <f t="shared" si="1"/>
        <v>In Bear Run</v>
      </c>
      <c r="G59" s="47">
        <f t="shared" si="2"/>
        <v>-28.19937087</v>
      </c>
      <c r="H59" s="48" t="str">
        <f t="shared" si="3"/>
        <v>Inverted ✗</v>
      </c>
      <c r="I59" s="48">
        <f t="shared" si="4"/>
        <v>0</v>
      </c>
      <c r="J59" s="48">
        <f t="shared" si="5"/>
        <v>0</v>
      </c>
      <c r="K59" s="49" t="str">
        <f>IFERROR(__xludf.DUMMYFUNCTION("IFERROR(IF(A59="""",""ENTER STOCK"",LET(stock,A59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9" s="48">
        <f t="shared" si="6"/>
        <v>0</v>
      </c>
      <c r="M59" s="48">
        <f t="shared" si="7"/>
        <v>1</v>
      </c>
      <c r="N59" s="50">
        <f t="shared" si="8"/>
        <v>1</v>
      </c>
      <c r="O59" s="51" t="s">
        <v>204</v>
      </c>
      <c r="P59" s="46" t="str">
        <f t="shared" si="9"/>
        <v>REVERSE TRADE</v>
      </c>
      <c r="Q59" s="52"/>
      <c r="R59" s="53">
        <f t="shared" si="10"/>
        <v>15</v>
      </c>
      <c r="S59" s="53">
        <f>IFERROR(__xludf.DUMMYFUNCTION("IFERROR(ROUND(GOOGLEFINANCE(A59,""volume"")/GOOGLEFINANCE(A59,""volumeavg""),2),"""")"),1.86)</f>
        <v>1.86</v>
      </c>
      <c r="T59" s="53" t="str">
        <f t="shared" si="11"/>
        <v>HIGH VOL</v>
      </c>
      <c r="U59" s="53">
        <f>IFERROR(__xludf.DUMMYFUNCTION("IFERROR(
  LET(
    sd, GOOGLEFINANCE(A59,""close"",TODAY()-100,TODAY()),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"""")"),1.11)</f>
        <v>1.11</v>
      </c>
      <c r="V59" s="53" t="str">
        <f t="shared" si="12"/>
        <v>MEDIUM</v>
      </c>
      <c r="W59" s="53">
        <f>IFERROR(__xludf.DUMMYFUNCTION("IFERROR(ROUND((B59/GOOGLEFINANCE(A59,""high52"")-1)*100,1),"""")"),-40.7)</f>
        <v>-40.7</v>
      </c>
      <c r="X59" s="53">
        <f>IFERROR(__xludf.DUMMYFUNCTION("IFERROR(ROUND((B59-GOOGLEFINANCE(A59,""low52""))/(GOOGLEFINANCE(A59,""high52"")-GOOGLEFINANCE(A59,""low52""))*100,1),"""")"),0.6)</f>
        <v>0.6</v>
      </c>
      <c r="Y59" s="53" t="str">
        <f t="shared" si="13"/>
        <v>DEEP RECOVERY</v>
      </c>
      <c r="Z59" s="53">
        <f>IFERROR(__xludf.DUMMYFUNCTION("IFERROR(ROUND(((B59 / INDEX(GOOGLEFINANCE(TRIM(A59), ""price"", TODAY()-34, TODAY()), 2, 2)) - (GOOGLEFINANCE(""NIFTY_50"") / INDEX(GOOGLEFINANCE(""NIFTY_50"", ""price"", TODAY()-34, TODAY()), 2, 2))) * 100, 2), ""Check History"")"),-10.61)</f>
        <v>-10.61</v>
      </c>
      <c r="AA59" s="53" t="str">
        <f t="shared" si="14"/>
        <v>WEAK RS</v>
      </c>
      <c r="AB59" s="53">
        <f>IFERROR(__xludf.DUMMYFUNCTION("IFERROR(LET(
  p, QUERY(GOOGLEFINANCE(TRIM(A59),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Loading"")"),31.4)</f>
        <v>31.4</v>
      </c>
      <c r="AC59" s="53" t="str">
        <f t="shared" si="15"/>
        <v>WEAK MOM</v>
      </c>
      <c r="AD59" s="53" t="str">
        <f>IFERROR(__xludf.DUMMYFUNCTION("IFERROR(IF(GOOGLEFINANCE(A59,""eps"")&gt;0,""EPS+"",""EPS-""),"""")"),"EPS+")</f>
        <v>EPS+</v>
      </c>
      <c r="AE59" s="53">
        <f t="shared" si="16"/>
        <v>5</v>
      </c>
      <c r="AF59" s="53">
        <f>IFERROR(__xludf.DUMMYFUNCTION("IFERROR(N59+IF(S59&gt;=1.2,1,0)+IF(U59&gt;=1,1,0)+IF(Z59&gt;0,1,0)+IF(AND(W59&gt;=-20,W59&lt;=0),1,0)+IF(IFERROR(GOOGLEFINANCE(A59,""eps""),0)&gt;0,1,0),"""")"),4.0)</f>
        <v>4</v>
      </c>
      <c r="AG59" s="53" t="str">
        <f t="shared" si="17"/>
        <v>REVERSE TRADE</v>
      </c>
    </row>
    <row r="60" ht="15.0" customHeight="1">
      <c r="A60" s="43" t="s">
        <v>205</v>
      </c>
      <c r="B60" s="44">
        <f>IFERROR(__xludf.DUMMYFUNCTION("GOOGLEFINANCE(A60,""price"")"),508.65)</f>
        <v>508.65</v>
      </c>
      <c r="C60" s="45">
        <f>IFERROR(__xludf.DUMMYFUNCTION("AVERAGE(QUERY(SORT(GOOGLEFINANCE(A60,""price"",TODAY()-150,TODAY()),1,0),""select Col2 limit 50""))"),596.0660000000001)</f>
        <v>596.066</v>
      </c>
      <c r="D60" s="45">
        <f>IFERROR(__xludf.DUMMYFUNCTION("AVERAGE(QUERY(SORT(GOOGLEFINANCE(A60,""price"",TODAY()-300,TODAY()),1,0),""select Col2 limit 100""))"),631.0015000000002)</f>
        <v>631.0015</v>
      </c>
      <c r="E60" s="45">
        <f>IFERROR(__xludf.DUMMYFUNCTION("AVERAGE(QUERY(SORT(GOOGLEFINANCE(A60,""price"",TODAY()-500,TODAY()),1,0),""select Col2 limit 200""))"),665.5947500000003)</f>
        <v>665.59475</v>
      </c>
      <c r="F60" s="46" t="str">
        <f t="shared" si="1"/>
        <v>In Bear Run</v>
      </c>
      <c r="G60" s="47">
        <f t="shared" si="2"/>
        <v>-23.57962559</v>
      </c>
      <c r="H60" s="48" t="str">
        <f t="shared" si="3"/>
        <v>Inverted ✗</v>
      </c>
      <c r="I60" s="48">
        <f t="shared" si="4"/>
        <v>0</v>
      </c>
      <c r="J60" s="48">
        <f t="shared" si="5"/>
        <v>0</v>
      </c>
      <c r="K60" s="49" t="str">
        <f>IFERROR(__xludf.DUMMYFUNCTION("IFERROR(IF(A60="""",""ENTER STOCK"",LET(stock,A60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60" s="48">
        <f t="shared" si="6"/>
        <v>0</v>
      </c>
      <c r="M60" s="48">
        <f t="shared" si="7"/>
        <v>1</v>
      </c>
      <c r="N60" s="50">
        <f t="shared" si="8"/>
        <v>1</v>
      </c>
      <c r="O60" s="51" t="s">
        <v>121</v>
      </c>
      <c r="P60" s="46" t="str">
        <f t="shared" si="9"/>
        <v>REVERSE TRADE</v>
      </c>
      <c r="Q60" s="52"/>
      <c r="R60" s="53">
        <f t="shared" si="10"/>
        <v>15</v>
      </c>
      <c r="S60" s="53">
        <f>IFERROR(__xludf.DUMMYFUNCTION("IFERROR(ROUND(GOOGLEFINANCE(A60,""volume"")/GOOGLEFINANCE(A60,""volumeavg""),2),"""")"),2.27)</f>
        <v>2.27</v>
      </c>
      <c r="T60" s="53" t="str">
        <f t="shared" si="11"/>
        <v>HIGH VOL</v>
      </c>
      <c r="U60" s="53">
        <f>IFERROR(__xludf.DUMMYFUNCTION("IFERROR(
  LET(
    sd, GOOGLEFINANCE(A60,""close"",TODAY()-100,TODAY()),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"""")"),1.14)</f>
        <v>1.14</v>
      </c>
      <c r="V60" s="53" t="str">
        <f t="shared" si="12"/>
        <v>MEDIUM</v>
      </c>
      <c r="W60" s="53">
        <f>IFERROR(__xludf.DUMMYFUNCTION("IFERROR(ROUND((B60/GOOGLEFINANCE(A60,""high52"")-1)*100,1),"""")"),-36.2)</f>
        <v>-36.2</v>
      </c>
      <c r="X60" s="53">
        <f>IFERROR(__xludf.DUMMYFUNCTION("IFERROR(ROUND((B60-GOOGLEFINANCE(A60,""low52""))/(GOOGLEFINANCE(A60,""high52"")-GOOGLEFINANCE(A60,""low52""))*100,1),"""")"),0.4)</f>
        <v>0.4</v>
      </c>
      <c r="Y60" s="53" t="str">
        <f t="shared" si="13"/>
        <v>MID</v>
      </c>
      <c r="Z60" s="53">
        <f>IFERROR(__xludf.DUMMYFUNCTION("IFERROR(ROUND(((B60 / INDEX(GOOGLEFINANCE(TRIM(A60), ""price"", TODAY()-34, TODAY()), 2, 2)) - (GOOGLEFINANCE(""NIFTY_50"") / INDEX(GOOGLEFINANCE(""NIFTY_50"", ""price"", TODAY()-34, TODAY()), 2, 2))) * 100, 2), ""Check History"")"),1.07)</f>
        <v>1.07</v>
      </c>
      <c r="AA60" s="53" t="str">
        <f t="shared" si="14"/>
        <v>MILD RS</v>
      </c>
      <c r="AB60" s="53">
        <f>IFERROR(__xludf.DUMMYFUNCTION("IFERROR(LET(
  p, QUERY(GOOGLEFINANCE(TRIM(A60),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Loading"")"),49.4)</f>
        <v>49.4</v>
      </c>
      <c r="AC60" s="53" t="str">
        <f t="shared" si="15"/>
        <v>IDEAL ENTRY</v>
      </c>
      <c r="AD60" s="53" t="str">
        <f>IFERROR(__xludf.DUMMYFUNCTION("IFERROR(IF(GOOGLEFINANCE(A60,""eps"")&gt;0,""EPS+"",""EPS-""),"""")"),"EPS+")</f>
        <v>EPS+</v>
      </c>
      <c r="AE60" s="53">
        <f t="shared" si="16"/>
        <v>6</v>
      </c>
      <c r="AF60" s="53">
        <f>IFERROR(__xludf.DUMMYFUNCTION("IFERROR(N60+IF(S60&gt;=1.2,1,0)+IF(U60&gt;=1,1,0)+IF(Z60&gt;0,1,0)+IF(AND(W60&gt;=-20,W60&lt;=0),1,0)+IF(IFERROR(GOOGLEFINANCE(A60,""eps""),0)&gt;0,1,0),"""")"),5.0)</f>
        <v>5</v>
      </c>
      <c r="AG60" s="53" t="str">
        <f t="shared" si="17"/>
        <v>REVERSE TRADE</v>
      </c>
    </row>
    <row r="61" ht="15.0" customHeight="1">
      <c r="A61" s="43" t="s">
        <v>206</v>
      </c>
      <c r="B61" s="44">
        <f>IFERROR(__xludf.DUMMYFUNCTION("GOOGLEFINANCE(A61,""price"")"),752.0)</f>
        <v>752</v>
      </c>
      <c r="C61" s="45">
        <f>IFERROR(__xludf.DUMMYFUNCTION("AVERAGE(QUERY(SORT(GOOGLEFINANCE(A61,""price"",TODAY()-150,TODAY()),1,0),""select Col2 limit 50""))"),949.2089999999998)</f>
        <v>949.209</v>
      </c>
      <c r="D61" s="45">
        <f>IFERROR(__xludf.DUMMYFUNCTION("AVERAGE(QUERY(SORT(GOOGLEFINANCE(A61,""price"",TODAY()-300,TODAY()),1,0),""select Col2 limit 100""))"),991.2905000000001)</f>
        <v>991.2905</v>
      </c>
      <c r="E61" s="45">
        <f>IFERROR(__xludf.DUMMYFUNCTION("AVERAGE(QUERY(SORT(GOOGLEFINANCE(A61,""price"",TODAY()-500,TODAY()),1,0),""select Col2 limit 200""))"),1084.9112500000003)</f>
        <v>1084.91125</v>
      </c>
      <c r="F61" s="46" t="str">
        <f t="shared" si="1"/>
        <v>In Bear Run</v>
      </c>
      <c r="G61" s="47">
        <f t="shared" si="2"/>
        <v>-30.68557451</v>
      </c>
      <c r="H61" s="48" t="str">
        <f t="shared" si="3"/>
        <v>Inverted ✗</v>
      </c>
      <c r="I61" s="48">
        <f t="shared" si="4"/>
        <v>0</v>
      </c>
      <c r="J61" s="48">
        <f t="shared" si="5"/>
        <v>0</v>
      </c>
      <c r="K61" s="49" t="str">
        <f>IFERROR(__xludf.DUMMYFUNCTION("IFERROR(IF(A61="""",""ENTER STOCK"",LET(stock,A61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61" s="48">
        <f t="shared" si="6"/>
        <v>0</v>
      </c>
      <c r="M61" s="48">
        <f t="shared" si="7"/>
        <v>1</v>
      </c>
      <c r="N61" s="50">
        <f t="shared" si="8"/>
        <v>1</v>
      </c>
      <c r="O61" s="51" t="s">
        <v>204</v>
      </c>
      <c r="P61" s="46" t="str">
        <f t="shared" si="9"/>
        <v>REVERSE TRADE</v>
      </c>
      <c r="Q61" s="52"/>
      <c r="R61" s="53">
        <f t="shared" si="10"/>
        <v>15</v>
      </c>
      <c r="S61" s="53">
        <f>IFERROR(__xludf.DUMMYFUNCTION("IFERROR(ROUND(GOOGLEFINANCE(A61,""volume"")/GOOGLEFINANCE(A61,""volumeavg""),2),"""")"),0.95)</f>
        <v>0.95</v>
      </c>
      <c r="T61" s="53" t="str">
        <f t="shared" si="11"/>
        <v>LOW VOL</v>
      </c>
      <c r="U61" s="53">
        <f>IFERROR(__xludf.DUMMYFUNCTION("IFERROR(
  LET(
    sd, GOOGLEFINANCE(A61,""close"",TODAY()-100,TODAY()),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"""")"),1.08)</f>
        <v>1.08</v>
      </c>
      <c r="V61" s="53" t="str">
        <f t="shared" si="12"/>
        <v>MEDIUM</v>
      </c>
      <c r="W61" s="53">
        <f>IFERROR(__xludf.DUMMYFUNCTION("IFERROR(ROUND((B61/GOOGLEFINANCE(A61,""high52"")-1)*100,1),"""")"),-45.9)</f>
        <v>-45.9</v>
      </c>
      <c r="X61" s="53">
        <f>IFERROR(__xludf.DUMMYFUNCTION("IFERROR(ROUND((B61-GOOGLEFINANCE(A61,""low52""))/(GOOGLEFINANCE(A61,""high52"")-GOOGLEFINANCE(A61,""low52""))*100,1),"""")"),1.2)</f>
        <v>1.2</v>
      </c>
      <c r="Y61" s="53" t="str">
        <f t="shared" si="13"/>
        <v>DEEP RECOVERY</v>
      </c>
      <c r="Z61" s="53">
        <f>IFERROR(__xludf.DUMMYFUNCTION("IFERROR(ROUND(((B61 / INDEX(GOOGLEFINANCE(TRIM(A61), ""price"", TODAY()-34, TODAY()), 2, 2)) - (GOOGLEFINANCE(""NIFTY_50"") / INDEX(GOOGLEFINANCE(""NIFTY_50"", ""price"", TODAY()-34, TODAY()), 2, 2))) * 100, 2), ""Check History"")"),-16.24)</f>
        <v>-16.24</v>
      </c>
      <c r="AA61" s="53" t="str">
        <f t="shared" si="14"/>
        <v>WEAK RS</v>
      </c>
      <c r="AB61" s="53">
        <f>IFERROR(__xludf.DUMMYFUNCTION("IFERROR(LET(
  p, QUERY(GOOGLEFINANCE(TRIM(A61),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Loading"")"),25.6)</f>
        <v>25.6</v>
      </c>
      <c r="AC61" s="53" t="str">
        <f t="shared" si="15"/>
        <v>WEAK MOM</v>
      </c>
      <c r="AD61" s="53" t="str">
        <f>IFERROR(__xludf.DUMMYFUNCTION("IFERROR(IF(GOOGLEFINANCE(A61,""eps"")&gt;0,""EPS+"",""EPS-""),"""")"),"EPS+")</f>
        <v>EPS+</v>
      </c>
      <c r="AE61" s="53">
        <f t="shared" si="16"/>
        <v>2</v>
      </c>
      <c r="AF61" s="53">
        <f>IFERROR(__xludf.DUMMYFUNCTION("IFERROR(N61+IF(S61&gt;=1.2,1,0)+IF(U61&gt;=1,1,0)+IF(Z61&gt;0,1,0)+IF(AND(W61&gt;=-20,W61&lt;=0),1,0)+IF(IFERROR(GOOGLEFINANCE(A61,""eps""),0)&gt;0,1,0),"""")"),3.0)</f>
        <v>3</v>
      </c>
      <c r="AG61" s="53" t="str">
        <f t="shared" si="17"/>
        <v>REVERSE TRADE</v>
      </c>
    </row>
    <row r="62" ht="15.0" customHeight="1">
      <c r="A62" s="43" t="s">
        <v>207</v>
      </c>
      <c r="B62" s="44">
        <f>IFERROR(__xludf.DUMMYFUNCTION("GOOGLEFINANCE(A62,""price"")"),3110.0)</f>
        <v>3110</v>
      </c>
      <c r="C62" s="45">
        <f>IFERROR(__xludf.DUMMYFUNCTION("AVERAGE(QUERY(SORT(GOOGLEFINANCE(A62,""price"",TODAY()-150,TODAY()),1,0),""select Col2 limit 50""))"),2867.356000000001)</f>
        <v>2867.356</v>
      </c>
      <c r="D62" s="45">
        <f>IFERROR(__xludf.DUMMYFUNCTION("AVERAGE(QUERY(SORT(GOOGLEFINANCE(A62,""price"",TODAY()-300,TODAY()),1,0),""select Col2 limit 100""))"),2957.8479999999995)</f>
        <v>2957.848</v>
      </c>
      <c r="E62" s="45">
        <f>IFERROR(__xludf.DUMMYFUNCTION("AVERAGE(QUERY(SORT(GOOGLEFINANCE(A62,""price"",TODAY()-500,TODAY()),1,0),""select Col2 limit 200""))"),3088.788999999999)</f>
        <v>3088.789</v>
      </c>
      <c r="F62" s="46" t="str">
        <f t="shared" si="1"/>
        <v>In Bull Run</v>
      </c>
      <c r="G62" s="47">
        <f t="shared" si="2"/>
        <v>0.6867092573</v>
      </c>
      <c r="H62" s="48" t="str">
        <f t="shared" si="3"/>
        <v>Inverted ✗</v>
      </c>
      <c r="I62" s="48">
        <f t="shared" si="4"/>
        <v>0</v>
      </c>
      <c r="J62" s="48">
        <f t="shared" si="5"/>
        <v>2</v>
      </c>
      <c r="K62" s="49" t="str">
        <f>IFERROR(__xludf.DUMMYFUNCTION("IFERROR(IF(A62="""",""ENTER STOCK"",LET(stock,A62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62" s="48">
        <f t="shared" si="6"/>
        <v>0</v>
      </c>
      <c r="M62" s="48">
        <f t="shared" si="7"/>
        <v>1</v>
      </c>
      <c r="N62" s="50">
        <f t="shared" si="8"/>
        <v>3</v>
      </c>
      <c r="O62" s="51" t="s">
        <v>129</v>
      </c>
      <c r="P62" s="46" t="str">
        <f t="shared" si="9"/>
        <v>SKIP</v>
      </c>
      <c r="Q62" s="52"/>
      <c r="R62" s="53">
        <f t="shared" si="10"/>
        <v>15</v>
      </c>
      <c r="S62" s="53">
        <f>IFERROR(__xludf.DUMMYFUNCTION("IFERROR(ROUND(GOOGLEFINANCE(A62,""volume"")/GOOGLEFINANCE(A62,""volumeavg""),2),"""")"),0.8)</f>
        <v>0.8</v>
      </c>
      <c r="T62" s="53" t="str">
        <f t="shared" si="11"/>
        <v>LOW VOL</v>
      </c>
      <c r="U62" s="53">
        <f>IFERROR(__xludf.DUMMYFUNCTION("IFERROR(
  LET(
    sd, GOOGLEFINANCE(A62,""close"",TODAY()-100,TODAY()),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"""")"),1.26)</f>
        <v>1.26</v>
      </c>
      <c r="V62" s="53" t="str">
        <f t="shared" si="12"/>
        <v>FAST</v>
      </c>
      <c r="W62" s="53">
        <f>IFERROR(__xludf.DUMMYFUNCTION("IFERROR(ROUND((B62/GOOGLEFINANCE(A62,""high52"")-1)*100,1),"""")"),-19.5)</f>
        <v>-19.5</v>
      </c>
      <c r="X62" s="53">
        <f>IFERROR(__xludf.DUMMYFUNCTION("IFERROR(ROUND((B62-GOOGLEFINANCE(A62,""low52""))/(GOOGLEFINANCE(A62,""high52"")-GOOGLEFINANCE(A62,""low52""))*100,1),"""")"),62.3)</f>
        <v>62.3</v>
      </c>
      <c r="Y62" s="53" t="str">
        <f t="shared" si="13"/>
        <v>UPPER</v>
      </c>
      <c r="Z62" s="53">
        <f>IFERROR(__xludf.DUMMYFUNCTION("IFERROR(ROUND(((B62 / INDEX(GOOGLEFINANCE(TRIM(A62), ""price"", TODAY()-34, TODAY()), 2, 2)) - (GOOGLEFINANCE(""NIFTY_50"") / INDEX(GOOGLEFINANCE(""NIFTY_50"", ""price"", TODAY()-34, TODAY()), 2, 2))) * 100, 2), ""Check History"")"),15.03)</f>
        <v>15.03</v>
      </c>
      <c r="AA62" s="53" t="str">
        <f t="shared" si="14"/>
        <v>STRONG RS</v>
      </c>
      <c r="AB62" s="53">
        <f>IFERROR(__xludf.DUMMYFUNCTION("IFERROR(LET(
  p, QUERY(GOOGLEFINANCE(TRIM(A62),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Loading"")"),56.4)</f>
        <v>56.4</v>
      </c>
      <c r="AC62" s="53" t="str">
        <f t="shared" si="15"/>
        <v>IDEAL ENTRY</v>
      </c>
      <c r="AD62" s="53" t="str">
        <f>IFERROR(__xludf.DUMMYFUNCTION("IFERROR(IF(GOOGLEFINANCE(A62,""eps"")&gt;0,""EPS+"",""EPS-""),"""")"),"EPS+")</f>
        <v>EPS+</v>
      </c>
      <c r="AE62" s="53">
        <f t="shared" si="16"/>
        <v>6</v>
      </c>
      <c r="AF62" s="53">
        <f>IFERROR(__xludf.DUMMYFUNCTION("IFERROR(N62+IF(S62&gt;=1.2,1,0)+IF(U62&gt;=1,1,0)+IF(Z62&gt;0,1,0)+IF(AND(W62&gt;=-20,W62&lt;=0),1,0)+IF(IFERROR(GOOGLEFINANCE(A62,""eps""),0)&gt;0,1,0),"""")"),7.0)</f>
        <v>7</v>
      </c>
      <c r="AG62" s="53" t="str">
        <f t="shared" si="17"/>
        <v>WATCH</v>
      </c>
    </row>
    <row r="63" ht="15.0" customHeight="1">
      <c r="A63" s="43" t="s">
        <v>208</v>
      </c>
      <c r="B63" s="44">
        <f>IFERROR(__xludf.DUMMYFUNCTION("GOOGLEFINANCE(A63,""price"")"),1195.0)</f>
        <v>1195</v>
      </c>
      <c r="C63" s="45">
        <f>IFERROR(__xludf.DUMMYFUNCTION("AVERAGE(QUERY(SORT(GOOGLEFINANCE(A63,""price"",TODAY()-150,TODAY()),1,0),""select Col2 limit 50""))"),1461.9119999999998)</f>
        <v>1461.912</v>
      </c>
      <c r="D63" s="45">
        <f>IFERROR(__xludf.DUMMYFUNCTION("AVERAGE(QUERY(SORT(GOOGLEFINANCE(A63,""price"",TODAY()-300,TODAY()),1,0),""select Col2 limit 100""))"),1555.444)</f>
        <v>1555.444</v>
      </c>
      <c r="E63" s="45">
        <f>IFERROR(__xludf.DUMMYFUNCTION("AVERAGE(QUERY(SORT(GOOGLEFINANCE(A63,""price"",TODAY()-500,TODAY()),1,0),""select Col2 limit 200""))"),1705.5539999999999)</f>
        <v>1705.554</v>
      </c>
      <c r="F63" s="46" t="str">
        <f t="shared" si="1"/>
        <v>In Bear Run</v>
      </c>
      <c r="G63" s="47">
        <f t="shared" si="2"/>
        <v>-29.93478952</v>
      </c>
      <c r="H63" s="48" t="str">
        <f t="shared" si="3"/>
        <v>Inverted ✗</v>
      </c>
      <c r="I63" s="48">
        <f t="shared" si="4"/>
        <v>0</v>
      </c>
      <c r="J63" s="48">
        <f t="shared" si="5"/>
        <v>0</v>
      </c>
      <c r="K63" s="49" t="str">
        <f>IFERROR(__xludf.DUMMYFUNCTION("IFERROR(IF(A63="""",""ENTER STOCK"",LET(stock,A63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63" s="48">
        <f t="shared" si="6"/>
        <v>0</v>
      </c>
      <c r="M63" s="48">
        <f t="shared" si="7"/>
        <v>1</v>
      </c>
      <c r="N63" s="50">
        <f t="shared" si="8"/>
        <v>1</v>
      </c>
      <c r="O63" s="51" t="s">
        <v>209</v>
      </c>
      <c r="P63" s="46" t="str">
        <f t="shared" si="9"/>
        <v>REVERSE TRADE</v>
      </c>
      <c r="Q63" s="52"/>
      <c r="R63" s="53">
        <f t="shared" si="10"/>
        <v>15</v>
      </c>
      <c r="S63" s="53">
        <f>IFERROR(__xludf.DUMMYFUNCTION("IFERROR(ROUND(GOOGLEFINANCE(A63,""volume"")/GOOGLEFINANCE(A63,""volumeavg""),2),"""")"),2.37)</f>
        <v>2.37</v>
      </c>
      <c r="T63" s="53" t="str">
        <f t="shared" si="11"/>
        <v>HIGH VOL</v>
      </c>
      <c r="U63" s="53">
        <f>IFERROR(__xludf.DUMMYFUNCTION("IFERROR(
  LET(
    sd, GOOGLEFINANCE(A63,""close"",TODAY()-100,TODAY()),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"""")"),1.37)</f>
        <v>1.37</v>
      </c>
      <c r="V63" s="53" t="str">
        <f t="shared" si="12"/>
        <v>FAST</v>
      </c>
      <c r="W63" s="53">
        <f>IFERROR(__xludf.DUMMYFUNCTION("IFERROR(ROUND((B63/GOOGLEFINANCE(A63,""high52"")-1)*100,1),"""")"),-53.0)</f>
        <v>-53</v>
      </c>
      <c r="X63" s="53">
        <f>IFERROR(__xludf.DUMMYFUNCTION("IFERROR(ROUND((B63-GOOGLEFINANCE(A63,""low52""))/(GOOGLEFINANCE(A63,""high52"")-GOOGLEFINANCE(A63,""low52""))*100,1),"""")"),0.6)</f>
        <v>0.6</v>
      </c>
      <c r="Y63" s="53" t="str">
        <f t="shared" si="13"/>
        <v>DEEP RECOVERY</v>
      </c>
      <c r="Z63" s="53">
        <f>IFERROR(__xludf.DUMMYFUNCTION("IFERROR(ROUND(((B63 / INDEX(GOOGLEFINANCE(TRIM(A63), ""price"", TODAY()-34, TODAY()), 2, 2)) - (GOOGLEFINANCE(""NIFTY_50"") / INDEX(GOOGLEFINANCE(""NIFTY_50"", ""price"", TODAY()-34, TODAY()), 2, 2))) * 100, 2), ""Check History"")"),-7.63)</f>
        <v>-7.63</v>
      </c>
      <c r="AA63" s="53" t="str">
        <f t="shared" si="14"/>
        <v>WEAK RS</v>
      </c>
      <c r="AB63" s="53">
        <f>IFERROR(__xludf.DUMMYFUNCTION("IFERROR(LET(
  p, QUERY(GOOGLEFINANCE(TRIM(A63),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Loading"")"),39.1)</f>
        <v>39.1</v>
      </c>
      <c r="AC63" s="53" t="str">
        <f t="shared" si="15"/>
        <v>WEAK MOM</v>
      </c>
      <c r="AD63" s="53" t="str">
        <f>IFERROR(__xludf.DUMMYFUNCTION("IFERROR(IF(GOOGLEFINANCE(A63,""eps"")&gt;0,""EPS+"",""EPS-""),"""")"),"EPS+")</f>
        <v>EPS+</v>
      </c>
      <c r="AE63" s="53">
        <f t="shared" si="16"/>
        <v>6</v>
      </c>
      <c r="AF63" s="53">
        <f>IFERROR(__xludf.DUMMYFUNCTION("IFERROR(N63+IF(S63&gt;=1.2,1,0)+IF(U63&gt;=1,1,0)+IF(Z63&gt;0,1,0)+IF(AND(W63&gt;=-20,W63&lt;=0),1,0)+IF(IFERROR(GOOGLEFINANCE(A63,""eps""),0)&gt;0,1,0),"""")"),4.0)</f>
        <v>4</v>
      </c>
      <c r="AG63" s="53" t="str">
        <f t="shared" si="17"/>
        <v>REVERSE TRADE</v>
      </c>
    </row>
    <row r="64" ht="15.0" customHeight="1">
      <c r="A64" s="43" t="s">
        <v>210</v>
      </c>
      <c r="B64" s="44">
        <f>IFERROR(__xludf.DUMMYFUNCTION("GOOGLEFINANCE(A64,""price"")"),2719.5)</f>
        <v>2719.5</v>
      </c>
      <c r="C64" s="45">
        <f>IFERROR(__xludf.DUMMYFUNCTION("AVERAGE(QUERY(SORT(GOOGLEFINANCE(A64,""price"",TODAY()-150,TODAY()),1,0),""select Col2 limit 50""))"),3068.8160000000003)</f>
        <v>3068.816</v>
      </c>
      <c r="D64" s="45">
        <f>IFERROR(__xludf.DUMMYFUNCTION("AVERAGE(QUERY(SORT(GOOGLEFINANCE(A64,""price"",TODAY()-300,TODAY()),1,0),""select Col2 limit 100""))"),3228.1089999999995)</f>
        <v>3228.109</v>
      </c>
      <c r="E64" s="45">
        <f>IFERROR(__xludf.DUMMYFUNCTION("AVERAGE(QUERY(SORT(GOOGLEFINANCE(A64,""price"",TODAY()-500,TODAY()),1,0),""select Col2 limit 200""))"),3545.7890000000007)</f>
        <v>3545.789</v>
      </c>
      <c r="F64" s="46" t="str">
        <f t="shared" si="1"/>
        <v>In Bear Run</v>
      </c>
      <c r="G64" s="47">
        <f t="shared" si="2"/>
        <v>-23.30338889</v>
      </c>
      <c r="H64" s="48" t="str">
        <f t="shared" si="3"/>
        <v>Inverted ✗</v>
      </c>
      <c r="I64" s="48">
        <f t="shared" si="4"/>
        <v>0</v>
      </c>
      <c r="J64" s="48">
        <f t="shared" si="5"/>
        <v>0</v>
      </c>
      <c r="K64" s="49" t="str">
        <f>IFERROR(__xludf.DUMMYFUNCTION("IFERROR(IF(A64="""",""ENTER STOCK"",LET(stock,A64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64" s="48">
        <f t="shared" si="6"/>
        <v>0</v>
      </c>
      <c r="M64" s="48">
        <f t="shared" si="7"/>
        <v>1</v>
      </c>
      <c r="N64" s="50">
        <f t="shared" si="8"/>
        <v>1</v>
      </c>
      <c r="O64" s="51" t="s">
        <v>211</v>
      </c>
      <c r="P64" s="46" t="str">
        <f t="shared" si="9"/>
        <v>REVERSE TRADE</v>
      </c>
      <c r="Q64" s="52"/>
      <c r="R64" s="53">
        <f t="shared" si="10"/>
        <v>15</v>
      </c>
      <c r="S64" s="53">
        <f>IFERROR(__xludf.DUMMYFUNCTION("IFERROR(ROUND(GOOGLEFINANCE(A64,""volume"")/GOOGLEFINANCE(A64,""volumeavg""),2),"""")"),1.37)</f>
        <v>1.37</v>
      </c>
      <c r="T64" s="53" t="str">
        <f t="shared" si="11"/>
        <v>OK VOL</v>
      </c>
      <c r="U64" s="53">
        <f>IFERROR(__xludf.DUMMYFUNCTION("IFERROR(
  LET(
    sd, GOOGLEFINANCE(A64,""close"",TODAY()-100,TODAY()),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"""")"),1.08)</f>
        <v>1.08</v>
      </c>
      <c r="V64" s="53" t="str">
        <f t="shared" si="12"/>
        <v>MEDIUM</v>
      </c>
      <c r="W64" s="53">
        <f>IFERROR(__xludf.DUMMYFUNCTION("IFERROR(ROUND((B64/GOOGLEFINANCE(A64,""high52"")-1)*100,1),"""")"),-37.2)</f>
        <v>-37.2</v>
      </c>
      <c r="X64" s="53">
        <f>IFERROR(__xludf.DUMMYFUNCTION("IFERROR(ROUND((B64-GOOGLEFINANCE(A64,""low52""))/(GOOGLEFINANCE(A64,""high52"")-GOOGLEFINANCE(A64,""low52""))*100,1),"""")"),1.2)</f>
        <v>1.2</v>
      </c>
      <c r="Y64" s="53" t="str">
        <f t="shared" si="13"/>
        <v>MID</v>
      </c>
      <c r="Z64" s="53">
        <f>IFERROR(__xludf.DUMMYFUNCTION("IFERROR(ROUND(((B64 / INDEX(GOOGLEFINANCE(TRIM(A64), ""price"", TODAY()-34, TODAY()), 2, 2)) - (GOOGLEFINANCE(""NIFTY_50"") / INDEX(GOOGLEFINANCE(""NIFTY_50"", ""price"", TODAY()-34, TODAY()), 2, 2))) * 100, 2), ""Check History"")"),-0.31)</f>
        <v>-0.31</v>
      </c>
      <c r="AA64" s="53" t="str">
        <f t="shared" si="14"/>
        <v>WEAK RS</v>
      </c>
      <c r="AB64" s="53">
        <f>IFERROR(__xludf.DUMMYFUNCTION("IFERROR(LET(
  p, QUERY(GOOGLEFINANCE(TRIM(A64),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Loading"")"),44.5)</f>
        <v>44.5</v>
      </c>
      <c r="AC64" s="53" t="str">
        <f t="shared" si="15"/>
        <v>WEAK MOM</v>
      </c>
      <c r="AD64" s="53" t="str">
        <f>IFERROR(__xludf.DUMMYFUNCTION("IFERROR(IF(GOOGLEFINANCE(A64,""eps"")&gt;0,""EPS+"",""EPS-""),"""")"),"EPS+")</f>
        <v>EPS+</v>
      </c>
      <c r="AE64" s="53">
        <f t="shared" si="16"/>
        <v>4</v>
      </c>
      <c r="AF64" s="53">
        <f>IFERROR(__xludf.DUMMYFUNCTION("IFERROR(N64+IF(S64&gt;=1.2,1,0)+IF(U64&gt;=1,1,0)+IF(Z64&gt;0,1,0)+IF(AND(W64&gt;=-20,W64&lt;=0),1,0)+IF(IFERROR(GOOGLEFINANCE(A64,""eps""),0)&gt;0,1,0),"""")"),4.0)</f>
        <v>4</v>
      </c>
      <c r="AG64" s="53" t="str">
        <f t="shared" si="17"/>
        <v>REVERSE TRADE</v>
      </c>
    </row>
    <row r="65" ht="15.0" customHeight="1">
      <c r="A65" s="43" t="s">
        <v>212</v>
      </c>
      <c r="B65" s="44">
        <f>IFERROR(__xludf.DUMMYFUNCTION("GOOGLEFINANCE(A65,""price"")"),4850.0)</f>
        <v>4850</v>
      </c>
      <c r="C65" s="45">
        <f>IFERROR(__xludf.DUMMYFUNCTION("AVERAGE(QUERY(SORT(GOOGLEFINANCE(A65,""price"",TODAY()-150,TODAY()),1,0),""select Col2 limit 50""))"),5366.048000000001)</f>
        <v>5366.048</v>
      </c>
      <c r="D65" s="45">
        <f>IFERROR(__xludf.DUMMYFUNCTION("AVERAGE(QUERY(SORT(GOOGLEFINANCE(A65,""price"",TODAY()-300,TODAY()),1,0),""select Col2 limit 100""))"),5814.044)</f>
        <v>5814.044</v>
      </c>
      <c r="E65" s="45">
        <f>IFERROR(__xludf.DUMMYFUNCTION("AVERAGE(QUERY(SORT(GOOGLEFINANCE(A65,""price"",TODAY()-500,TODAY()),1,0),""select Col2 limit 200""))"),5664.1309999999985)</f>
        <v>5664.131</v>
      </c>
      <c r="F65" s="46" t="str">
        <f t="shared" si="1"/>
        <v>In Bear Run</v>
      </c>
      <c r="G65" s="47">
        <f t="shared" si="2"/>
        <v>-14.37344934</v>
      </c>
      <c r="H65" s="48" t="str">
        <f t="shared" si="3"/>
        <v>Inverted ✗</v>
      </c>
      <c r="I65" s="48">
        <f t="shared" si="4"/>
        <v>0</v>
      </c>
      <c r="J65" s="48">
        <f t="shared" si="5"/>
        <v>0</v>
      </c>
      <c r="K65" s="49" t="str">
        <f>IFERROR(__xludf.DUMMYFUNCTION("IFERROR(IF(A65="""",""ENTER STOCK"",LET(stock,A65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65" s="48">
        <f t="shared" si="6"/>
        <v>0</v>
      </c>
      <c r="M65" s="48">
        <f t="shared" si="7"/>
        <v>1</v>
      </c>
      <c r="N65" s="50">
        <f t="shared" si="8"/>
        <v>1</v>
      </c>
      <c r="O65" s="51" t="s">
        <v>121</v>
      </c>
      <c r="P65" s="46" t="str">
        <f t="shared" si="9"/>
        <v>REVERSE TRADE</v>
      </c>
      <c r="Q65" s="52"/>
      <c r="R65" s="53">
        <f t="shared" si="10"/>
        <v>15</v>
      </c>
      <c r="S65" s="53">
        <f>IFERROR(__xludf.DUMMYFUNCTION("IFERROR(ROUND(GOOGLEFINANCE(A65,""volume"")/GOOGLEFINANCE(A65,""volumeavg""),2),"""")"),1.55)</f>
        <v>1.55</v>
      </c>
      <c r="T65" s="53" t="str">
        <f t="shared" si="11"/>
        <v>HIGH VOL</v>
      </c>
      <c r="U65" s="53">
        <f>IFERROR(__xludf.DUMMYFUNCTION("IFERROR(
  LET(
    sd, GOOGLEFINANCE(A65,""close"",TODAY()-100,TODAY()),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"""")"),0.6)</f>
        <v>0.6</v>
      </c>
      <c r="V65" s="53" t="str">
        <f t="shared" si="12"/>
        <v>SLOW</v>
      </c>
      <c r="W65" s="53">
        <f>IFERROR(__xludf.DUMMYFUNCTION("IFERROR(ROUND((B65/GOOGLEFINANCE(A65,""high52"")-1)*100,1),"""")"),-26.5)</f>
        <v>-26.5</v>
      </c>
      <c r="X65" s="53">
        <f>IFERROR(__xludf.DUMMYFUNCTION("IFERROR(ROUND((B65-GOOGLEFINANCE(A65,""low52""))/(GOOGLEFINANCE(A65,""high52"")-GOOGLEFINANCE(A65,""low52""))*100,1),"""")"),28.6)</f>
        <v>28.6</v>
      </c>
      <c r="Y65" s="53" t="str">
        <f t="shared" si="13"/>
        <v>MID</v>
      </c>
      <c r="Z65" s="53">
        <f>IFERROR(__xludf.DUMMYFUNCTION("IFERROR(ROUND(((B65 / INDEX(GOOGLEFINANCE(TRIM(A65), ""price"", TODAY()-34, TODAY()), 2, 2)) - (GOOGLEFINANCE(""NIFTY_50"") / INDEX(GOOGLEFINANCE(""NIFTY_50"", ""price"", TODAY()-34, TODAY()), 2, 2))) * 100, 2), ""Check History"")"),16.2)</f>
        <v>16.2</v>
      </c>
      <c r="AA65" s="53" t="str">
        <f t="shared" si="14"/>
        <v>STRONG RS</v>
      </c>
      <c r="AB65" s="53">
        <f>IFERROR(__xludf.DUMMYFUNCTION("IFERROR(LET(
  p, QUERY(GOOGLEFINANCE(TRIM(A65),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Loading"")"),58.6)</f>
        <v>58.6</v>
      </c>
      <c r="AC65" s="53" t="str">
        <f t="shared" si="15"/>
        <v>IDEAL ENTRY</v>
      </c>
      <c r="AD65" s="53" t="str">
        <f>IFERROR(__xludf.DUMMYFUNCTION("IFERROR(IF(GOOGLEFINANCE(A65,""eps"")&gt;0,""EPS+"",""EPS-""),"""")"),"EPS+")</f>
        <v>EPS+</v>
      </c>
      <c r="AE65" s="53">
        <f t="shared" si="16"/>
        <v>6</v>
      </c>
      <c r="AF65" s="53">
        <f>IFERROR(__xludf.DUMMYFUNCTION("IFERROR(N65+IF(S65&gt;=1.2,1,0)+IF(U65&gt;=1,1,0)+IF(Z65&gt;0,1,0)+IF(AND(W65&gt;=-20,W65&lt;=0),1,0)+IF(IFERROR(GOOGLEFINANCE(A65,""eps""),0)&gt;0,1,0),"""")"),4.0)</f>
        <v>4</v>
      </c>
      <c r="AG65" s="53" t="str">
        <f t="shared" si="17"/>
        <v>REVERSE TRADE</v>
      </c>
    </row>
    <row r="66" ht="15.0" customHeight="1">
      <c r="A66" s="43" t="s">
        <v>213</v>
      </c>
      <c r="B66" s="44">
        <f>IFERROR(__xludf.DUMMYFUNCTION("GOOGLEFINANCE(A66,""price"")"),1092.0)</f>
        <v>1092</v>
      </c>
      <c r="C66" s="45">
        <f>IFERROR(__xludf.DUMMYFUNCTION("AVERAGE(QUERY(SORT(GOOGLEFINANCE(A66,""price"",TODAY()-150,TODAY()),1,0),""select Col2 limit 50""))"),1320.802)</f>
        <v>1320.802</v>
      </c>
      <c r="D66" s="45">
        <f>IFERROR(__xludf.DUMMYFUNCTION("AVERAGE(QUERY(SORT(GOOGLEFINANCE(A66,""price"",TODAY()-300,TODAY()),1,0),""select Col2 limit 100""))"),1402.2490000000003)</f>
        <v>1402.249</v>
      </c>
      <c r="E66" s="45">
        <f>IFERROR(__xludf.DUMMYFUNCTION("AVERAGE(QUERY(SORT(GOOGLEFINANCE(A66,""price"",TODAY()-500,TODAY()),1,0),""select Col2 limit 200""))"),1523.8090000000002)</f>
        <v>1523.809</v>
      </c>
      <c r="F66" s="46" t="str">
        <f t="shared" si="1"/>
        <v>In Bear Run</v>
      </c>
      <c r="G66" s="47">
        <f t="shared" si="2"/>
        <v>-28.33747537</v>
      </c>
      <c r="H66" s="48" t="str">
        <f t="shared" si="3"/>
        <v>Inverted ✗</v>
      </c>
      <c r="I66" s="48">
        <f t="shared" si="4"/>
        <v>0</v>
      </c>
      <c r="J66" s="48">
        <f t="shared" si="5"/>
        <v>0</v>
      </c>
      <c r="K66" s="49" t="str">
        <f>IFERROR(__xludf.DUMMYFUNCTION("IFERROR(IF(A66="""",""ENTER STOCK"",LET(stock,A66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66" s="48">
        <f t="shared" si="6"/>
        <v>0</v>
      </c>
      <c r="M66" s="48">
        <f t="shared" si="7"/>
        <v>1</v>
      </c>
      <c r="N66" s="50">
        <f t="shared" si="8"/>
        <v>1</v>
      </c>
      <c r="O66" s="51" t="s">
        <v>214</v>
      </c>
      <c r="P66" s="46" t="str">
        <f t="shared" si="9"/>
        <v>REVERSE TRADE</v>
      </c>
      <c r="Q66" s="52"/>
      <c r="R66" s="53">
        <f t="shared" si="10"/>
        <v>15</v>
      </c>
      <c r="S66" s="53">
        <f>IFERROR(__xludf.DUMMYFUNCTION("IFERROR(ROUND(GOOGLEFINANCE(A66,""volume"")/GOOGLEFINANCE(A66,""volumeavg""),2),"""")"),1.61)</f>
        <v>1.61</v>
      </c>
      <c r="T66" s="53" t="str">
        <f t="shared" si="11"/>
        <v>HIGH VOL</v>
      </c>
      <c r="U66" s="53">
        <f>IFERROR(__xludf.DUMMYFUNCTION("IFERROR(
  LET(
    sd, GOOGLEFINANCE(A66,""close"",TODAY()-100,TODAY()),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"""")"),1.35)</f>
        <v>1.35</v>
      </c>
      <c r="V66" s="53" t="str">
        <f t="shared" si="12"/>
        <v>FAST</v>
      </c>
      <c r="W66" s="53">
        <f>IFERROR(__xludf.DUMMYFUNCTION("IFERROR(ROUND((B66/GOOGLEFINANCE(A66,""high52"")-1)*100,1),"""")"),-47.9)</f>
        <v>-47.9</v>
      </c>
      <c r="X66" s="53">
        <f>IFERROR(__xludf.DUMMYFUNCTION("IFERROR(ROUND((B66-GOOGLEFINANCE(A66,""low52""))/(GOOGLEFINANCE(A66,""high52"")-GOOGLEFINANCE(A66,""low52""))*100,1),"""")"),0.6)</f>
        <v>0.6</v>
      </c>
      <c r="Y66" s="53" t="str">
        <f t="shared" si="13"/>
        <v>DEEP RECOVERY</v>
      </c>
      <c r="Z66" s="53">
        <f>IFERROR(__xludf.DUMMYFUNCTION("IFERROR(ROUND(((B66 / INDEX(GOOGLEFINANCE(TRIM(A66), ""price"", TODAY()-34, TODAY()), 2, 2)) - (GOOGLEFINANCE(""NIFTY_50"") / INDEX(GOOGLEFINANCE(""NIFTY_50"", ""price"", TODAY()-34, TODAY()), 2, 2))) * 100, 2), ""Check History"")"),0.22)</f>
        <v>0.22</v>
      </c>
      <c r="AA66" s="53" t="str">
        <f t="shared" si="14"/>
        <v>MILD RS</v>
      </c>
      <c r="AB66" s="53">
        <f>IFERROR(__xludf.DUMMYFUNCTION("IFERROR(LET(
  p, QUERY(GOOGLEFINANCE(TRIM(A66),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Loading"")"),36.0)</f>
        <v>36</v>
      </c>
      <c r="AC66" s="53" t="str">
        <f t="shared" si="15"/>
        <v>WEAK MOM</v>
      </c>
      <c r="AD66" s="53" t="str">
        <f>IFERROR(__xludf.DUMMYFUNCTION("IFERROR(IF(GOOGLEFINANCE(A66,""eps"")&gt;0,""EPS+"",""EPS-""),"""")"),"EPS+")</f>
        <v>EPS+</v>
      </c>
      <c r="AE66" s="53">
        <f t="shared" si="16"/>
        <v>7</v>
      </c>
      <c r="AF66" s="53">
        <f>IFERROR(__xludf.DUMMYFUNCTION("IFERROR(N66+IF(S66&gt;=1.2,1,0)+IF(U66&gt;=1,1,0)+IF(Z66&gt;0,1,0)+IF(AND(W66&gt;=-20,W66&lt;=0),1,0)+IF(IFERROR(GOOGLEFINANCE(A66,""eps""),0)&gt;0,1,0),"""")"),5.0)</f>
        <v>5</v>
      </c>
      <c r="AG66" s="53" t="str">
        <f t="shared" si="17"/>
        <v>REVERSE TRADE</v>
      </c>
    </row>
    <row r="67" ht="15.0" customHeight="1">
      <c r="A67" s="43" t="s">
        <v>215</v>
      </c>
      <c r="B67" s="44">
        <f>IFERROR(__xludf.DUMMYFUNCTION("GOOGLEFINANCE(A67,""price"")"),23000.0)</f>
        <v>23000</v>
      </c>
      <c r="C67" s="45">
        <f>IFERROR(__xludf.DUMMYFUNCTION("AVERAGE(QUERY(SORT(GOOGLEFINANCE(A67,""price"",TODAY()-150,TODAY()),1,0),""select Col2 limit 50""))"),25768.4)</f>
        <v>25768.4</v>
      </c>
      <c r="D67" s="45">
        <f>IFERROR(__xludf.DUMMYFUNCTION("AVERAGE(QUERY(SORT(GOOGLEFINANCE(A67,""price"",TODAY()-300,TODAY()),1,0),""select Col2 limit 100""))"),26195.55)</f>
        <v>26195.55</v>
      </c>
      <c r="E67" s="45">
        <f>IFERROR(__xludf.DUMMYFUNCTION("AVERAGE(QUERY(SORT(GOOGLEFINANCE(A67,""price"",TODAY()-500,TODAY()),1,0),""select Col2 limit 200""))"),28136.725)</f>
        <v>28136.725</v>
      </c>
      <c r="F67" s="46" t="str">
        <f t="shared" si="1"/>
        <v>In Bear Run</v>
      </c>
      <c r="G67" s="47">
        <f t="shared" si="2"/>
        <v>-18.25630026</v>
      </c>
      <c r="H67" s="48" t="str">
        <f t="shared" si="3"/>
        <v>Inverted ✗</v>
      </c>
      <c r="I67" s="48">
        <f t="shared" si="4"/>
        <v>0</v>
      </c>
      <c r="J67" s="48">
        <f t="shared" si="5"/>
        <v>0</v>
      </c>
      <c r="K67" s="49" t="str">
        <f>IFERROR(__xludf.DUMMYFUNCTION("IFERROR(IF(A67="""",""ENTER STOCK"",LET(stock,A67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67" s="48">
        <f t="shared" si="6"/>
        <v>0</v>
      </c>
      <c r="M67" s="48">
        <f t="shared" si="7"/>
        <v>1</v>
      </c>
      <c r="N67" s="50">
        <f t="shared" si="8"/>
        <v>1</v>
      </c>
      <c r="O67" s="51" t="s">
        <v>192</v>
      </c>
      <c r="P67" s="46" t="str">
        <f t="shared" si="9"/>
        <v>REVERSE TRADE</v>
      </c>
      <c r="Q67" s="52"/>
      <c r="R67" s="53">
        <f t="shared" si="10"/>
        <v>15</v>
      </c>
      <c r="S67" s="53">
        <f>IFERROR(__xludf.DUMMYFUNCTION("IFERROR(ROUND(GOOGLEFINANCE(A67,""volume"")/GOOGLEFINANCE(A67,""volumeavg""),2),"""")"),2.83)</f>
        <v>2.83</v>
      </c>
      <c r="T67" s="53" t="str">
        <f t="shared" si="11"/>
        <v>HIGH VOL</v>
      </c>
      <c r="U67" s="53">
        <f>IFERROR(__xludf.DUMMYFUNCTION("IFERROR(
  LET(
    sd, GOOGLEFINANCE(A67,""close"",TODAY()-100,TODAY()),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"""")"),1.12)</f>
        <v>1.12</v>
      </c>
      <c r="V67" s="53" t="str">
        <f t="shared" si="12"/>
        <v>MEDIUM</v>
      </c>
      <c r="W67" s="53">
        <f>IFERROR(__xludf.DUMMYFUNCTION("IFERROR(ROUND((B67/GOOGLEFINANCE(A67,""high52"")-1)*100,1),"""")"),-29.2)</f>
        <v>-29.2</v>
      </c>
      <c r="X67" s="53">
        <f>IFERROR(__xludf.DUMMYFUNCTION("IFERROR(ROUND((B67-GOOGLEFINANCE(A67,""low52""))/(GOOGLEFINANCE(A67,""high52"")-GOOGLEFINANCE(A67,""low52""))*100,1),"""")"),4.5)</f>
        <v>4.5</v>
      </c>
      <c r="Y67" s="53" t="str">
        <f t="shared" si="13"/>
        <v>MID</v>
      </c>
      <c r="Z67" s="53">
        <f>IFERROR(__xludf.DUMMYFUNCTION("IFERROR(ROUND(((B67 / INDEX(GOOGLEFINANCE(TRIM(A67), ""price"", TODAY()-34, TODAY()), 2, 2)) - (GOOGLEFINANCE(""NIFTY_50"") / INDEX(GOOGLEFINANCE(""NIFTY_50"", ""price"", TODAY()-34, TODAY()), 2, 2))) * 100, 2), ""Check History"")"),-1.12)</f>
        <v>-1.12</v>
      </c>
      <c r="AA67" s="53" t="str">
        <f t="shared" si="14"/>
        <v>WEAK RS</v>
      </c>
      <c r="AB67" s="53">
        <f>IFERROR(__xludf.DUMMYFUNCTION("IFERROR(LET(
  p, QUERY(GOOGLEFINANCE(TRIM(A67),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Loading"")"),45.7)</f>
        <v>45.7</v>
      </c>
      <c r="AC67" s="53" t="str">
        <f t="shared" si="15"/>
        <v>IDEAL ENTRY</v>
      </c>
      <c r="AD67" s="53" t="str">
        <f>IFERROR(__xludf.DUMMYFUNCTION("IFERROR(IF(GOOGLEFINANCE(A67,""eps"")&gt;0,""EPS+"",""EPS-""),"""")"),"EPS+")</f>
        <v>EPS+</v>
      </c>
      <c r="AE67" s="53">
        <f t="shared" si="16"/>
        <v>5</v>
      </c>
      <c r="AF67" s="53">
        <f>IFERROR(__xludf.DUMMYFUNCTION("IFERROR(N67+IF(S67&gt;=1.2,1,0)+IF(U67&gt;=1,1,0)+IF(Z67&gt;0,1,0)+IF(AND(W67&gt;=-20,W67&lt;=0),1,0)+IF(IFERROR(GOOGLEFINANCE(A67,""eps""),0)&gt;0,1,0),"""")"),4.0)</f>
        <v>4</v>
      </c>
      <c r="AG67" s="53" t="str">
        <f t="shared" si="17"/>
        <v>REVERSE TRADE</v>
      </c>
    </row>
    <row r="68" ht="15.0" customHeight="1">
      <c r="A68" s="43" t="s">
        <v>216</v>
      </c>
      <c r="B68" s="44">
        <f>IFERROR(__xludf.DUMMYFUNCTION("GOOGLEFINANCE(A68,""price"")"),3771.0)</f>
        <v>3771</v>
      </c>
      <c r="C68" s="45">
        <f>IFERROR(__xludf.DUMMYFUNCTION("AVERAGE(QUERY(SORT(GOOGLEFINANCE(A68,""price"",TODAY()-150,TODAY()),1,0),""select Col2 limit 50""))"),4432.392000000001)</f>
        <v>4432.392</v>
      </c>
      <c r="D68" s="45">
        <f>IFERROR(__xludf.DUMMYFUNCTION("AVERAGE(QUERY(SORT(GOOGLEFINANCE(A68,""price"",TODAY()-300,TODAY()),1,0),""select Col2 limit 100""))"),4475.739000000001)</f>
        <v>4475.739</v>
      </c>
      <c r="E68" s="45">
        <f>IFERROR(__xludf.DUMMYFUNCTION("AVERAGE(QUERY(SORT(GOOGLEFINANCE(A68,""price"",TODAY()-500,TODAY()),1,0),""select Col2 limit 200""))"),4874.803000000001)</f>
        <v>4874.803</v>
      </c>
      <c r="F68" s="46" t="str">
        <f t="shared" si="1"/>
        <v>In Bear Run</v>
      </c>
      <c r="G68" s="47">
        <f t="shared" si="2"/>
        <v>-22.64302783</v>
      </c>
      <c r="H68" s="48" t="str">
        <f t="shared" si="3"/>
        <v>Inverted ✗</v>
      </c>
      <c r="I68" s="48">
        <f t="shared" si="4"/>
        <v>0</v>
      </c>
      <c r="J68" s="48">
        <f t="shared" si="5"/>
        <v>0</v>
      </c>
      <c r="K68" s="49" t="str">
        <f>IFERROR(__xludf.DUMMYFUNCTION("IFERROR(IF(A68="""",""ENTER STOCK"",LET(stock,A68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68" s="48">
        <f t="shared" si="6"/>
        <v>0</v>
      </c>
      <c r="M68" s="48">
        <f t="shared" si="7"/>
        <v>1</v>
      </c>
      <c r="N68" s="50">
        <f t="shared" si="8"/>
        <v>1</v>
      </c>
      <c r="O68" s="51" t="s">
        <v>173</v>
      </c>
      <c r="P68" s="46" t="str">
        <f t="shared" si="9"/>
        <v>REVERSE TRADE</v>
      </c>
      <c r="Q68" s="52"/>
      <c r="R68" s="53">
        <f t="shared" si="10"/>
        <v>15</v>
      </c>
      <c r="S68" s="53">
        <f>IFERROR(__xludf.DUMMYFUNCTION("IFERROR(ROUND(GOOGLEFINANCE(A68,""volume"")/GOOGLEFINANCE(A68,""volumeavg""),2),"""")"),2.18)</f>
        <v>2.18</v>
      </c>
      <c r="T68" s="53" t="str">
        <f t="shared" si="11"/>
        <v>HIGH VOL</v>
      </c>
      <c r="U68" s="53">
        <f>IFERROR(__xludf.DUMMYFUNCTION("IFERROR(
  LET(
    sd, GOOGLEFINANCE(A68,""close"",TODAY()-100,TODAY()),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"""")"),0.45)</f>
        <v>0.45</v>
      </c>
      <c r="V68" s="53" t="str">
        <f t="shared" si="12"/>
        <v>SLOW</v>
      </c>
      <c r="W68" s="53">
        <f>IFERROR(__xludf.DUMMYFUNCTION("IFERROR(ROUND((B68/GOOGLEFINANCE(A68,""high52"")-1)*100,1),"""")"),-38.6)</f>
        <v>-38.6</v>
      </c>
      <c r="X68" s="53">
        <f>IFERROR(__xludf.DUMMYFUNCTION("IFERROR(ROUND((B68-GOOGLEFINANCE(A68,""low52""))/(GOOGLEFINANCE(A68,""high52"")-GOOGLEFINANCE(A68,""low52""))*100,1),"""")"),1.5)</f>
        <v>1.5</v>
      </c>
      <c r="Y68" s="53" t="str">
        <f t="shared" si="13"/>
        <v>MID</v>
      </c>
      <c r="Z68" s="53">
        <f>IFERROR(__xludf.DUMMYFUNCTION("IFERROR(ROUND(((B68 / INDEX(GOOGLEFINANCE(TRIM(A68), ""price"", TODAY()-34, TODAY()), 2, 2)) - (GOOGLEFINANCE(""NIFTY_50"") / INDEX(GOOGLEFINANCE(""NIFTY_50"", ""price"", TODAY()-34, TODAY()), 2, 2))) * 100, 2), ""Check History"")"),-4.18)</f>
        <v>-4.18</v>
      </c>
      <c r="AA68" s="53" t="str">
        <f t="shared" si="14"/>
        <v>WEAK RS</v>
      </c>
      <c r="AB68" s="53">
        <f>IFERROR(__xludf.DUMMYFUNCTION("IFERROR(LET(
  p, QUERY(GOOGLEFINANCE(TRIM(A68),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Loading"")"),28.6)</f>
        <v>28.6</v>
      </c>
      <c r="AC68" s="53" t="str">
        <f t="shared" si="15"/>
        <v>WEAK MOM</v>
      </c>
      <c r="AD68" s="53" t="str">
        <f>IFERROR(__xludf.DUMMYFUNCTION("IFERROR(IF(GOOGLEFINANCE(A68,""eps"")&gt;0,""EPS+"",""EPS-""),"""")"),"EPS+")</f>
        <v>EPS+</v>
      </c>
      <c r="AE68" s="53">
        <f t="shared" si="16"/>
        <v>3</v>
      </c>
      <c r="AF68" s="53">
        <f>IFERROR(__xludf.DUMMYFUNCTION("IFERROR(N68+IF(S68&gt;=1.2,1,0)+IF(U68&gt;=1,1,0)+IF(Z68&gt;0,1,0)+IF(AND(W68&gt;=-20,W68&lt;=0),1,0)+IF(IFERROR(GOOGLEFINANCE(A68,""eps""),0)&gt;0,1,0),"""")"),3.0)</f>
        <v>3</v>
      </c>
      <c r="AG68" s="53" t="str">
        <f t="shared" si="17"/>
        <v>REVERSE TRADE</v>
      </c>
    </row>
    <row r="69" ht="15.0" customHeight="1">
      <c r="A69" s="43" t="s">
        <v>217</v>
      </c>
      <c r="B69" s="44">
        <f>IFERROR(__xludf.DUMMYFUNCTION("GOOGLEFINANCE(A69,""price"")"),1282.0)</f>
        <v>1282</v>
      </c>
      <c r="C69" s="45">
        <f>IFERROR(__xludf.DUMMYFUNCTION("AVERAGE(QUERY(SORT(GOOGLEFINANCE(A69,""price"",TODAY()-150,TODAY()),1,0),""select Col2 limit 50""))"),1541.2040000000002)</f>
        <v>1541.204</v>
      </c>
      <c r="D69" s="45">
        <f>IFERROR(__xludf.DUMMYFUNCTION("AVERAGE(QUERY(SORT(GOOGLEFINANCE(A69,""price"",TODAY()-300,TODAY()),1,0),""select Col2 limit 100""))"),1592.5510000000002)</f>
        <v>1592.551</v>
      </c>
      <c r="E69" s="45">
        <f>IFERROR(__xludf.DUMMYFUNCTION("AVERAGE(QUERY(SORT(GOOGLEFINANCE(A69,""price"",TODAY()-500,TODAY()),1,0),""select Col2 limit 200""))"),1721.248999999999)</f>
        <v>1721.249</v>
      </c>
      <c r="F69" s="46" t="str">
        <f t="shared" si="1"/>
        <v>In Bear Run</v>
      </c>
      <c r="G69" s="47">
        <f t="shared" si="2"/>
        <v>-25.51920146</v>
      </c>
      <c r="H69" s="48" t="str">
        <f t="shared" si="3"/>
        <v>Inverted ✗</v>
      </c>
      <c r="I69" s="48">
        <f t="shared" si="4"/>
        <v>0</v>
      </c>
      <c r="J69" s="48">
        <f t="shared" si="5"/>
        <v>0</v>
      </c>
      <c r="K69" s="49" t="str">
        <f>IFERROR(__xludf.DUMMYFUNCTION("IFERROR(IF(A69="""",""ENTER STOCK"",LET(stock,A69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69" s="48">
        <f t="shared" si="6"/>
        <v>0</v>
      </c>
      <c r="M69" s="48">
        <f t="shared" si="7"/>
        <v>1</v>
      </c>
      <c r="N69" s="50">
        <f t="shared" si="8"/>
        <v>1</v>
      </c>
      <c r="O69" s="51" t="s">
        <v>137</v>
      </c>
      <c r="P69" s="46" t="str">
        <f t="shared" si="9"/>
        <v>REVERSE TRADE</v>
      </c>
      <c r="Q69" s="52"/>
      <c r="R69" s="53">
        <f t="shared" si="10"/>
        <v>15</v>
      </c>
      <c r="S69" s="53">
        <f>IFERROR(__xludf.DUMMYFUNCTION("IFERROR(ROUND(GOOGLEFINANCE(A69,""volume"")/GOOGLEFINANCE(A69,""volumeavg""),2),"""")"),2.08)</f>
        <v>2.08</v>
      </c>
      <c r="T69" s="53" t="str">
        <f t="shared" si="11"/>
        <v>HIGH VOL</v>
      </c>
      <c r="U69" s="53">
        <f>IFERROR(__xludf.DUMMYFUNCTION("IFERROR(
  LET(
    sd, GOOGLEFINANCE(A69,""close"",TODAY()-100,TODAY()),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"""")"),0.91)</f>
        <v>0.91</v>
      </c>
      <c r="V69" s="53" t="str">
        <f t="shared" si="12"/>
        <v>MEDIUM</v>
      </c>
      <c r="W69" s="53">
        <f>IFERROR(__xludf.DUMMYFUNCTION("IFERROR(ROUND((B69/GOOGLEFINANCE(A69,""high52"")-1)*100,1),"""")"),-41.0)</f>
        <v>-41</v>
      </c>
      <c r="X69" s="53">
        <f>IFERROR(__xludf.DUMMYFUNCTION("IFERROR(ROUND((B69-GOOGLEFINANCE(A69,""low52""))/(GOOGLEFINANCE(A69,""high52"")-GOOGLEFINANCE(A69,""low52""))*100,1),"""")"),0.2)</f>
        <v>0.2</v>
      </c>
      <c r="Y69" s="53" t="str">
        <f t="shared" si="13"/>
        <v>DEEP RECOVERY</v>
      </c>
      <c r="Z69" s="53">
        <f>IFERROR(__xludf.DUMMYFUNCTION("IFERROR(ROUND(((B69 / INDEX(GOOGLEFINANCE(TRIM(A69), ""price"", TODAY()-34, TODAY()), 2, 2)) - (GOOGLEFINANCE(""NIFTY_50"") / INDEX(GOOGLEFINANCE(""NIFTY_50"", ""price"", TODAY()-34, TODAY()), 2, 2))) * 100, 2), ""Check History"")"),-7.12)</f>
        <v>-7.12</v>
      </c>
      <c r="AA69" s="53" t="str">
        <f t="shared" si="14"/>
        <v>WEAK RS</v>
      </c>
      <c r="AB69" s="53">
        <f>IFERROR(__xludf.DUMMYFUNCTION("IFERROR(LET(
  p, QUERY(GOOGLEFINANCE(TRIM(A69),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Loading"")"),30.3)</f>
        <v>30.3</v>
      </c>
      <c r="AC69" s="53" t="str">
        <f t="shared" si="15"/>
        <v>WEAK MOM</v>
      </c>
      <c r="AD69" s="53" t="str">
        <f>IFERROR(__xludf.DUMMYFUNCTION("IFERROR(IF(GOOGLEFINANCE(A69,""eps"")&gt;0,""EPS+"",""EPS-""),"""")"),"EPS+")</f>
        <v>EPS+</v>
      </c>
      <c r="AE69" s="53">
        <f t="shared" si="16"/>
        <v>5</v>
      </c>
      <c r="AF69" s="53">
        <f>IFERROR(__xludf.DUMMYFUNCTION("IFERROR(N69+IF(S69&gt;=1.2,1,0)+IF(U69&gt;=1,1,0)+IF(Z69&gt;0,1,0)+IF(AND(W69&gt;=-20,W69&lt;=0),1,0)+IF(IFERROR(GOOGLEFINANCE(A69,""eps""),0)&gt;0,1,0),"""")"),3.0)</f>
        <v>3</v>
      </c>
      <c r="AG69" s="53" t="str">
        <f t="shared" si="17"/>
        <v>REVERSE TRADE</v>
      </c>
    </row>
    <row r="70" ht="15.0" customHeight="1">
      <c r="A70" s="43" t="s">
        <v>218</v>
      </c>
      <c r="B70" s="44">
        <f>IFERROR(__xludf.DUMMYFUNCTION("GOOGLEFINANCE(A70,""price"")"),297.0)</f>
        <v>297</v>
      </c>
      <c r="C70" s="45">
        <f>IFERROR(__xludf.DUMMYFUNCTION("AVERAGE(QUERY(SORT(GOOGLEFINANCE(A70,""price"",TODAY()-150,TODAY()),1,0),""select Col2 limit 50""))"),351.268)</f>
        <v>351.268</v>
      </c>
      <c r="D70" s="45">
        <f>IFERROR(__xludf.DUMMYFUNCTION("AVERAGE(QUERY(SORT(GOOGLEFINANCE(A70,""price"",TODAY()-300,TODAY()),1,0),""select Col2 limit 100""))"),358.6734999999998)</f>
        <v>358.6735</v>
      </c>
      <c r="E70" s="45">
        <f>IFERROR(__xludf.DUMMYFUNCTION("AVERAGE(QUERY(SORT(GOOGLEFINANCE(A70,""price"",TODAY()-500,TODAY()),1,0),""select Col2 limit 200""))"),386.1766)</f>
        <v>386.1766</v>
      </c>
      <c r="F70" s="46" t="str">
        <f t="shared" si="1"/>
        <v>In Bear Run</v>
      </c>
      <c r="G70" s="47">
        <f t="shared" si="2"/>
        <v>-23.09218114</v>
      </c>
      <c r="H70" s="48" t="str">
        <f t="shared" si="3"/>
        <v>Inverted ✗</v>
      </c>
      <c r="I70" s="48">
        <f t="shared" si="4"/>
        <v>0</v>
      </c>
      <c r="J70" s="48">
        <f t="shared" si="5"/>
        <v>0</v>
      </c>
      <c r="K70" s="49" t="str">
        <f>IFERROR(__xludf.DUMMYFUNCTION("IFERROR(IF(A70="""",""ENTER STOCK"",LET(stock,A70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70" s="48">
        <f t="shared" si="6"/>
        <v>0</v>
      </c>
      <c r="M70" s="48">
        <f t="shared" si="7"/>
        <v>1</v>
      </c>
      <c r="N70" s="50">
        <f t="shared" si="8"/>
        <v>1</v>
      </c>
      <c r="O70" s="51" t="s">
        <v>219</v>
      </c>
      <c r="P70" s="46" t="str">
        <f t="shared" si="9"/>
        <v>REVERSE TRADE</v>
      </c>
      <c r="Q70" s="52"/>
      <c r="R70" s="53">
        <f t="shared" si="10"/>
        <v>15</v>
      </c>
      <c r="S70" s="53">
        <f>IFERROR(__xludf.DUMMYFUNCTION("IFERROR(ROUND(GOOGLEFINANCE(A70,""volume"")/GOOGLEFINANCE(A70,""volumeavg""),2),"""")"),1.67)</f>
        <v>1.67</v>
      </c>
      <c r="T70" s="53" t="str">
        <f t="shared" si="11"/>
        <v>HIGH VOL</v>
      </c>
      <c r="U70" s="53">
        <f>IFERROR(__xludf.DUMMYFUNCTION("IFERROR(
  LET(
    sd, GOOGLEFINANCE(A70,""close"",TODAY()-100,TODAY()),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"""")"),1.48)</f>
        <v>1.48</v>
      </c>
      <c r="V70" s="53" t="str">
        <f t="shared" si="12"/>
        <v>FAST</v>
      </c>
      <c r="W70" s="53">
        <f>IFERROR(__xludf.DUMMYFUNCTION("IFERROR(ROUND((B70/GOOGLEFINANCE(A70,""high52"")-1)*100,1),"""")"),-29.1)</f>
        <v>-29.1</v>
      </c>
      <c r="X70" s="53">
        <f>IFERROR(__xludf.DUMMYFUNCTION("IFERROR(ROUND((B70-GOOGLEFINANCE(A70,""low52""))/(GOOGLEFINANCE(A70,""high52"")-GOOGLEFINANCE(A70,""low52""))*100,1),"""")"),2.2)</f>
        <v>2.2</v>
      </c>
      <c r="Y70" s="53" t="str">
        <f t="shared" si="13"/>
        <v>MID</v>
      </c>
      <c r="Z70" s="53">
        <f>IFERROR(__xludf.DUMMYFUNCTION("IFERROR(ROUND(((B70 / INDEX(GOOGLEFINANCE(TRIM(A70), ""price"", TODAY()-34, TODAY()), 2, 2)) - (GOOGLEFINANCE(""NIFTY_50"") / INDEX(GOOGLEFINANCE(""NIFTY_50"", ""price"", TODAY()-34, TODAY()), 2, 2))) * 100, 2), ""Check History"")"),-9.17)</f>
        <v>-9.17</v>
      </c>
      <c r="AA70" s="53" t="str">
        <f t="shared" si="14"/>
        <v>WEAK RS</v>
      </c>
      <c r="AB70" s="53">
        <f>IFERROR(__xludf.DUMMYFUNCTION("IFERROR(LET(
  p, QUERY(GOOGLEFINANCE(TRIM(A70),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Loading"")"),34.9)</f>
        <v>34.9</v>
      </c>
      <c r="AC70" s="53" t="str">
        <f t="shared" si="15"/>
        <v>WEAK MOM</v>
      </c>
      <c r="AD70" s="53" t="str">
        <f>IFERROR(__xludf.DUMMYFUNCTION("IFERROR(IF(GOOGLEFINANCE(A70,""eps"")&gt;0,""EPS+"",""EPS-""),"""")"),"")</f>
        <v/>
      </c>
      <c r="AE70" s="53">
        <f t="shared" si="16"/>
        <v>6</v>
      </c>
      <c r="AF70" s="53">
        <f>IFERROR(__xludf.DUMMYFUNCTION("IFERROR(N70+IF(S70&gt;=1.2,1,0)+IF(U70&gt;=1,1,0)+IF(Z70&gt;0,1,0)+IF(AND(W70&gt;=-20,W70&lt;=0),1,0)+IF(IFERROR(GOOGLEFINANCE(A70,""eps""),0)&gt;0,1,0),"""")"),3.0)</f>
        <v>3</v>
      </c>
      <c r="AG70" s="53" t="str">
        <f t="shared" si="17"/>
        <v>REVERSE TRADE</v>
      </c>
    </row>
    <row r="71" ht="15.0" customHeight="1">
      <c r="A71" s="43" t="s">
        <v>220</v>
      </c>
      <c r="B71" s="44">
        <f>IFERROR(__xludf.DUMMYFUNCTION("GOOGLEFINANCE(A71,""price"")"),137.8)</f>
        <v>137.8</v>
      </c>
      <c r="C71" s="45">
        <f>IFERROR(__xludf.DUMMYFUNCTION("AVERAGE(QUERY(SORT(GOOGLEFINANCE(A71,""price"",TODAY()-150,TODAY()),1,0),""select Col2 limit 50""))"),158.2108)</f>
        <v>158.2108</v>
      </c>
      <c r="D71" s="45">
        <f>IFERROR(__xludf.DUMMYFUNCTION("AVERAGE(QUERY(SORT(GOOGLEFINANCE(A71,""price"",TODAY()-300,TODAY()),1,0),""select Col2 limit 100""))"),166.40999999999994)</f>
        <v>166.41</v>
      </c>
      <c r="E71" s="45">
        <f>IFERROR(__xludf.DUMMYFUNCTION("AVERAGE(QUERY(SORT(GOOGLEFINANCE(A71,""price"",TODAY()-500,TODAY()),1,0),""select Col2 limit 200""))"),173.53999999999994)</f>
        <v>173.54</v>
      </c>
      <c r="F71" s="46" t="str">
        <f t="shared" si="1"/>
        <v>In Bear Run</v>
      </c>
      <c r="G71" s="47">
        <f t="shared" si="2"/>
        <v>-20.59467558</v>
      </c>
      <c r="H71" s="48" t="str">
        <f t="shared" si="3"/>
        <v>Inverted ✗</v>
      </c>
      <c r="I71" s="48">
        <f t="shared" si="4"/>
        <v>0</v>
      </c>
      <c r="J71" s="48">
        <f t="shared" si="5"/>
        <v>0</v>
      </c>
      <c r="K71" s="49" t="str">
        <f>IFERROR(__xludf.DUMMYFUNCTION("IFERROR(IF(A71="""",""ENTER STOCK"",LET(stock,A71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71" s="48">
        <f t="shared" si="6"/>
        <v>0</v>
      </c>
      <c r="M71" s="48">
        <f t="shared" si="7"/>
        <v>1</v>
      </c>
      <c r="N71" s="50">
        <f t="shared" si="8"/>
        <v>1</v>
      </c>
      <c r="O71" s="51" t="s">
        <v>221</v>
      </c>
      <c r="P71" s="46" t="str">
        <f t="shared" si="9"/>
        <v>REVERSE TRADE</v>
      </c>
      <c r="Q71" s="52"/>
      <c r="R71" s="53">
        <f t="shared" si="10"/>
        <v>15</v>
      </c>
      <c r="S71" s="53">
        <f>IFERROR(__xludf.DUMMYFUNCTION("IFERROR(ROUND(GOOGLEFINANCE(A71,""volume"")/GOOGLEFINANCE(A71,""volumeavg""),2),"""")"),1.51)</f>
        <v>1.51</v>
      </c>
      <c r="T71" s="53" t="str">
        <f t="shared" si="11"/>
        <v>HIGH VOL</v>
      </c>
      <c r="U71" s="53">
        <f>IFERROR(__xludf.DUMMYFUNCTION("IFERROR(
  LET(
    sd, GOOGLEFINANCE(A71,""close"",TODAY()-100,TODAY()),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"""")"),1.21)</f>
        <v>1.21</v>
      </c>
      <c r="V71" s="53" t="str">
        <f t="shared" si="12"/>
        <v>FAST</v>
      </c>
      <c r="W71" s="53">
        <f>IFERROR(__xludf.DUMMYFUNCTION("IFERROR(ROUND((B71/GOOGLEFINANCE(A71,""high52"")-1)*100,1),"""")"),-32.0)</f>
        <v>-32</v>
      </c>
      <c r="X71" s="53">
        <f>IFERROR(__xludf.DUMMYFUNCTION("IFERROR(ROUND((B71-GOOGLEFINANCE(A71,""low52""))/(GOOGLEFINANCE(A71,""high52"")-GOOGLEFINANCE(A71,""low52""))*100,1),"""")"),5.0)</f>
        <v>5</v>
      </c>
      <c r="Y71" s="53" t="str">
        <f t="shared" si="13"/>
        <v>MID</v>
      </c>
      <c r="Z71" s="53">
        <f>IFERROR(__xludf.DUMMYFUNCTION("IFERROR(ROUND(((B71 / INDEX(GOOGLEFINANCE(TRIM(A71), ""price"", TODAY()-34, TODAY()), 2, 2)) - (GOOGLEFINANCE(""NIFTY_50"") / INDEX(GOOGLEFINANCE(""NIFTY_50"", ""price"", TODAY()-34, TODAY()), 2, 2))) * 100, 2), ""Check History"")"),-5.74)</f>
        <v>-5.74</v>
      </c>
      <c r="AA71" s="53" t="str">
        <f t="shared" si="14"/>
        <v>WEAK RS</v>
      </c>
      <c r="AB71" s="53">
        <f>IFERROR(__xludf.DUMMYFUNCTION("IFERROR(LET(
  p, QUERY(GOOGLEFINANCE(TRIM(A71),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Loading"")"),36.3)</f>
        <v>36.3</v>
      </c>
      <c r="AC71" s="53" t="str">
        <f t="shared" si="15"/>
        <v>WEAK MOM</v>
      </c>
      <c r="AD71" s="53" t="str">
        <f>IFERROR(__xludf.DUMMYFUNCTION("IFERROR(IF(GOOGLEFINANCE(A71,""eps"")&gt;0,""EPS+"",""EPS-""),"""")"),"EPS+")</f>
        <v>EPS+</v>
      </c>
      <c r="AE71" s="53">
        <f t="shared" si="16"/>
        <v>6</v>
      </c>
      <c r="AF71" s="53">
        <f>IFERROR(__xludf.DUMMYFUNCTION("IFERROR(N71+IF(S71&gt;=1.2,1,0)+IF(U71&gt;=1,1,0)+IF(Z71&gt;0,1,0)+IF(AND(W71&gt;=-20,W71&lt;=0),1,0)+IF(IFERROR(GOOGLEFINANCE(A71,""eps""),0)&gt;0,1,0),"""")"),4.0)</f>
        <v>4</v>
      </c>
      <c r="AG71" s="53" t="str">
        <f t="shared" si="17"/>
        <v>REVERSE TRADE</v>
      </c>
    </row>
    <row r="72" ht="15.0" customHeight="1">
      <c r="A72" s="43" t="s">
        <v>222</v>
      </c>
      <c r="B72" s="44">
        <f>IFERROR(__xludf.DUMMYFUNCTION("GOOGLEFINANCE(A72,""price"")"),1247.8)</f>
        <v>1247.8</v>
      </c>
      <c r="C72" s="45">
        <f>IFERROR(__xludf.DUMMYFUNCTION("AVERAGE(QUERY(SORT(GOOGLEFINANCE(A72,""price"",TODAY()-150,TODAY()),1,0),""select Col2 limit 50""))"),1416.8999999999996)</f>
        <v>1416.9</v>
      </c>
      <c r="D72" s="45">
        <f>IFERROR(__xludf.DUMMYFUNCTION("AVERAGE(QUERY(SORT(GOOGLEFINANCE(A72,""price"",TODAY()-300,TODAY()),1,0),""select Col2 limit 100""))"),1498.4629999999995)</f>
        <v>1498.463</v>
      </c>
      <c r="E72" s="45">
        <f>IFERROR(__xludf.DUMMYFUNCTION("AVERAGE(QUERY(SORT(GOOGLEFINANCE(A72,""price"",TODAY()-500,TODAY()),1,0),""select Col2 limit 200""))"),1511.2065000000002)</f>
        <v>1511.2065</v>
      </c>
      <c r="F72" s="46" t="str">
        <f t="shared" si="1"/>
        <v>In Bear Run</v>
      </c>
      <c r="G72" s="47">
        <f t="shared" si="2"/>
        <v>-17.43021222</v>
      </c>
      <c r="H72" s="48" t="str">
        <f t="shared" si="3"/>
        <v>Inverted ✗</v>
      </c>
      <c r="I72" s="48">
        <f t="shared" si="4"/>
        <v>0</v>
      </c>
      <c r="J72" s="48">
        <f t="shared" si="5"/>
        <v>0</v>
      </c>
      <c r="K72" s="49" t="str">
        <f>IFERROR(__xludf.DUMMYFUNCTION("IFERROR(IF(A72="""",""ENTER STOCK"",LET(stock,A72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72" s="48">
        <f t="shared" si="6"/>
        <v>0</v>
      </c>
      <c r="M72" s="48">
        <f t="shared" si="7"/>
        <v>1</v>
      </c>
      <c r="N72" s="50">
        <f t="shared" si="8"/>
        <v>1</v>
      </c>
      <c r="O72" s="51" t="s">
        <v>121</v>
      </c>
      <c r="P72" s="46" t="str">
        <f t="shared" si="9"/>
        <v>REVERSE TRADE</v>
      </c>
      <c r="Q72" s="52"/>
      <c r="R72" s="53">
        <f t="shared" si="10"/>
        <v>15</v>
      </c>
      <c r="S72" s="53">
        <f>IFERROR(__xludf.DUMMYFUNCTION("IFERROR(ROUND(GOOGLEFINANCE(A72,""volume"")/GOOGLEFINANCE(A72,""volumeavg""),2),"""")"),1.09)</f>
        <v>1.09</v>
      </c>
      <c r="T72" s="53" t="str">
        <f t="shared" si="11"/>
        <v>LOW VOL</v>
      </c>
      <c r="U72" s="53">
        <f>IFERROR(__xludf.DUMMYFUNCTION("IFERROR(
  LET(
    sd, GOOGLEFINANCE(A72,""close"",TODAY()-100,TODAY()),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"""")"),0.44)</f>
        <v>0.44</v>
      </c>
      <c r="V72" s="53" t="str">
        <f t="shared" si="12"/>
        <v>SLOW</v>
      </c>
      <c r="W72" s="53">
        <f>IFERROR(__xludf.DUMMYFUNCTION("IFERROR(ROUND((B72/GOOGLEFINANCE(A72,""high52"")-1)*100,1),"""")"),-27.8)</f>
        <v>-27.8</v>
      </c>
      <c r="X72" s="53">
        <f>IFERROR(__xludf.DUMMYFUNCTION("IFERROR(ROUND((B72-GOOGLEFINANCE(A72,""low52""))/(GOOGLEFINANCE(A72,""high52"")-GOOGLEFINANCE(A72,""low52""))*100,1),"""")"),6.4)</f>
        <v>6.4</v>
      </c>
      <c r="Y72" s="53" t="str">
        <f t="shared" si="13"/>
        <v>MID</v>
      </c>
      <c r="Z72" s="53">
        <f>IFERROR(__xludf.DUMMYFUNCTION("IFERROR(ROUND(((B72 / INDEX(GOOGLEFINANCE(TRIM(A72), ""price"", TODAY()-34, TODAY()), 2, 2)) - (GOOGLEFINANCE(""NIFTY_50"") / INDEX(GOOGLEFINANCE(""NIFTY_50"", ""price"", TODAY()-34, TODAY()), 2, 2))) * 100, 2), ""Check History"")"),9.99)</f>
        <v>9.99</v>
      </c>
      <c r="AA72" s="53" t="str">
        <f t="shared" si="14"/>
        <v>STRONG RS</v>
      </c>
      <c r="AB72" s="53">
        <f>IFERROR(__xludf.DUMMYFUNCTION("IFERROR(LET(
  p, QUERY(GOOGLEFINANCE(TRIM(A72),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Loading"")"),44.2)</f>
        <v>44.2</v>
      </c>
      <c r="AC72" s="53" t="str">
        <f t="shared" si="15"/>
        <v>WEAK MOM</v>
      </c>
      <c r="AD72" s="53" t="str">
        <f>IFERROR(__xludf.DUMMYFUNCTION("IFERROR(IF(GOOGLEFINANCE(A72,""eps"")&gt;0,""EPS+"",""EPS-""),"""")"),"EPS+")</f>
        <v>EPS+</v>
      </c>
      <c r="AE72" s="53">
        <f t="shared" si="16"/>
        <v>3</v>
      </c>
      <c r="AF72" s="53">
        <f>IFERROR(__xludf.DUMMYFUNCTION("IFERROR(N72+IF(S72&gt;=1.2,1,0)+IF(U72&gt;=1,1,0)+IF(Z72&gt;0,1,0)+IF(AND(W72&gt;=-20,W72&lt;=0),1,0)+IF(IFERROR(GOOGLEFINANCE(A72,""eps""),0)&gt;0,1,0),"""")"),3.0)</f>
        <v>3</v>
      </c>
      <c r="AG72" s="53" t="str">
        <f t="shared" si="17"/>
        <v>REVERSE TRADE</v>
      </c>
    </row>
    <row r="73" ht="15.0" customHeight="1">
      <c r="A73" s="43" t="s">
        <v>223</v>
      </c>
      <c r="B73" s="44">
        <f>IFERROR(__xludf.DUMMYFUNCTION("GOOGLEFINANCE(A73,""price"")"),806.8)</f>
        <v>806.8</v>
      </c>
      <c r="C73" s="45">
        <f>IFERROR(__xludf.DUMMYFUNCTION("AVERAGE(QUERY(SORT(GOOGLEFINANCE(A73,""price"",TODAY()-150,TODAY()),1,0),""select Col2 limit 50""))"),904.159)</f>
        <v>904.159</v>
      </c>
      <c r="D73" s="45">
        <f>IFERROR(__xludf.DUMMYFUNCTION("AVERAGE(QUERY(SORT(GOOGLEFINANCE(A73,""price"",TODAY()-300,TODAY()),1,0),""select Col2 limit 100""))"),966.0135)</f>
        <v>966.0135</v>
      </c>
      <c r="E73" s="45">
        <f>IFERROR(__xludf.DUMMYFUNCTION("AVERAGE(QUERY(SORT(GOOGLEFINANCE(A73,""price"",TODAY()-500,TODAY()),1,0),""select Col2 limit 200""))"),984.8432500000007)</f>
        <v>984.84325</v>
      </c>
      <c r="F73" s="46" t="str">
        <f t="shared" si="1"/>
        <v>In Bear Run</v>
      </c>
      <c r="G73" s="47">
        <f t="shared" si="2"/>
        <v>-18.07833379</v>
      </c>
      <c r="H73" s="48" t="str">
        <f t="shared" si="3"/>
        <v>Inverted ✗</v>
      </c>
      <c r="I73" s="48">
        <f t="shared" si="4"/>
        <v>0</v>
      </c>
      <c r="J73" s="48">
        <f t="shared" si="5"/>
        <v>0</v>
      </c>
      <c r="K73" s="49" t="str">
        <f>IFERROR(__xludf.DUMMYFUNCTION("IFERROR(IF(A73="""",""ENTER STOCK"",LET(stock,A73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73" s="48">
        <f t="shared" si="6"/>
        <v>0</v>
      </c>
      <c r="M73" s="48">
        <f t="shared" si="7"/>
        <v>1</v>
      </c>
      <c r="N73" s="50">
        <f t="shared" si="8"/>
        <v>1</v>
      </c>
      <c r="O73" s="51" t="s">
        <v>129</v>
      </c>
      <c r="P73" s="46" t="str">
        <f t="shared" si="9"/>
        <v>REVERSE TRADE</v>
      </c>
      <c r="Q73" s="52"/>
      <c r="R73" s="53">
        <f t="shared" si="10"/>
        <v>15</v>
      </c>
      <c r="S73" s="53">
        <f>IFERROR(__xludf.DUMMYFUNCTION("IFERROR(ROUND(GOOGLEFINANCE(A73,""volume"")/GOOGLEFINANCE(A73,""volumeavg""),2),"""")"),1.18)</f>
        <v>1.18</v>
      </c>
      <c r="T73" s="53" t="str">
        <f t="shared" si="11"/>
        <v>LOW VOL</v>
      </c>
      <c r="U73" s="53">
        <f>IFERROR(__xludf.DUMMYFUNCTION("IFERROR(
  LET(
    sd, GOOGLEFINANCE(A73,""close"",TODAY()-100,TODAY()),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"""")"),1.89)</f>
        <v>1.89</v>
      </c>
      <c r="V73" s="53" t="str">
        <f t="shared" si="12"/>
        <v>FAST</v>
      </c>
      <c r="W73" s="53">
        <f>IFERROR(__xludf.DUMMYFUNCTION("IFERROR(ROUND((B73/GOOGLEFINANCE(A73,""high52"")-1)*100,1),"""")"),-31.5)</f>
        <v>-31.5</v>
      </c>
      <c r="X73" s="53">
        <f>IFERROR(__xludf.DUMMYFUNCTION("IFERROR(ROUND((B73-GOOGLEFINANCE(A73,""low52""))/(GOOGLEFINANCE(A73,""high52"")-GOOGLEFINANCE(A73,""low52""))*100,1),"""")"),10.1)</f>
        <v>10.1</v>
      </c>
      <c r="Y73" s="53" t="str">
        <f t="shared" si="13"/>
        <v>MID</v>
      </c>
      <c r="Z73" s="53">
        <f>IFERROR(__xludf.DUMMYFUNCTION("IFERROR(ROUND(((B73 / INDEX(GOOGLEFINANCE(TRIM(A73), ""price"", TODAY()-34, TODAY()), 2, 2)) - (GOOGLEFINANCE(""NIFTY_50"") / INDEX(GOOGLEFINANCE(""NIFTY_50"", ""price"", TODAY()-34, TODAY()), 2, 2))) * 100, 2), ""Check History"")"),-5.62)</f>
        <v>-5.62</v>
      </c>
      <c r="AA73" s="53" t="str">
        <f t="shared" si="14"/>
        <v>WEAK RS</v>
      </c>
      <c r="AB73" s="53">
        <f>IFERROR(__xludf.DUMMYFUNCTION("IFERROR(LET(
  p, QUERY(GOOGLEFINANCE(TRIM(A73),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Loading"")"),33.4)</f>
        <v>33.4</v>
      </c>
      <c r="AC73" s="53" t="str">
        <f t="shared" si="15"/>
        <v>WEAK MOM</v>
      </c>
      <c r="AD73" s="53" t="str">
        <f>IFERROR(__xludf.DUMMYFUNCTION("IFERROR(IF(GOOGLEFINANCE(A73,""eps"")&gt;0,""EPS+"",""EPS-""),"""")"),"EPS+")</f>
        <v>EPS+</v>
      </c>
      <c r="AE73" s="53">
        <f t="shared" si="16"/>
        <v>4</v>
      </c>
      <c r="AF73" s="53">
        <f>IFERROR(__xludf.DUMMYFUNCTION("IFERROR(N73+IF(S73&gt;=1.2,1,0)+IF(U73&gt;=1,1,0)+IF(Z73&gt;0,1,0)+IF(AND(W73&gt;=-20,W73&lt;=0),1,0)+IF(IFERROR(GOOGLEFINANCE(A73,""eps""),0)&gt;0,1,0),"""")"),3.0)</f>
        <v>3</v>
      </c>
      <c r="AG73" s="53" t="str">
        <f t="shared" si="17"/>
        <v>REVERSE TRADE</v>
      </c>
    </row>
    <row r="74" ht="15.0" customHeight="1">
      <c r="A74" s="43" t="s">
        <v>224</v>
      </c>
      <c r="B74" s="44">
        <f>IFERROR(__xludf.DUMMYFUNCTION("GOOGLEFINANCE(A74,""price"")"),1764.0)</f>
        <v>1764</v>
      </c>
      <c r="C74" s="45">
        <f>IFERROR(__xludf.DUMMYFUNCTION("AVERAGE(QUERY(SORT(GOOGLEFINANCE(A74,""price"",TODAY()-150,TODAY()),1,0),""select Col2 limit 50""))"),2071.5779999999995)</f>
        <v>2071.578</v>
      </c>
      <c r="D74" s="45">
        <f>IFERROR(__xludf.DUMMYFUNCTION("AVERAGE(QUERY(SORT(GOOGLEFINANCE(A74,""price"",TODAY()-300,TODAY()),1,0),""select Col2 limit 100""))"),2178.0205999999994)</f>
        <v>2178.0206</v>
      </c>
      <c r="E74" s="45">
        <f>IFERROR(__xludf.DUMMYFUNCTION("AVERAGE(QUERY(SORT(GOOGLEFINANCE(A74,""price"",TODAY()-500,TODAY()),1,0),""select Col2 limit 200""))"),2289.9781499999995)</f>
        <v>2289.97815</v>
      </c>
      <c r="F74" s="46" t="str">
        <f t="shared" si="1"/>
        <v>In Bear Run</v>
      </c>
      <c r="G74" s="47">
        <f t="shared" si="2"/>
        <v>-22.96869732</v>
      </c>
      <c r="H74" s="48" t="str">
        <f t="shared" si="3"/>
        <v>Inverted ✗</v>
      </c>
      <c r="I74" s="48">
        <f t="shared" si="4"/>
        <v>0</v>
      </c>
      <c r="J74" s="48">
        <f t="shared" si="5"/>
        <v>0</v>
      </c>
      <c r="K74" s="49" t="str">
        <f>IFERROR(__xludf.DUMMYFUNCTION("IFERROR(IF(A74="""",""ENTER STOCK"",LET(stock,A74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74" s="48">
        <f t="shared" si="6"/>
        <v>0</v>
      </c>
      <c r="M74" s="48">
        <f t="shared" si="7"/>
        <v>1</v>
      </c>
      <c r="N74" s="50">
        <f t="shared" si="8"/>
        <v>1</v>
      </c>
      <c r="O74" s="51" t="s">
        <v>225</v>
      </c>
      <c r="P74" s="46" t="str">
        <f t="shared" si="9"/>
        <v>REVERSE TRADE</v>
      </c>
      <c r="Q74" s="52"/>
      <c r="R74" s="53">
        <f t="shared" si="10"/>
        <v>15</v>
      </c>
      <c r="S74" s="53">
        <f>IFERROR(__xludf.DUMMYFUNCTION("IFERROR(ROUND(GOOGLEFINANCE(A74,""volume"")/GOOGLEFINANCE(A74,""volumeavg""),2),"""")"),1.65)</f>
        <v>1.65</v>
      </c>
      <c r="T74" s="53" t="str">
        <f t="shared" si="11"/>
        <v>HIGH VOL</v>
      </c>
      <c r="U74" s="53">
        <f>IFERROR(__xludf.DUMMYFUNCTION("IFERROR(
  LET(
    sd, GOOGLEFINANCE(A74,""close"",TODAY()-100,TODAY()),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"""")"),1.75)</f>
        <v>1.75</v>
      </c>
      <c r="V74" s="53" t="str">
        <f t="shared" si="12"/>
        <v>FAST</v>
      </c>
      <c r="W74" s="53">
        <f>IFERROR(__xludf.DUMMYFUNCTION("IFERROR(ROUND((B74/GOOGLEFINANCE(A74,""high52"")-1)*100,1),"""")"),-32.5)</f>
        <v>-32.5</v>
      </c>
      <c r="X74" s="53">
        <f>IFERROR(__xludf.DUMMYFUNCTION("IFERROR(ROUND((B74-GOOGLEFINANCE(A74,""low52""))/(GOOGLEFINANCE(A74,""high52"")-GOOGLEFINANCE(A74,""low52""))*100,1),"""")"),1.3)</f>
        <v>1.3</v>
      </c>
      <c r="Y74" s="53" t="str">
        <f t="shared" si="13"/>
        <v>MID</v>
      </c>
      <c r="Z74" s="53">
        <f>IFERROR(__xludf.DUMMYFUNCTION("IFERROR(ROUND(((B74 / INDEX(GOOGLEFINANCE(TRIM(A74), ""price"", TODAY()-34, TODAY()), 2, 2)) - (GOOGLEFINANCE(""NIFTY_50"") / INDEX(GOOGLEFINANCE(""NIFTY_50"", ""price"", TODAY()-34, TODAY()), 2, 2))) * 100, 2), ""Check History"")"),-7.03)</f>
        <v>-7.03</v>
      </c>
      <c r="AA74" s="53" t="str">
        <f t="shared" si="14"/>
        <v>WEAK RS</v>
      </c>
      <c r="AB74" s="53">
        <f>IFERROR(__xludf.DUMMYFUNCTION("IFERROR(LET(
  p, QUERY(GOOGLEFINANCE(TRIM(A74),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Loading"")"),48.4)</f>
        <v>48.4</v>
      </c>
      <c r="AC74" s="53" t="str">
        <f t="shared" si="15"/>
        <v>IDEAL ENTRY</v>
      </c>
      <c r="AD74" s="53" t="str">
        <f>IFERROR(__xludf.DUMMYFUNCTION("IFERROR(IF(GOOGLEFINANCE(A74,""eps"")&gt;0,""EPS+"",""EPS-""),"""")"),"EPS+")</f>
        <v>EPS+</v>
      </c>
      <c r="AE74" s="53">
        <f t="shared" si="16"/>
        <v>6</v>
      </c>
      <c r="AF74" s="53">
        <f>IFERROR(__xludf.DUMMYFUNCTION("IFERROR(N74+IF(S74&gt;=1.2,1,0)+IF(U74&gt;=1,1,0)+IF(Z74&gt;0,1,0)+IF(AND(W74&gt;=-20,W74&lt;=0),1,0)+IF(IFERROR(GOOGLEFINANCE(A74,""eps""),0)&gt;0,1,0),"""")"),4.0)</f>
        <v>4</v>
      </c>
      <c r="AG74" s="53" t="str">
        <f t="shared" si="17"/>
        <v>REVERSE TRADE</v>
      </c>
    </row>
    <row r="75" ht="15.0" customHeight="1">
      <c r="A75" s="43" t="s">
        <v>226</v>
      </c>
      <c r="B75" s="44">
        <f>IFERROR(__xludf.DUMMYFUNCTION("GOOGLEFINANCE(A75,""price"")"),1789.8)</f>
        <v>1789.8</v>
      </c>
      <c r="C75" s="45">
        <f>IFERROR(__xludf.DUMMYFUNCTION("AVERAGE(QUERY(SORT(GOOGLEFINANCE(A75,""price"",TODAY()-150,TODAY()),1,0),""select Col2 limit 50""))"),2021.0359999999998)</f>
        <v>2021.036</v>
      </c>
      <c r="D75" s="45">
        <f>IFERROR(__xludf.DUMMYFUNCTION("AVERAGE(QUERY(SORT(GOOGLEFINANCE(A75,""price"",TODAY()-300,TODAY()),1,0),""select Col2 limit 100""))"),2035.5249999999994)</f>
        <v>2035.525</v>
      </c>
      <c r="E75" s="45">
        <f>IFERROR(__xludf.DUMMYFUNCTION("AVERAGE(QUERY(SORT(GOOGLEFINANCE(A75,""price"",TODAY()-500,TODAY()),1,0),""select Col2 limit 200""))"),2139.0224999999996)</f>
        <v>2139.0225</v>
      </c>
      <c r="F75" s="46" t="str">
        <f t="shared" si="1"/>
        <v>In Bear Run</v>
      </c>
      <c r="G75" s="47">
        <f t="shared" si="2"/>
        <v>-16.32626585</v>
      </c>
      <c r="H75" s="48" t="str">
        <f t="shared" si="3"/>
        <v>Inverted ✗</v>
      </c>
      <c r="I75" s="48">
        <f t="shared" si="4"/>
        <v>0</v>
      </c>
      <c r="J75" s="48">
        <f t="shared" si="5"/>
        <v>0</v>
      </c>
      <c r="K75" s="49" t="str">
        <f>IFERROR(__xludf.DUMMYFUNCTION("IFERROR(IF(A75="""",""ENTER STOCK"",LET(stock,A75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75" s="48">
        <f t="shared" si="6"/>
        <v>0</v>
      </c>
      <c r="M75" s="48">
        <f t="shared" si="7"/>
        <v>1</v>
      </c>
      <c r="N75" s="50">
        <f t="shared" si="8"/>
        <v>1</v>
      </c>
      <c r="O75" s="51" t="s">
        <v>192</v>
      </c>
      <c r="P75" s="46" t="str">
        <f t="shared" si="9"/>
        <v>REVERSE TRADE</v>
      </c>
      <c r="Q75" s="52"/>
      <c r="R75" s="53">
        <f t="shared" si="10"/>
        <v>15</v>
      </c>
      <c r="S75" s="53">
        <f>IFERROR(__xludf.DUMMYFUNCTION("IFERROR(ROUND(GOOGLEFINANCE(A75,""volume"")/GOOGLEFINANCE(A75,""volumeavg""),2),"""")"),1.32)</f>
        <v>1.32</v>
      </c>
      <c r="T75" s="53" t="str">
        <f t="shared" si="11"/>
        <v>OK VOL</v>
      </c>
      <c r="U75" s="53">
        <f>IFERROR(__xludf.DUMMYFUNCTION("IFERROR(
  LET(
    sd, GOOGLEFINANCE(A75,""close"",TODAY()-100,TODAY()),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"""")"),1.22)</f>
        <v>1.22</v>
      </c>
      <c r="V75" s="53" t="str">
        <f t="shared" si="12"/>
        <v>FAST</v>
      </c>
      <c r="W75" s="53">
        <f>IFERROR(__xludf.DUMMYFUNCTION("IFERROR(ROUND((B75/GOOGLEFINANCE(A75,""high52"")-1)*100,1),"""")"),-28.3)</f>
        <v>-28.3</v>
      </c>
      <c r="X75" s="53">
        <f>IFERROR(__xludf.DUMMYFUNCTION("IFERROR(ROUND((B75-GOOGLEFINANCE(A75,""low52""))/(GOOGLEFINANCE(A75,""high52"")-GOOGLEFINANCE(A75,""low52""))*100,1),"""")"),11.3)</f>
        <v>11.3</v>
      </c>
      <c r="Y75" s="53" t="str">
        <f t="shared" si="13"/>
        <v>MID</v>
      </c>
      <c r="Z75" s="53">
        <f>IFERROR(__xludf.DUMMYFUNCTION("IFERROR(ROUND(((B75 / INDEX(GOOGLEFINANCE(TRIM(A75), ""price"", TODAY()-34, TODAY()), 2, 2)) - (GOOGLEFINANCE(""NIFTY_50"") / INDEX(GOOGLEFINANCE(""NIFTY_50"", ""price"", TODAY()-34, TODAY()), 2, 2))) * 100, 2), ""Check History"")"),-1.34)</f>
        <v>-1.34</v>
      </c>
      <c r="AA75" s="53" t="str">
        <f t="shared" si="14"/>
        <v>WEAK RS</v>
      </c>
      <c r="AB75" s="53">
        <f>IFERROR(__xludf.DUMMYFUNCTION("IFERROR(LET(
  p, QUERY(GOOGLEFINANCE(TRIM(A75),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Loading"")"),31.3)</f>
        <v>31.3</v>
      </c>
      <c r="AC75" s="53" t="str">
        <f t="shared" si="15"/>
        <v>WEAK MOM</v>
      </c>
      <c r="AD75" s="53" t="str">
        <f>IFERROR(__xludf.DUMMYFUNCTION("IFERROR(IF(GOOGLEFINANCE(A75,""eps"")&gt;0,""EPS+"",""EPS-""),"""")"),"EPS+")</f>
        <v>EPS+</v>
      </c>
      <c r="AE75" s="53">
        <f t="shared" si="16"/>
        <v>5</v>
      </c>
      <c r="AF75" s="53">
        <f>IFERROR(__xludf.DUMMYFUNCTION("IFERROR(N75+IF(S75&gt;=1.2,1,0)+IF(U75&gt;=1,1,0)+IF(Z75&gt;0,1,0)+IF(AND(W75&gt;=-20,W75&lt;=0),1,0)+IF(IFERROR(GOOGLEFINANCE(A75,""eps""),0)&gt;0,1,0),"""")"),4.0)</f>
        <v>4</v>
      </c>
      <c r="AG75" s="53" t="str">
        <f t="shared" si="17"/>
        <v>REVERSE TRADE</v>
      </c>
    </row>
    <row r="76" ht="15.0" customHeight="1">
      <c r="A76" s="43" t="s">
        <v>227</v>
      </c>
      <c r="B76" s="44">
        <f>IFERROR(__xludf.DUMMYFUNCTION("GOOGLEFINANCE(A76,""price"")"),2068.9)</f>
        <v>2068.9</v>
      </c>
      <c r="C76" s="45">
        <f>IFERROR(__xludf.DUMMYFUNCTION("AVERAGE(QUERY(SORT(GOOGLEFINANCE(A76,""price"",TODAY()-150,TODAY()),1,0),""select Col2 limit 50""))"),2359.3320000000003)</f>
        <v>2359.332</v>
      </c>
      <c r="D76" s="45">
        <f>IFERROR(__xludf.DUMMYFUNCTION("AVERAGE(QUERY(SORT(GOOGLEFINANCE(A76,""price"",TODAY()-300,TODAY()),1,0),""select Col2 limit 100""))"),2473.9500000000007)</f>
        <v>2473.95</v>
      </c>
      <c r="E76" s="45">
        <f>IFERROR(__xludf.DUMMYFUNCTION("AVERAGE(QUERY(SORT(GOOGLEFINANCE(A76,""price"",TODAY()-500,TODAY()),1,0),""select Col2 limit 200""))"),2699.665500000001)</f>
        <v>2699.6655</v>
      </c>
      <c r="F76" s="46" t="str">
        <f t="shared" si="1"/>
        <v>In Bear Run</v>
      </c>
      <c r="G76" s="47">
        <f t="shared" si="2"/>
        <v>-23.3645798</v>
      </c>
      <c r="H76" s="48" t="str">
        <f t="shared" si="3"/>
        <v>Inverted ✗</v>
      </c>
      <c r="I76" s="48">
        <f t="shared" si="4"/>
        <v>0</v>
      </c>
      <c r="J76" s="48">
        <f t="shared" si="5"/>
        <v>0</v>
      </c>
      <c r="K76" s="49" t="str">
        <f>IFERROR(__xludf.DUMMYFUNCTION("IFERROR(IF(A76="""",""ENTER STOCK"",LET(stock,A76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76" s="48">
        <f t="shared" si="6"/>
        <v>0</v>
      </c>
      <c r="M76" s="48">
        <f t="shared" si="7"/>
        <v>1</v>
      </c>
      <c r="N76" s="50">
        <f t="shared" si="8"/>
        <v>1</v>
      </c>
      <c r="O76" s="51" t="s">
        <v>209</v>
      </c>
      <c r="P76" s="46" t="str">
        <f t="shared" si="9"/>
        <v>REVERSE TRADE</v>
      </c>
      <c r="Q76" s="52"/>
      <c r="R76" s="53">
        <f t="shared" si="10"/>
        <v>15</v>
      </c>
      <c r="S76" s="53">
        <f>IFERROR(__xludf.DUMMYFUNCTION("IFERROR(ROUND(GOOGLEFINANCE(A76,""volume"")/GOOGLEFINANCE(A76,""volumeavg""),2),"""")"),1.2)</f>
        <v>1.2</v>
      </c>
      <c r="T76" s="53" t="str">
        <f t="shared" si="11"/>
        <v>OK VOL</v>
      </c>
      <c r="U76" s="53">
        <f>IFERROR(__xludf.DUMMYFUNCTION("IFERROR(
  LET(
    sd, GOOGLEFINANCE(A76,""close"",TODAY()-100,TODAY()),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"""")"),1.51)</f>
        <v>1.51</v>
      </c>
      <c r="V76" s="53" t="str">
        <f t="shared" si="12"/>
        <v>FAST</v>
      </c>
      <c r="W76" s="53">
        <f>IFERROR(__xludf.DUMMYFUNCTION("IFERROR(ROUND((B76/GOOGLEFINANCE(A76,""high52"")-1)*100,1),"""")"),-45.2)</f>
        <v>-45.2</v>
      </c>
      <c r="X76" s="53">
        <f>IFERROR(__xludf.DUMMYFUNCTION("IFERROR(ROUND((B76-GOOGLEFINANCE(A76,""low52""))/(GOOGLEFINANCE(A76,""high52"")-GOOGLEFINANCE(A76,""low52""))*100,1),"""")"),0.7)</f>
        <v>0.7</v>
      </c>
      <c r="Y76" s="53" t="str">
        <f t="shared" si="13"/>
        <v>DEEP RECOVERY</v>
      </c>
      <c r="Z76" s="53">
        <f>IFERROR(__xludf.DUMMYFUNCTION("IFERROR(ROUND(((B76 / INDEX(GOOGLEFINANCE(TRIM(A76), ""price"", TODAY()-34, TODAY()), 2, 2)) - (GOOGLEFINANCE(""NIFTY_50"") / INDEX(GOOGLEFINANCE(""NIFTY_50"", ""price"", TODAY()-34, TODAY()), 2, 2))) * 100, 2), ""Check History"")"),3.86)</f>
        <v>3.86</v>
      </c>
      <c r="AA76" s="53" t="str">
        <f t="shared" si="14"/>
        <v>MILD RS</v>
      </c>
      <c r="AB76" s="53">
        <f>IFERROR(__xludf.DUMMYFUNCTION("IFERROR(LET(
  p, QUERY(GOOGLEFINANCE(TRIM(A76),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Loading"")"),31.8)</f>
        <v>31.8</v>
      </c>
      <c r="AC76" s="53" t="str">
        <f t="shared" si="15"/>
        <v>WEAK MOM</v>
      </c>
      <c r="AD76" s="53" t="str">
        <f>IFERROR(__xludf.DUMMYFUNCTION("IFERROR(IF(GOOGLEFINANCE(A76,""eps"")&gt;0,""EPS+"",""EPS-""),"""")"),"EPS+")</f>
        <v>EPS+</v>
      </c>
      <c r="AE76" s="53">
        <f t="shared" si="16"/>
        <v>6</v>
      </c>
      <c r="AF76" s="53">
        <f>IFERROR(__xludf.DUMMYFUNCTION("IFERROR(N76+IF(S76&gt;=1.2,1,0)+IF(U76&gt;=1,1,0)+IF(Z76&gt;0,1,0)+IF(AND(W76&gt;=-20,W76&lt;=0),1,0)+IF(IFERROR(GOOGLEFINANCE(A76,""eps""),0)&gt;0,1,0),"""")"),5.0)</f>
        <v>5</v>
      </c>
      <c r="AG76" s="53" t="str">
        <f t="shared" si="17"/>
        <v>REVERSE TRADE</v>
      </c>
    </row>
    <row r="77" ht="15.0" customHeight="1">
      <c r="A77" s="43" t="s">
        <v>228</v>
      </c>
      <c r="B77" s="44">
        <f>IFERROR(__xludf.DUMMYFUNCTION("GOOGLEFINANCE(A77,""price"")"),5055.0)</f>
        <v>5055</v>
      </c>
      <c r="C77" s="45">
        <f>IFERROR(__xludf.DUMMYFUNCTION("AVERAGE(QUERY(SORT(GOOGLEFINANCE(A77,""price"",TODAY()-150,TODAY()),1,0),""select Col2 limit 50""))"),5505.27)</f>
        <v>5505.27</v>
      </c>
      <c r="D77" s="45">
        <f>IFERROR(__xludf.DUMMYFUNCTION("AVERAGE(QUERY(SORT(GOOGLEFINANCE(A77,""price"",TODAY()-300,TODAY()),1,0),""select Col2 limit 100""))"),5577.18)</f>
        <v>5577.18</v>
      </c>
      <c r="E77" s="45">
        <f>IFERROR(__xludf.DUMMYFUNCTION("AVERAGE(QUERY(SORT(GOOGLEFINANCE(A77,""price"",TODAY()-500,TODAY()),1,0),""select Col2 limit 200""))"),6050.2825)</f>
        <v>6050.2825</v>
      </c>
      <c r="F77" s="46" t="str">
        <f t="shared" si="1"/>
        <v>In Bear Run</v>
      </c>
      <c r="G77" s="47">
        <f t="shared" si="2"/>
        <v>-16.45018228</v>
      </c>
      <c r="H77" s="48" t="str">
        <f t="shared" si="3"/>
        <v>Inverted ✗</v>
      </c>
      <c r="I77" s="48">
        <f t="shared" si="4"/>
        <v>0</v>
      </c>
      <c r="J77" s="48">
        <f t="shared" si="5"/>
        <v>0</v>
      </c>
      <c r="K77" s="49" t="str">
        <f>IFERROR(__xludf.DUMMYFUNCTION("IFERROR(IF(A77="""",""ENTER STOCK"",LET(stock,A77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77" s="48">
        <f t="shared" si="6"/>
        <v>0</v>
      </c>
      <c r="M77" s="48">
        <f t="shared" si="7"/>
        <v>1</v>
      </c>
      <c r="N77" s="50">
        <f t="shared" si="8"/>
        <v>1</v>
      </c>
      <c r="O77" s="51" t="s">
        <v>192</v>
      </c>
      <c r="P77" s="46" t="str">
        <f t="shared" si="9"/>
        <v>REVERSE TRADE</v>
      </c>
      <c r="Q77" s="52"/>
      <c r="R77" s="53">
        <f t="shared" si="10"/>
        <v>15</v>
      </c>
      <c r="S77" s="53">
        <f>IFERROR(__xludf.DUMMYFUNCTION("IFERROR(ROUND(GOOGLEFINANCE(A77,""volume"")/GOOGLEFINANCE(A77,""volumeavg""),2),"""")"),1.42)</f>
        <v>1.42</v>
      </c>
      <c r="T77" s="53" t="str">
        <f t="shared" si="11"/>
        <v>OK VOL</v>
      </c>
      <c r="U77" s="53">
        <f>IFERROR(__xludf.DUMMYFUNCTION("IFERROR(
  LET(
    sd, GOOGLEFINANCE(A77,""close"",TODAY()-100,TODAY()),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"""")"),1.12)</f>
        <v>1.12</v>
      </c>
      <c r="V77" s="53" t="str">
        <f t="shared" si="12"/>
        <v>MEDIUM</v>
      </c>
      <c r="W77" s="53">
        <f>IFERROR(__xludf.DUMMYFUNCTION("IFERROR(ROUND((B77/GOOGLEFINANCE(A77,""high52"")-1)*100,1),"""")"),-33.2)</f>
        <v>-33.2</v>
      </c>
      <c r="X77" s="53">
        <f>IFERROR(__xludf.DUMMYFUNCTION("IFERROR(ROUND((B77-GOOGLEFINANCE(A77,""low52""))/(GOOGLEFINANCE(A77,""high52"")-GOOGLEFINANCE(A77,""low52""))*100,1),"""")"),13.6)</f>
        <v>13.6</v>
      </c>
      <c r="Y77" s="53" t="str">
        <f t="shared" si="13"/>
        <v>MID</v>
      </c>
      <c r="Z77" s="53">
        <f>IFERROR(__xludf.DUMMYFUNCTION("IFERROR(ROUND(((B77 / INDEX(GOOGLEFINANCE(TRIM(A77), ""price"", TODAY()-34, TODAY()), 2, 2)) - (GOOGLEFINANCE(""NIFTY_50"") / INDEX(GOOGLEFINANCE(""NIFTY_50"", ""price"", TODAY()-34, TODAY()), 2, 2))) * 100, 2), ""Check History"")"),2.02)</f>
        <v>2.02</v>
      </c>
      <c r="AA77" s="53" t="str">
        <f t="shared" si="14"/>
        <v>MILD RS</v>
      </c>
      <c r="AB77" s="53">
        <f>IFERROR(__xludf.DUMMYFUNCTION("IFERROR(LET(
  p, QUERY(GOOGLEFINANCE(TRIM(A77),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Loading"")"),51.0)</f>
        <v>51</v>
      </c>
      <c r="AC77" s="53" t="str">
        <f t="shared" si="15"/>
        <v>IDEAL ENTRY</v>
      </c>
      <c r="AD77" s="53" t="str">
        <f>IFERROR(__xludf.DUMMYFUNCTION("IFERROR(IF(GOOGLEFINANCE(A77,""eps"")&gt;0,""EPS+"",""EPS-""),"""")"),"EPS+")</f>
        <v>EPS+</v>
      </c>
      <c r="AE77" s="53">
        <f t="shared" si="16"/>
        <v>5</v>
      </c>
      <c r="AF77" s="53">
        <f>IFERROR(__xludf.DUMMYFUNCTION("IFERROR(N77+IF(S77&gt;=1.2,1,0)+IF(U77&gt;=1,1,0)+IF(Z77&gt;0,1,0)+IF(AND(W77&gt;=-20,W77&lt;=0),1,0)+IF(IFERROR(GOOGLEFINANCE(A77,""eps""),0)&gt;0,1,0),"""")"),5.0)</f>
        <v>5</v>
      </c>
      <c r="AG77" s="53" t="str">
        <f t="shared" si="17"/>
        <v>REVERSE TRADE</v>
      </c>
    </row>
    <row r="78" ht="15.0" customHeight="1">
      <c r="A78" s="43" t="s">
        <v>229</v>
      </c>
      <c r="B78" s="44">
        <f>IFERROR(__xludf.DUMMYFUNCTION("GOOGLEFINANCE(A78,""price"")"),1350.0)</f>
        <v>1350</v>
      </c>
      <c r="C78" s="45">
        <f>IFERROR(__xludf.DUMMYFUNCTION("AVERAGE(QUERY(SORT(GOOGLEFINANCE(A78,""price"",TODAY()-150,TODAY()),1,0),""select Col2 limit 50""))"),1558.2220000000002)</f>
        <v>1558.222</v>
      </c>
      <c r="D78" s="45">
        <f>IFERROR(__xludf.DUMMYFUNCTION("AVERAGE(QUERY(SORT(GOOGLEFINANCE(A78,""price"",TODAY()-300,TODAY()),1,0),""select Col2 limit 100""))"),1692.7759999999994)</f>
        <v>1692.776</v>
      </c>
      <c r="E78" s="45">
        <f>IFERROR(__xludf.DUMMYFUNCTION("AVERAGE(QUERY(SORT(GOOGLEFINANCE(A78,""price"",TODAY()-500,TODAY()),1,0),""select Col2 limit 200""))"),1699.3979999999997)</f>
        <v>1699.398</v>
      </c>
      <c r="F78" s="46" t="str">
        <f t="shared" si="1"/>
        <v>In Bear Run</v>
      </c>
      <c r="G78" s="47">
        <f t="shared" si="2"/>
        <v>-20.56010423</v>
      </c>
      <c r="H78" s="48" t="str">
        <f t="shared" si="3"/>
        <v>Inverted ✗</v>
      </c>
      <c r="I78" s="48">
        <f t="shared" si="4"/>
        <v>0</v>
      </c>
      <c r="J78" s="48">
        <f t="shared" si="5"/>
        <v>0</v>
      </c>
      <c r="K78" s="49" t="str">
        <f>IFERROR(__xludf.DUMMYFUNCTION("IFERROR(IF(A78="""",""ENTER STOCK"",LET(stock,A78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78" s="48">
        <f t="shared" si="6"/>
        <v>0</v>
      </c>
      <c r="M78" s="48">
        <f t="shared" si="7"/>
        <v>1</v>
      </c>
      <c r="N78" s="50">
        <f t="shared" si="8"/>
        <v>1</v>
      </c>
      <c r="O78" s="51" t="s">
        <v>230</v>
      </c>
      <c r="P78" s="46" t="str">
        <f t="shared" si="9"/>
        <v>REVERSE TRADE</v>
      </c>
      <c r="Q78" s="52"/>
      <c r="R78" s="53">
        <f t="shared" si="10"/>
        <v>15</v>
      </c>
      <c r="S78" s="53">
        <f>IFERROR(__xludf.DUMMYFUNCTION("IFERROR(ROUND(GOOGLEFINANCE(A78,""volume"")/GOOGLEFINANCE(A78,""volumeavg""),2),"""")"),1.22)</f>
        <v>1.22</v>
      </c>
      <c r="T78" s="53" t="str">
        <f t="shared" si="11"/>
        <v>OK VOL</v>
      </c>
      <c r="U78" s="53">
        <f>IFERROR(__xludf.DUMMYFUNCTION("IFERROR(
  LET(
    sd, GOOGLEFINANCE(A78,""close"",TODAY()-100,TODAY()),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"""")"),0.97)</f>
        <v>0.97</v>
      </c>
      <c r="V78" s="53" t="str">
        <f t="shared" si="12"/>
        <v>MEDIUM</v>
      </c>
      <c r="W78" s="53">
        <f>IFERROR(__xludf.DUMMYFUNCTION("IFERROR(ROUND((B78/GOOGLEFINANCE(A78,""high52"")-1)*100,1),"""")"),-32.6)</f>
        <v>-32.6</v>
      </c>
      <c r="X78" s="53">
        <f>IFERROR(__xludf.DUMMYFUNCTION("IFERROR(ROUND((B78-GOOGLEFINANCE(A78,""low52""))/(GOOGLEFINANCE(A78,""high52"")-GOOGLEFINANCE(A78,""low52""))*100,1),"""")"),1.2)</f>
        <v>1.2</v>
      </c>
      <c r="Y78" s="53" t="str">
        <f t="shared" si="13"/>
        <v>MID</v>
      </c>
      <c r="Z78" s="53">
        <f>IFERROR(__xludf.DUMMYFUNCTION("IFERROR(ROUND(((B78 / INDEX(GOOGLEFINANCE(TRIM(A78), ""price"", TODAY()-34, TODAY()), 2, 2)) - (GOOGLEFINANCE(""NIFTY_50"") / INDEX(GOOGLEFINANCE(""NIFTY_50"", ""price"", TODAY()-34, TODAY()), 2, 2))) * 100, 2), ""Check History"")"),-4.64)</f>
        <v>-4.64</v>
      </c>
      <c r="AA78" s="53" t="str">
        <f t="shared" si="14"/>
        <v>WEAK RS</v>
      </c>
      <c r="AB78" s="53">
        <f>IFERROR(__xludf.DUMMYFUNCTION("IFERROR(LET(
  p, QUERY(GOOGLEFINANCE(TRIM(A78),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Loading"")"),42.7)</f>
        <v>42.7</v>
      </c>
      <c r="AC78" s="53" t="str">
        <f t="shared" si="15"/>
        <v>WEAK MOM</v>
      </c>
      <c r="AD78" s="53" t="str">
        <f>IFERROR(__xludf.DUMMYFUNCTION("IFERROR(IF(GOOGLEFINANCE(A78,""eps"")&gt;0,""EPS+"",""EPS-""),"""")"),"EPS+")</f>
        <v>EPS+</v>
      </c>
      <c r="AE78" s="53">
        <f t="shared" si="16"/>
        <v>4</v>
      </c>
      <c r="AF78" s="53">
        <f>IFERROR(__xludf.DUMMYFUNCTION("IFERROR(N78+IF(S78&gt;=1.2,1,0)+IF(U78&gt;=1,1,0)+IF(Z78&gt;0,1,0)+IF(AND(W78&gt;=-20,W78&lt;=0),1,0)+IF(IFERROR(GOOGLEFINANCE(A78,""eps""),0)&gt;0,1,0),"""")"),3.0)</f>
        <v>3</v>
      </c>
      <c r="AG78" s="53" t="str">
        <f t="shared" si="17"/>
        <v>REVERSE TRADE</v>
      </c>
    </row>
    <row r="79" ht="15.0" customHeight="1">
      <c r="A79" s="43" t="s">
        <v>231</v>
      </c>
      <c r="B79" s="44">
        <f>IFERROR(__xludf.DUMMYFUNCTION("GOOGLEFINANCE(A79,""price"")"),92.5)</f>
        <v>92.5</v>
      </c>
      <c r="C79" s="45">
        <f>IFERROR(__xludf.DUMMYFUNCTION("AVERAGE(QUERY(SORT(GOOGLEFINANCE(A79,""price"",TODAY()-150,TODAY()),1,0),""select Col2 limit 50""))"),91.0352)</f>
        <v>91.0352</v>
      </c>
      <c r="D79" s="45">
        <f>IFERROR(__xludf.DUMMYFUNCTION("AVERAGE(QUERY(SORT(GOOGLEFINANCE(A79,""price"",TODAY()-300,TODAY()),1,0),""select Col2 limit 100""))"),92.706)</f>
        <v>92.706</v>
      </c>
      <c r="E79" s="45">
        <f>IFERROR(__xludf.DUMMYFUNCTION("AVERAGE(QUERY(SORT(GOOGLEFINANCE(A79,""price"",TODAY()-500,TODAY()),1,0),""select Col2 limit 200""))"),98.47754999999998)</f>
        <v>98.47755</v>
      </c>
      <c r="F79" s="46" t="str">
        <f t="shared" si="1"/>
        <v>Unconfirmed</v>
      </c>
      <c r="G79" s="47">
        <f t="shared" si="2"/>
        <v>-6.069962139</v>
      </c>
      <c r="H79" s="48" t="str">
        <f t="shared" si="3"/>
        <v>Inverted ✗</v>
      </c>
      <c r="I79" s="48">
        <f t="shared" si="4"/>
        <v>0</v>
      </c>
      <c r="J79" s="48">
        <f t="shared" si="5"/>
        <v>0</v>
      </c>
      <c r="K79" s="49" t="str">
        <f>IFERROR(__xludf.DUMMYFUNCTION("IFERROR(IF(A79="""",""ENTER STOCK"",LET(stock,A79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79" s="48">
        <f t="shared" si="6"/>
        <v>0</v>
      </c>
      <c r="M79" s="48">
        <f t="shared" si="7"/>
        <v>1</v>
      </c>
      <c r="N79" s="50">
        <f t="shared" si="8"/>
        <v>1</v>
      </c>
      <c r="O79" s="51" t="s">
        <v>180</v>
      </c>
      <c r="P79" s="46" t="str">
        <f t="shared" si="9"/>
        <v>WAIT</v>
      </c>
      <c r="Q79" s="52"/>
      <c r="R79" s="53">
        <f t="shared" si="10"/>
        <v>15</v>
      </c>
      <c r="S79" s="53">
        <f>IFERROR(__xludf.DUMMYFUNCTION("IFERROR(ROUND(GOOGLEFINANCE(A79,""volume"")/GOOGLEFINANCE(A79,""volumeavg""),2),"""")"),0.52)</f>
        <v>0.52</v>
      </c>
      <c r="T79" s="53" t="str">
        <f t="shared" si="11"/>
        <v>LOW VOL</v>
      </c>
      <c r="U79" s="53">
        <f>IFERROR(__xludf.DUMMYFUNCTION("IFERROR(
  LET(
    sd, GOOGLEFINANCE(A79,""close"",TODAY()-100,TODAY()),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"""")"),0.52)</f>
        <v>0.52</v>
      </c>
      <c r="V79" s="53" t="str">
        <f t="shared" si="12"/>
        <v>SLOW</v>
      </c>
      <c r="W79" s="53">
        <f>IFERROR(__xludf.DUMMYFUNCTION("IFERROR(ROUND((B79/GOOGLEFINANCE(A79,""high52"")-1)*100,1),"""")"),-21.4)</f>
        <v>-21.4</v>
      </c>
      <c r="X79" s="53">
        <f>IFERROR(__xludf.DUMMYFUNCTION("IFERROR(ROUND((B79-GOOGLEFINANCE(A79,""low52""))/(GOOGLEFINANCE(A79,""high52"")-GOOGLEFINANCE(A79,""low52""))*100,1),"""")"),25.3)</f>
        <v>25.3</v>
      </c>
      <c r="Y79" s="53" t="str">
        <f t="shared" si="13"/>
        <v>MID</v>
      </c>
      <c r="Z79" s="53">
        <f>IFERROR(__xludf.DUMMYFUNCTION("IFERROR(ROUND(((B79 / INDEX(GOOGLEFINANCE(TRIM(A79), ""price"", TODAY()-34, TODAY()), 2, 2)) - (GOOGLEFINANCE(""NIFTY_50"") / INDEX(GOOGLEFINANCE(""NIFTY_50"", ""price"", TODAY()-34, TODAY()), 2, 2))) * 100, 2), ""Check History"")"),15.06)</f>
        <v>15.06</v>
      </c>
      <c r="AA79" s="53" t="str">
        <f t="shared" si="14"/>
        <v>STRONG RS</v>
      </c>
      <c r="AB79" s="53">
        <f>IFERROR(__xludf.DUMMYFUNCTION("IFERROR(LET(
  p, QUERY(GOOGLEFINANCE(TRIM(A79),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Loading"")"),45.3)</f>
        <v>45.3</v>
      </c>
      <c r="AC79" s="53" t="str">
        <f t="shared" si="15"/>
        <v>IDEAL ENTRY</v>
      </c>
      <c r="AD79" s="53" t="str">
        <f>IFERROR(__xludf.DUMMYFUNCTION("IFERROR(IF(GOOGLEFINANCE(A79,""eps"")&gt;0,""EPS+"",""EPS-""),"""")"),"EPS+")</f>
        <v>EPS+</v>
      </c>
      <c r="AE79" s="53">
        <f t="shared" si="16"/>
        <v>2</v>
      </c>
      <c r="AF79" s="53">
        <f>IFERROR(__xludf.DUMMYFUNCTION("IFERROR(N79+IF(S79&gt;=1.2,1,0)+IF(U79&gt;=1,1,0)+IF(Z79&gt;0,1,0)+IF(AND(W79&gt;=-20,W79&lt;=0),1,0)+IF(IFERROR(GOOGLEFINANCE(A79,""eps""),0)&gt;0,1,0),"""")"),3.0)</f>
        <v>3</v>
      </c>
      <c r="AG79" s="53" t="str">
        <f t="shared" si="17"/>
        <v>WAIT</v>
      </c>
    </row>
    <row r="80" ht="15.0" customHeight="1">
      <c r="A80" s="43" t="s">
        <v>232</v>
      </c>
      <c r="B80" s="44">
        <f>IFERROR(__xludf.DUMMYFUNCTION("GOOGLEFINANCE(A80,""price"")"),1917.0)</f>
        <v>1917</v>
      </c>
      <c r="C80" s="45">
        <f>IFERROR(__xludf.DUMMYFUNCTION("AVERAGE(QUERY(SORT(GOOGLEFINANCE(A80,""price"",TODAY()-150,TODAY()),1,0),""select Col2 limit 50""))"),2174.6420000000003)</f>
        <v>2174.642</v>
      </c>
      <c r="D80" s="45">
        <f>IFERROR(__xludf.DUMMYFUNCTION("AVERAGE(QUERY(SORT(GOOGLEFINANCE(A80,""price"",TODAY()-300,TODAY()),1,0),""select Col2 limit 100""))"),2229.703)</f>
        <v>2229.703</v>
      </c>
      <c r="E80" s="45">
        <f>IFERROR(__xludf.DUMMYFUNCTION("AVERAGE(QUERY(SORT(GOOGLEFINANCE(A80,""price"",TODAY()-500,TODAY()),1,0),""select Col2 limit 200""))"),2273.0045000000014)</f>
        <v>2273.0045</v>
      </c>
      <c r="F80" s="46" t="str">
        <f t="shared" si="1"/>
        <v>In Bear Run</v>
      </c>
      <c r="G80" s="47">
        <f t="shared" si="2"/>
        <v>-15.66228751</v>
      </c>
      <c r="H80" s="48" t="str">
        <f t="shared" si="3"/>
        <v>Inverted ✗</v>
      </c>
      <c r="I80" s="48">
        <f t="shared" si="4"/>
        <v>0</v>
      </c>
      <c r="J80" s="48">
        <f t="shared" si="5"/>
        <v>0</v>
      </c>
      <c r="K80" s="49" t="str">
        <f>IFERROR(__xludf.DUMMYFUNCTION("IFERROR(IF(A80="""",""ENTER STOCK"",LET(stock,A80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80" s="48">
        <f t="shared" si="6"/>
        <v>0</v>
      </c>
      <c r="M80" s="48">
        <f t="shared" si="7"/>
        <v>1</v>
      </c>
      <c r="N80" s="50">
        <f t="shared" si="8"/>
        <v>1</v>
      </c>
      <c r="O80" s="51" t="s">
        <v>211</v>
      </c>
      <c r="P80" s="46" t="str">
        <f t="shared" si="9"/>
        <v>REVERSE TRADE</v>
      </c>
      <c r="Q80" s="52"/>
      <c r="R80" s="53">
        <f t="shared" si="10"/>
        <v>15</v>
      </c>
      <c r="S80" s="53">
        <f>IFERROR(__xludf.DUMMYFUNCTION("IFERROR(ROUND(GOOGLEFINANCE(A80,""volume"")/GOOGLEFINANCE(A80,""volumeavg""),2),"""")"),1.53)</f>
        <v>1.53</v>
      </c>
      <c r="T80" s="53" t="str">
        <f t="shared" si="11"/>
        <v>HIGH VOL</v>
      </c>
      <c r="U80" s="53">
        <f>IFERROR(__xludf.DUMMYFUNCTION("IFERROR(
  LET(
    sd, GOOGLEFINANCE(A80,""close"",TODAY()-100,TODAY()),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"""")"),1.11)</f>
        <v>1.11</v>
      </c>
      <c r="V80" s="53" t="str">
        <f t="shared" si="12"/>
        <v>MEDIUM</v>
      </c>
      <c r="W80" s="53">
        <f>IFERROR(__xludf.DUMMYFUNCTION("IFERROR(ROUND((B80/GOOGLEFINANCE(A80,""high52"")-1)*100,1),"""")"),-29.5)</f>
        <v>-29.5</v>
      </c>
      <c r="X80" s="53">
        <f>IFERROR(__xludf.DUMMYFUNCTION("IFERROR(ROUND((B80-GOOGLEFINANCE(A80,""low52""))/(GOOGLEFINANCE(A80,""high52"")-GOOGLEFINANCE(A80,""low52""))*100,1),"""")"),11.0)</f>
        <v>11</v>
      </c>
      <c r="Y80" s="53" t="str">
        <f t="shared" si="13"/>
        <v>MID</v>
      </c>
      <c r="Z80" s="53">
        <f>IFERROR(__xludf.DUMMYFUNCTION("IFERROR(ROUND(((B80 / INDEX(GOOGLEFINANCE(TRIM(A80), ""price"", TODAY()-34, TODAY()), 2, 2)) - (GOOGLEFINANCE(""NIFTY_50"") / INDEX(GOOGLEFINANCE(""NIFTY_50"", ""price"", TODAY()-34, TODAY()), 2, 2))) * 100, 2), ""Check History"")"),-3.77)</f>
        <v>-3.77</v>
      </c>
      <c r="AA80" s="53" t="str">
        <f t="shared" si="14"/>
        <v>WEAK RS</v>
      </c>
      <c r="AB80" s="53">
        <f>IFERROR(__xludf.DUMMYFUNCTION("IFERROR(LET(
  p, QUERY(GOOGLEFINANCE(TRIM(A80),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Loading"")"),66.2)</f>
        <v>66.2</v>
      </c>
      <c r="AC80" s="53" t="str">
        <f t="shared" si="15"/>
        <v>IDEAL ENTRY</v>
      </c>
      <c r="AD80" s="53" t="str">
        <f>IFERROR(__xludf.DUMMYFUNCTION("IFERROR(IF(GOOGLEFINANCE(A80,""eps"")&gt;0,""EPS+"",""EPS-""),"""")"),"EPS+")</f>
        <v>EPS+</v>
      </c>
      <c r="AE80" s="53">
        <f t="shared" si="16"/>
        <v>5</v>
      </c>
      <c r="AF80" s="53">
        <f>IFERROR(__xludf.DUMMYFUNCTION("IFERROR(N80+IF(S80&gt;=1.2,1,0)+IF(U80&gt;=1,1,0)+IF(Z80&gt;0,1,0)+IF(AND(W80&gt;=-20,W80&lt;=0),1,0)+IF(IFERROR(GOOGLEFINANCE(A80,""eps""),0)&gt;0,1,0),"""")"),4.0)</f>
        <v>4</v>
      </c>
      <c r="AG80" s="53" t="str">
        <f t="shared" si="17"/>
        <v>REVERSE TRADE</v>
      </c>
    </row>
    <row r="81" ht="15.0" customHeight="1">
      <c r="A81" s="43" t="s">
        <v>233</v>
      </c>
      <c r="B81" s="44">
        <f>IFERROR(__xludf.DUMMYFUNCTION("GOOGLEFINANCE(A81,""price"")"),457.0)</f>
        <v>457</v>
      </c>
      <c r="C81" s="45">
        <f>IFERROR(__xludf.DUMMYFUNCTION("AVERAGE(QUERY(SORT(GOOGLEFINANCE(A81,""price"",TODAY()-150,TODAY()),1,0),""select Col2 limit 50""))"),505.82099999999997)</f>
        <v>505.821</v>
      </c>
      <c r="D81" s="45">
        <f>IFERROR(__xludf.DUMMYFUNCTION("AVERAGE(QUERY(SORT(GOOGLEFINANCE(A81,""price"",TODAY()-300,TODAY()),1,0),""select Col2 limit 100""))"),533.4240000000002)</f>
        <v>533.424</v>
      </c>
      <c r="E81" s="45">
        <f>IFERROR(__xludf.DUMMYFUNCTION("AVERAGE(QUERY(SORT(GOOGLEFINANCE(A81,""price"",TODAY()-500,TODAY()),1,0),""select Col2 limit 200""))"),561.8744499999999)</f>
        <v>561.87445</v>
      </c>
      <c r="F81" s="46" t="str">
        <f t="shared" si="1"/>
        <v>In Bear Run</v>
      </c>
      <c r="G81" s="47">
        <f t="shared" si="2"/>
        <v>-18.66510392</v>
      </c>
      <c r="H81" s="48" t="str">
        <f t="shared" si="3"/>
        <v>Inverted ✗</v>
      </c>
      <c r="I81" s="48">
        <f t="shared" si="4"/>
        <v>0</v>
      </c>
      <c r="J81" s="48">
        <f t="shared" si="5"/>
        <v>0</v>
      </c>
      <c r="K81" s="49" t="str">
        <f>IFERROR(__xludf.DUMMYFUNCTION("IFERROR(IF(A81="""",""ENTER STOCK"",LET(stock,A81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81" s="48">
        <f t="shared" si="6"/>
        <v>0</v>
      </c>
      <c r="M81" s="48">
        <f t="shared" si="7"/>
        <v>1</v>
      </c>
      <c r="N81" s="50">
        <f t="shared" si="8"/>
        <v>1</v>
      </c>
      <c r="O81" s="51" t="s">
        <v>131</v>
      </c>
      <c r="P81" s="46" t="str">
        <f t="shared" si="9"/>
        <v>REVERSE TRADE</v>
      </c>
      <c r="Q81" s="52"/>
      <c r="R81" s="53">
        <f t="shared" si="10"/>
        <v>15</v>
      </c>
      <c r="S81" s="53">
        <f>IFERROR(__xludf.DUMMYFUNCTION("IFERROR(ROUND(GOOGLEFINANCE(A81,""volume"")/GOOGLEFINANCE(A81,""volumeavg""),2),"""")"),1.98)</f>
        <v>1.98</v>
      </c>
      <c r="T81" s="53" t="str">
        <f t="shared" si="11"/>
        <v>HIGH VOL</v>
      </c>
      <c r="U81" s="53">
        <f>IFERROR(__xludf.DUMMYFUNCTION("IFERROR(
  LET(
    sd, GOOGLEFINANCE(A81,""close"",TODAY()-100,TODAY()),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"""")"),0.89)</f>
        <v>0.89</v>
      </c>
      <c r="V81" s="53" t="str">
        <f t="shared" si="12"/>
        <v>SLOW</v>
      </c>
      <c r="W81" s="53">
        <f>IFERROR(__xludf.DUMMYFUNCTION("IFERROR(ROUND((B81/GOOGLEFINANCE(A81,""high52"")-1)*100,1),"""")"),-31.8)</f>
        <v>-31.8</v>
      </c>
      <c r="X81" s="53">
        <f>IFERROR(__xludf.DUMMYFUNCTION("IFERROR(ROUND((B81-GOOGLEFINANCE(A81,""low52""))/(GOOGLEFINANCE(A81,""high52"")-GOOGLEFINANCE(A81,""low52""))*100,1),"""")"),1.4)</f>
        <v>1.4</v>
      </c>
      <c r="Y81" s="53" t="str">
        <f t="shared" si="13"/>
        <v>MID</v>
      </c>
      <c r="Z81" s="53">
        <f>IFERROR(__xludf.DUMMYFUNCTION("IFERROR(ROUND(((B81 / INDEX(GOOGLEFINANCE(TRIM(A81), ""price"", TODAY()-34, TODAY()), 2, 2)) - (GOOGLEFINANCE(""NIFTY_50"") / INDEX(GOOGLEFINANCE(""NIFTY_50"", ""price"", TODAY()-34, TODAY()), 2, 2))) * 100, 2), ""Check History"")"),-0.35)</f>
        <v>-0.35</v>
      </c>
      <c r="AA81" s="53" t="str">
        <f t="shared" si="14"/>
        <v>WEAK RS</v>
      </c>
      <c r="AB81" s="53">
        <f>IFERROR(__xludf.DUMMYFUNCTION("IFERROR(LET(
  p, QUERY(GOOGLEFINANCE(TRIM(A81),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Loading"")"),35.9)</f>
        <v>35.9</v>
      </c>
      <c r="AC81" s="53" t="str">
        <f t="shared" si="15"/>
        <v>WEAK MOM</v>
      </c>
      <c r="AD81" s="53" t="str">
        <f>IFERROR(__xludf.DUMMYFUNCTION("IFERROR(IF(GOOGLEFINANCE(A81,""eps"")&gt;0,""EPS+"",""EPS-""),"""")"),"EPS+")</f>
        <v>EPS+</v>
      </c>
      <c r="AE81" s="53">
        <f t="shared" si="16"/>
        <v>4</v>
      </c>
      <c r="AF81" s="53">
        <f>IFERROR(__xludf.DUMMYFUNCTION("IFERROR(N81+IF(S81&gt;=1.2,1,0)+IF(U81&gt;=1,1,0)+IF(Z81&gt;0,1,0)+IF(AND(W81&gt;=-20,W81&lt;=0),1,0)+IF(IFERROR(GOOGLEFINANCE(A81,""eps""),0)&gt;0,1,0),"""")"),3.0)</f>
        <v>3</v>
      </c>
      <c r="AG81" s="53" t="str">
        <f t="shared" si="17"/>
        <v>REVERSE TRADE</v>
      </c>
    </row>
    <row r="82" ht="15.0" customHeight="1">
      <c r="A82" s="43" t="s">
        <v>234</v>
      </c>
      <c r="B82" s="44">
        <f>IFERROR(__xludf.DUMMYFUNCTION("GOOGLEFINANCE(A82,""price"")"),1414.7)</f>
        <v>1414.7</v>
      </c>
      <c r="C82" s="45">
        <f>IFERROR(__xludf.DUMMYFUNCTION("AVERAGE(QUERY(SORT(GOOGLEFINANCE(A82,""price"",TODAY()-150,TODAY()),1,0),""select Col2 limit 50""))"),1505.194)</f>
        <v>1505.194</v>
      </c>
      <c r="D82" s="45">
        <f>IFERROR(__xludf.DUMMYFUNCTION("AVERAGE(QUERY(SORT(GOOGLEFINANCE(A82,""price"",TODAY()-300,TODAY()),1,0),""select Col2 limit 100""))"),1520.8349999999998)</f>
        <v>1520.835</v>
      </c>
      <c r="E82" s="45">
        <f>IFERROR(__xludf.DUMMYFUNCTION("AVERAGE(QUERY(SORT(GOOGLEFINANCE(A82,""price"",TODAY()-500,TODAY()),1,0),""select Col2 limit 200""))"),1524.3470000000004)</f>
        <v>1524.347</v>
      </c>
      <c r="F82" s="46" t="str">
        <f t="shared" si="1"/>
        <v>In Bear Run</v>
      </c>
      <c r="G82" s="47">
        <f t="shared" si="2"/>
        <v>-7.193047252</v>
      </c>
      <c r="H82" s="48" t="str">
        <f t="shared" si="3"/>
        <v>Inverted ✗</v>
      </c>
      <c r="I82" s="48">
        <f t="shared" si="4"/>
        <v>0</v>
      </c>
      <c r="J82" s="48">
        <f t="shared" si="5"/>
        <v>0</v>
      </c>
      <c r="K82" s="49" t="str">
        <f>IFERROR(__xludf.DUMMYFUNCTION("IFERROR(IF(A82="""",""ENTER STOCK"",LET(stock,A82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82" s="48">
        <f t="shared" si="6"/>
        <v>0</v>
      </c>
      <c r="M82" s="48">
        <f t="shared" si="7"/>
        <v>1</v>
      </c>
      <c r="N82" s="50">
        <f t="shared" si="8"/>
        <v>1</v>
      </c>
      <c r="O82" s="51" t="s">
        <v>121</v>
      </c>
      <c r="P82" s="46" t="str">
        <f t="shared" si="9"/>
        <v>REVERSE TRADE</v>
      </c>
      <c r="Q82" s="52"/>
      <c r="R82" s="53">
        <f t="shared" si="10"/>
        <v>15</v>
      </c>
      <c r="S82" s="53">
        <f>IFERROR(__xludf.DUMMYFUNCTION("IFERROR(ROUND(GOOGLEFINANCE(A82,""volume"")/GOOGLEFINANCE(A82,""volumeavg""),2),"""")"),1.4)</f>
        <v>1.4</v>
      </c>
      <c r="T82" s="53" t="str">
        <f t="shared" si="11"/>
        <v>OK VOL</v>
      </c>
      <c r="U82" s="53">
        <f>IFERROR(__xludf.DUMMYFUNCTION("IFERROR(
  LET(
    sd, GOOGLEFINANCE(A82,""close"",TODAY()-100,TODAY()),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"""")"),0.49)</f>
        <v>0.49</v>
      </c>
      <c r="V82" s="53" t="str">
        <f t="shared" si="12"/>
        <v>SLOW</v>
      </c>
      <c r="W82" s="53">
        <f>IFERROR(__xludf.DUMMYFUNCTION("IFERROR(ROUND((B82/GOOGLEFINANCE(A82,""high52"")-1)*100,1),"""")"),-23.7)</f>
        <v>-23.7</v>
      </c>
      <c r="X82" s="53">
        <f>IFERROR(__xludf.DUMMYFUNCTION("IFERROR(ROUND((B82-GOOGLEFINANCE(A82,""low52""))/(GOOGLEFINANCE(A82,""high52"")-GOOGLEFINANCE(A82,""low52""))*100,1),"""")"),31.8)</f>
        <v>31.8</v>
      </c>
      <c r="Y82" s="53" t="str">
        <f t="shared" si="13"/>
        <v>MID</v>
      </c>
      <c r="Z82" s="53">
        <f>IFERROR(__xludf.DUMMYFUNCTION("IFERROR(ROUND(((B82 / INDEX(GOOGLEFINANCE(TRIM(A82), ""price"", TODAY()-34, TODAY()), 2, 2)) - (GOOGLEFINANCE(""NIFTY_50"") / INDEX(GOOGLEFINANCE(""NIFTY_50"", ""price"", TODAY()-34, TODAY()), 2, 2))) * 100, 2), ""Check History"")"),17.32)</f>
        <v>17.32</v>
      </c>
      <c r="AA82" s="53" t="str">
        <f t="shared" si="14"/>
        <v>STRONG RS</v>
      </c>
      <c r="AB82" s="53">
        <f>IFERROR(__xludf.DUMMYFUNCTION("IFERROR(LET(
  p, QUERY(GOOGLEFINANCE(TRIM(A82),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Loading"")"),58.7)</f>
        <v>58.7</v>
      </c>
      <c r="AC82" s="53" t="str">
        <f t="shared" si="15"/>
        <v>IDEAL ENTRY</v>
      </c>
      <c r="AD82" s="53" t="str">
        <f>IFERROR(__xludf.DUMMYFUNCTION("IFERROR(IF(GOOGLEFINANCE(A82,""eps"")&gt;0,""EPS+"",""EPS-""),"""")"),"EPS+")</f>
        <v>EPS+</v>
      </c>
      <c r="AE82" s="53">
        <f t="shared" si="16"/>
        <v>4</v>
      </c>
      <c r="AF82" s="53">
        <f>IFERROR(__xludf.DUMMYFUNCTION("IFERROR(N82+IF(S82&gt;=1.2,1,0)+IF(U82&gt;=1,1,0)+IF(Z82&gt;0,1,0)+IF(AND(W82&gt;=-20,W82&lt;=0),1,0)+IF(IFERROR(GOOGLEFINANCE(A82,""eps""),0)&gt;0,1,0),"""")"),4.0)</f>
        <v>4</v>
      </c>
      <c r="AG82" s="53" t="str">
        <f t="shared" si="17"/>
        <v>REVERSE TRADE</v>
      </c>
    </row>
    <row r="83" ht="15.0" customHeight="1">
      <c r="A83" s="43" t="s">
        <v>235</v>
      </c>
      <c r="B83" s="44">
        <f>IFERROR(__xludf.DUMMYFUNCTION("GOOGLEFINANCE(A83,""price"")"),22.44)</f>
        <v>22.44</v>
      </c>
      <c r="C83" s="45">
        <f>IFERROR(__xludf.DUMMYFUNCTION("AVERAGE(QUERY(SORT(GOOGLEFINANCE(A83,""price"",TODAY()-150,TODAY()),1,0),""select Col2 limit 50""))"),27.6628)</f>
        <v>27.6628</v>
      </c>
      <c r="D83" s="45">
        <f>IFERROR(__xludf.DUMMYFUNCTION("AVERAGE(QUERY(SORT(GOOGLEFINANCE(A83,""price"",TODAY()-300,TODAY()),1,0),""select Col2 limit 100""))"),28.87380000000001)</f>
        <v>28.8738</v>
      </c>
      <c r="E83" s="45">
        <f>IFERROR(__xludf.DUMMYFUNCTION("AVERAGE(QUERY(SORT(GOOGLEFINANCE(A83,""price"",TODAY()-500,TODAY()),1,0),""select Col2 limit 200""))"),29.693299999999994)</f>
        <v>29.6933</v>
      </c>
      <c r="F83" s="46" t="str">
        <f t="shared" si="1"/>
        <v>In Bear Run</v>
      </c>
      <c r="G83" s="47">
        <f t="shared" si="2"/>
        <v>-24.42739608</v>
      </c>
      <c r="H83" s="48" t="str">
        <f t="shared" si="3"/>
        <v>Inverted ✗</v>
      </c>
      <c r="I83" s="48">
        <f t="shared" si="4"/>
        <v>0</v>
      </c>
      <c r="J83" s="48">
        <f t="shared" si="5"/>
        <v>0</v>
      </c>
      <c r="K83" s="49" t="str">
        <f>IFERROR(__xludf.DUMMYFUNCTION("IFERROR(IF(A83="""",""ENTER STOCK"",LET(stock,A83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83" s="48">
        <f t="shared" si="6"/>
        <v>0</v>
      </c>
      <c r="M83" s="48">
        <f t="shared" si="7"/>
        <v>1</v>
      </c>
      <c r="N83" s="50">
        <f t="shared" si="8"/>
        <v>1</v>
      </c>
      <c r="O83" s="51" t="s">
        <v>236</v>
      </c>
      <c r="P83" s="46" t="str">
        <f t="shared" si="9"/>
        <v>REVERSE TRADE</v>
      </c>
      <c r="Q83" s="52"/>
      <c r="R83" s="53">
        <f t="shared" si="10"/>
        <v>15</v>
      </c>
      <c r="S83" s="53">
        <f>IFERROR(__xludf.DUMMYFUNCTION("IFERROR(ROUND(GOOGLEFINANCE(A83,""volume"")/GOOGLEFINANCE(A83,""volumeavg""),2),"""")"),1.38)</f>
        <v>1.38</v>
      </c>
      <c r="T83" s="53" t="str">
        <f t="shared" si="11"/>
        <v>OK VOL</v>
      </c>
      <c r="U83" s="53">
        <f>IFERROR(__xludf.DUMMYFUNCTION("IFERROR(
  LET(
    sd, GOOGLEFINANCE(A83,""close"",TODAY()-100,TODAY()),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"""")"),1.5)</f>
        <v>1.5</v>
      </c>
      <c r="V83" s="53" t="str">
        <f t="shared" si="12"/>
        <v>FAST</v>
      </c>
      <c r="W83" s="53">
        <f>IFERROR(__xludf.DUMMYFUNCTION("IFERROR(ROUND((B83/GOOGLEFINANCE(A83,""high52"")-1)*100,1),"""")"),-36.0)</f>
        <v>-36</v>
      </c>
      <c r="X83" s="53">
        <f>IFERROR(__xludf.DUMMYFUNCTION("IFERROR(ROUND((B83-GOOGLEFINANCE(A83,""low52""))/(GOOGLEFINANCE(A83,""high52"")-GOOGLEFINANCE(A83,""low52""))*100,1),"""")"),1.7)</f>
        <v>1.7</v>
      </c>
      <c r="Y83" s="53" t="str">
        <f t="shared" si="13"/>
        <v>MID</v>
      </c>
      <c r="Z83" s="53">
        <f>IFERROR(__xludf.DUMMYFUNCTION("IFERROR(ROUND(((B83 / INDEX(GOOGLEFINANCE(TRIM(A83), ""price"", TODAY()-34, TODAY()), 2, 2)) - (GOOGLEFINANCE(""NIFTY_50"") / INDEX(GOOGLEFINANCE(""NIFTY_50"", ""price"", TODAY()-34, TODAY()), 2, 2))) * 100, 2), ""Check History"")"),-11.09)</f>
        <v>-11.09</v>
      </c>
      <c r="AA83" s="53" t="str">
        <f t="shared" si="14"/>
        <v>WEAK RS</v>
      </c>
      <c r="AB83" s="53">
        <f>IFERROR(__xludf.DUMMYFUNCTION("IFERROR(LET(
  p, QUERY(GOOGLEFINANCE(TRIM(A83),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Loading"")"),35.6)</f>
        <v>35.6</v>
      </c>
      <c r="AC83" s="53" t="str">
        <f t="shared" si="15"/>
        <v>WEAK MOM</v>
      </c>
      <c r="AD83" s="53" t="str">
        <f>IFERROR(__xludf.DUMMYFUNCTION("IFERROR(IF(GOOGLEFINANCE(A83,""eps"")&gt;0,""EPS+"",""EPS-""),"""")"),"EPS+")</f>
        <v>EPS+</v>
      </c>
      <c r="AE83" s="53">
        <f t="shared" si="16"/>
        <v>5</v>
      </c>
      <c r="AF83" s="53">
        <f>IFERROR(__xludf.DUMMYFUNCTION("IFERROR(N83+IF(S83&gt;=1.2,1,0)+IF(U83&gt;=1,1,0)+IF(Z83&gt;0,1,0)+IF(AND(W83&gt;=-20,W83&lt;=0),1,0)+IF(IFERROR(GOOGLEFINANCE(A83,""eps""),0)&gt;0,1,0),"""")"),4.0)</f>
        <v>4</v>
      </c>
      <c r="AG83" s="53" t="str">
        <f t="shared" si="17"/>
        <v>REVERSE TRADE</v>
      </c>
    </row>
    <row r="84" ht="15.0" customHeight="1">
      <c r="A84" s="43" t="s">
        <v>237</v>
      </c>
      <c r="B84" s="44">
        <f>IFERROR(__xludf.DUMMYFUNCTION("GOOGLEFINANCE(A84,""price"")"),735.0)</f>
        <v>735</v>
      </c>
      <c r="C84" s="45">
        <f>IFERROR(__xludf.DUMMYFUNCTION("AVERAGE(QUERY(SORT(GOOGLEFINANCE(A84,""price"",TODAY()-150,TODAY()),1,0),""select Col2 limit 50""))"),884.2209999999997)</f>
        <v>884.221</v>
      </c>
      <c r="D84" s="45">
        <f>IFERROR(__xludf.DUMMYFUNCTION("AVERAGE(QUERY(SORT(GOOGLEFINANCE(A84,""price"",TODAY()-300,TODAY()),1,0),""select Col2 limit 100""))"),936.1149999999999)</f>
        <v>936.115</v>
      </c>
      <c r="E84" s="45">
        <f>IFERROR(__xludf.DUMMYFUNCTION("AVERAGE(QUERY(SORT(GOOGLEFINANCE(A84,""price"",TODAY()-500,TODAY()),1,0),""select Col2 limit 200""))"),959.8684999999999)</f>
        <v>959.8685</v>
      </c>
      <c r="F84" s="46" t="str">
        <f t="shared" si="1"/>
        <v>In Bear Run</v>
      </c>
      <c r="G84" s="47">
        <f t="shared" si="2"/>
        <v>-23.4270111</v>
      </c>
      <c r="H84" s="48" t="str">
        <f t="shared" si="3"/>
        <v>Inverted ✗</v>
      </c>
      <c r="I84" s="48">
        <f t="shared" si="4"/>
        <v>0</v>
      </c>
      <c r="J84" s="48">
        <f t="shared" si="5"/>
        <v>0</v>
      </c>
      <c r="K84" s="49" t="str">
        <f>IFERROR(__xludf.DUMMYFUNCTION("IFERROR(IF(A84="""",""ENTER STOCK"",LET(stock,A84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84" s="48">
        <f t="shared" si="6"/>
        <v>0</v>
      </c>
      <c r="M84" s="48">
        <f t="shared" si="7"/>
        <v>1</v>
      </c>
      <c r="N84" s="50">
        <f t="shared" si="8"/>
        <v>1</v>
      </c>
      <c r="O84" s="51" t="s">
        <v>236</v>
      </c>
      <c r="P84" s="46" t="str">
        <f t="shared" si="9"/>
        <v>REVERSE TRADE</v>
      </c>
      <c r="Q84" s="52"/>
      <c r="R84" s="53">
        <f t="shared" si="10"/>
        <v>15</v>
      </c>
      <c r="S84" s="53">
        <f>IFERROR(__xludf.DUMMYFUNCTION("IFERROR(ROUND(GOOGLEFINANCE(A84,""volume"")/GOOGLEFINANCE(A84,""volumeavg""),2),"""")"),2.45)</f>
        <v>2.45</v>
      </c>
      <c r="T84" s="53" t="str">
        <f t="shared" si="11"/>
        <v>HIGH VOL</v>
      </c>
      <c r="U84" s="53">
        <f>IFERROR(__xludf.DUMMYFUNCTION("IFERROR(
  LET(
    sd, GOOGLEFINANCE(A84,""close"",TODAY()-100,TODAY()),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"""")"),1.16)</f>
        <v>1.16</v>
      </c>
      <c r="V84" s="53" t="str">
        <f t="shared" si="12"/>
        <v>MEDIUM</v>
      </c>
      <c r="W84" s="53">
        <f>IFERROR(__xludf.DUMMYFUNCTION("IFERROR(ROUND((B84/GOOGLEFINANCE(A84,""high52"")-1)*100,1),"""")"),-28.0)</f>
        <v>-28</v>
      </c>
      <c r="X84" s="53">
        <f>IFERROR(__xludf.DUMMYFUNCTION("IFERROR(ROUND((B84-GOOGLEFINANCE(A84,""low52""))/(GOOGLEFINANCE(A84,""high52"")-GOOGLEFINANCE(A84,""low52""))*100,1),"""")"),2.8)</f>
        <v>2.8</v>
      </c>
      <c r="Y84" s="53" t="str">
        <f t="shared" si="13"/>
        <v>MID</v>
      </c>
      <c r="Z84" s="53">
        <f>IFERROR(__xludf.DUMMYFUNCTION("IFERROR(ROUND(((B84 / INDEX(GOOGLEFINANCE(TRIM(A84), ""price"", TODAY()-34, TODAY()), 2, 2)) - (GOOGLEFINANCE(""NIFTY_50"") / INDEX(GOOGLEFINANCE(""NIFTY_50"", ""price"", TODAY()-34, TODAY()), 2, 2))) * 100, 2), ""Check History"")"),-7.11)</f>
        <v>-7.11</v>
      </c>
      <c r="AA84" s="53" t="str">
        <f t="shared" si="14"/>
        <v>WEAK RS</v>
      </c>
      <c r="AB84" s="53">
        <f>IFERROR(__xludf.DUMMYFUNCTION("IFERROR(LET(
  p, QUERY(GOOGLEFINANCE(TRIM(A84),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Loading"")"),42.3)</f>
        <v>42.3</v>
      </c>
      <c r="AC84" s="53" t="str">
        <f t="shared" si="15"/>
        <v>WEAK MOM</v>
      </c>
      <c r="AD84" s="53" t="str">
        <f>IFERROR(__xludf.DUMMYFUNCTION("IFERROR(IF(GOOGLEFINANCE(A84,""eps"")&gt;0,""EPS+"",""EPS-""),"""")"),"EPS+")</f>
        <v>EPS+</v>
      </c>
      <c r="AE84" s="53">
        <f t="shared" si="16"/>
        <v>5</v>
      </c>
      <c r="AF84" s="53">
        <f>IFERROR(__xludf.DUMMYFUNCTION("IFERROR(N84+IF(S84&gt;=1.2,1,0)+IF(U84&gt;=1,1,0)+IF(Z84&gt;0,1,0)+IF(AND(W84&gt;=-20,W84&lt;=0),1,0)+IF(IFERROR(GOOGLEFINANCE(A84,""eps""),0)&gt;0,1,0),"""")"),4.0)</f>
        <v>4</v>
      </c>
      <c r="AG84" s="53" t="str">
        <f t="shared" si="17"/>
        <v>REVERSE TRADE</v>
      </c>
    </row>
    <row r="85" ht="15.0" customHeight="1">
      <c r="A85" s="43" t="s">
        <v>238</v>
      </c>
      <c r="B85" s="44">
        <f>IFERROR(__xludf.DUMMYFUNCTION("GOOGLEFINANCE(A85,""price"")"),1412.8)</f>
        <v>1412.8</v>
      </c>
      <c r="C85" s="45">
        <f>IFERROR(__xludf.DUMMYFUNCTION("AVERAGE(QUERY(SORT(GOOGLEFINANCE(A85,""price"",TODAY()-150,TODAY()),1,0),""select Col2 limit 50""))"),1507.532)</f>
        <v>1507.532</v>
      </c>
      <c r="D85" s="45">
        <f>IFERROR(__xludf.DUMMYFUNCTION("AVERAGE(QUERY(SORT(GOOGLEFINANCE(A85,""price"",TODAY()-300,TODAY()),1,0),""select Col2 limit 100""))"),1596.4690000000005)</f>
        <v>1596.469</v>
      </c>
      <c r="E85" s="45">
        <f>IFERROR(__xludf.DUMMYFUNCTION("AVERAGE(QUERY(SORT(GOOGLEFINANCE(A85,""price"",TODAY()-500,TODAY()),1,0),""select Col2 limit 200""))"),1657.1235000000001)</f>
        <v>1657.1235</v>
      </c>
      <c r="F85" s="46" t="str">
        <f t="shared" si="1"/>
        <v>In Bear Run</v>
      </c>
      <c r="G85" s="47">
        <f t="shared" si="2"/>
        <v>-14.74383171</v>
      </c>
      <c r="H85" s="48" t="str">
        <f t="shared" si="3"/>
        <v>Inverted ✗</v>
      </c>
      <c r="I85" s="48">
        <f t="shared" si="4"/>
        <v>0</v>
      </c>
      <c r="J85" s="48">
        <f t="shared" si="5"/>
        <v>0</v>
      </c>
      <c r="K85" s="49" t="str">
        <f>IFERROR(__xludf.DUMMYFUNCTION("IFERROR(IF(A85="""",""ENTER STOCK"",LET(stock,A85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85" s="48">
        <f t="shared" si="6"/>
        <v>0</v>
      </c>
      <c r="M85" s="48">
        <f t="shared" si="7"/>
        <v>1</v>
      </c>
      <c r="N85" s="50">
        <f t="shared" si="8"/>
        <v>1</v>
      </c>
      <c r="O85" s="51" t="s">
        <v>134</v>
      </c>
      <c r="P85" s="46" t="str">
        <f t="shared" si="9"/>
        <v>REVERSE TRADE</v>
      </c>
      <c r="Q85" s="52"/>
      <c r="R85" s="53">
        <f t="shared" si="10"/>
        <v>15</v>
      </c>
      <c r="S85" s="53">
        <f>IFERROR(__xludf.DUMMYFUNCTION("IFERROR(ROUND(GOOGLEFINANCE(A85,""volume"")/GOOGLEFINANCE(A85,""volumeavg""),2),"""")"),2.79)</f>
        <v>2.79</v>
      </c>
      <c r="T85" s="53" t="str">
        <f t="shared" si="11"/>
        <v>HIGH VOL</v>
      </c>
      <c r="U85" s="53">
        <f>IFERROR(__xludf.DUMMYFUNCTION("IFERROR(
  LET(
    sd, GOOGLEFINANCE(A85,""close"",TODAY()-100,TODAY()),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"""")"),1.15)</f>
        <v>1.15</v>
      </c>
      <c r="V85" s="53" t="str">
        <f t="shared" si="12"/>
        <v>MEDIUM</v>
      </c>
      <c r="W85" s="53">
        <f>IFERROR(__xludf.DUMMYFUNCTION("IFERROR(ROUND((B85/GOOGLEFINANCE(A85,""high52"")-1)*100,1),"""")"),-29.5)</f>
        <v>-29.5</v>
      </c>
      <c r="X85" s="53">
        <f>IFERROR(__xludf.DUMMYFUNCTION("IFERROR(ROUND((B85-GOOGLEFINANCE(A85,""low52""))/(GOOGLEFINANCE(A85,""high52"")-GOOGLEFINANCE(A85,""low52""))*100,1),"""")"),3.5)</f>
        <v>3.5</v>
      </c>
      <c r="Y85" s="53" t="str">
        <f t="shared" si="13"/>
        <v>MID</v>
      </c>
      <c r="Z85" s="53">
        <f>IFERROR(__xludf.DUMMYFUNCTION("IFERROR(ROUND(((B85 / INDEX(GOOGLEFINANCE(TRIM(A85), ""price"", TODAY()-34, TODAY()), 2, 2)) - (GOOGLEFINANCE(""NIFTY_50"") / INDEX(GOOGLEFINANCE(""NIFTY_50"", ""price"", TODAY()-34, TODAY()), 2, 2))) * 100, 2), ""Check History"")"),5.61)</f>
        <v>5.61</v>
      </c>
      <c r="AA85" s="53" t="str">
        <f t="shared" si="14"/>
        <v>STRONG RS</v>
      </c>
      <c r="AB85" s="53">
        <f>IFERROR(__xludf.DUMMYFUNCTION("IFERROR(LET(
  p, QUERY(GOOGLEFINANCE(TRIM(A85),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Loading"")"),55.1)</f>
        <v>55.1</v>
      </c>
      <c r="AC85" s="53" t="str">
        <f t="shared" si="15"/>
        <v>IDEAL ENTRY</v>
      </c>
      <c r="AD85" s="53" t="str">
        <f>IFERROR(__xludf.DUMMYFUNCTION("IFERROR(IF(GOOGLEFINANCE(A85,""eps"")&gt;0,""EPS+"",""EPS-""),"""")"),"EPS+")</f>
        <v>EPS+</v>
      </c>
      <c r="AE85" s="53">
        <f t="shared" si="16"/>
        <v>7</v>
      </c>
      <c r="AF85" s="53">
        <f>IFERROR(__xludf.DUMMYFUNCTION("IFERROR(N85+IF(S85&gt;=1.2,1,0)+IF(U85&gt;=1,1,0)+IF(Z85&gt;0,1,0)+IF(AND(W85&gt;=-20,W85&lt;=0),1,0)+IF(IFERROR(GOOGLEFINANCE(A85,""eps""),0)&gt;0,1,0),"""")"),5.0)</f>
        <v>5</v>
      </c>
      <c r="AG85" s="53" t="str">
        <f t="shared" si="17"/>
        <v>REVERSE TRADE</v>
      </c>
    </row>
    <row r="86" ht="15.0" customHeight="1">
      <c r="A86" s="43" t="s">
        <v>239</v>
      </c>
      <c r="B86" s="44">
        <f>IFERROR(__xludf.DUMMYFUNCTION("GOOGLEFINANCE(A86,""price"")"),592.95)</f>
        <v>592.95</v>
      </c>
      <c r="C86" s="45">
        <f>IFERROR(__xludf.DUMMYFUNCTION("AVERAGE(QUERY(SORT(GOOGLEFINANCE(A86,""price"",TODAY()-150,TODAY()),1,0),""select Col2 limit 50""))"),691.7579999999997)</f>
        <v>691.758</v>
      </c>
      <c r="D86" s="45">
        <f>IFERROR(__xludf.DUMMYFUNCTION("AVERAGE(QUERY(SORT(GOOGLEFINANCE(A86,""price"",TODAY()-300,TODAY()),1,0),""select Col2 limit 100""))"),726.3179999999999)</f>
        <v>726.318</v>
      </c>
      <c r="E86" s="45">
        <f>IFERROR(__xludf.DUMMYFUNCTION("AVERAGE(QUERY(SORT(GOOGLEFINANCE(A86,""price"",TODAY()-500,TODAY()),1,0),""select Col2 limit 200""))"),746.5922500000008)</f>
        <v>746.59225</v>
      </c>
      <c r="F86" s="46" t="str">
        <f t="shared" si="1"/>
        <v>In Bear Run</v>
      </c>
      <c r="G86" s="47">
        <f t="shared" si="2"/>
        <v>-20.57913808</v>
      </c>
      <c r="H86" s="48" t="str">
        <f t="shared" si="3"/>
        <v>Inverted ✗</v>
      </c>
      <c r="I86" s="48">
        <f t="shared" si="4"/>
        <v>0</v>
      </c>
      <c r="J86" s="48">
        <f t="shared" si="5"/>
        <v>0</v>
      </c>
      <c r="K86" s="49" t="str">
        <f>IFERROR(__xludf.DUMMYFUNCTION("IFERROR(IF(A86="""",""ENTER STOCK"",LET(stock,A86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86" s="48">
        <f t="shared" si="6"/>
        <v>0</v>
      </c>
      <c r="M86" s="48">
        <f t="shared" si="7"/>
        <v>1</v>
      </c>
      <c r="N86" s="50">
        <f t="shared" si="8"/>
        <v>1</v>
      </c>
      <c r="O86" s="51" t="s">
        <v>147</v>
      </c>
      <c r="P86" s="46" t="str">
        <f t="shared" si="9"/>
        <v>REVERSE TRADE</v>
      </c>
      <c r="Q86" s="52"/>
      <c r="R86" s="53">
        <f t="shared" si="10"/>
        <v>15</v>
      </c>
      <c r="S86" s="53">
        <f>IFERROR(__xludf.DUMMYFUNCTION("IFERROR(ROUND(GOOGLEFINANCE(A86,""volume"")/GOOGLEFINANCE(A86,""volumeavg""),2),"""")"),2.17)</f>
        <v>2.17</v>
      </c>
      <c r="T86" s="53" t="str">
        <f t="shared" si="11"/>
        <v>HIGH VOL</v>
      </c>
      <c r="U86" s="53">
        <f>IFERROR(__xludf.DUMMYFUNCTION("IFERROR(
  LET(
    sd, GOOGLEFINANCE(A86,""close"",TODAY()-100,TODAY()),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"""")"),0.42)</f>
        <v>0.42</v>
      </c>
      <c r="V86" s="53" t="str">
        <f t="shared" si="12"/>
        <v>SLOW</v>
      </c>
      <c r="W86" s="53">
        <f>IFERROR(__xludf.DUMMYFUNCTION("IFERROR(ROUND((B86/GOOGLEFINANCE(A86,""high52"")-1)*100,1),"""")"),-27.8)</f>
        <v>-27.8</v>
      </c>
      <c r="X86" s="53">
        <f>IFERROR(__xludf.DUMMYFUNCTION("IFERROR(ROUND((B86-GOOGLEFINANCE(A86,""low52""))/(GOOGLEFINANCE(A86,""high52"")-GOOGLEFINANCE(A86,""low52""))*100,1),"""")"),2.2)</f>
        <v>2.2</v>
      </c>
      <c r="Y86" s="53" t="str">
        <f t="shared" si="13"/>
        <v>MID</v>
      </c>
      <c r="Z86" s="53">
        <f>IFERROR(__xludf.DUMMYFUNCTION("IFERROR(ROUND(((B86 / INDEX(GOOGLEFINANCE(TRIM(A86), ""price"", TODAY()-34, TODAY()), 2, 2)) - (GOOGLEFINANCE(""NIFTY_50"") / INDEX(GOOGLEFINANCE(""NIFTY_50"", ""price"", TODAY()-34, TODAY()), 2, 2))) * 100, 2), ""Check History"")"),-7.13)</f>
        <v>-7.13</v>
      </c>
      <c r="AA86" s="53" t="str">
        <f t="shared" si="14"/>
        <v>WEAK RS</v>
      </c>
      <c r="AB86" s="53">
        <f>IFERROR(__xludf.DUMMYFUNCTION("IFERROR(LET(
  p, QUERY(GOOGLEFINANCE(TRIM(A86),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Loading"")"),34.3)</f>
        <v>34.3</v>
      </c>
      <c r="AC86" s="53" t="str">
        <f t="shared" si="15"/>
        <v>WEAK MOM</v>
      </c>
      <c r="AD86" s="53" t="str">
        <f>IFERROR(__xludf.DUMMYFUNCTION("IFERROR(IF(GOOGLEFINANCE(A86,""eps"")&gt;0,""EPS+"",""EPS-""),"""")"),"EPS+")</f>
        <v>EPS+</v>
      </c>
      <c r="AE86" s="53">
        <f t="shared" si="16"/>
        <v>3</v>
      </c>
      <c r="AF86" s="53">
        <f>IFERROR(__xludf.DUMMYFUNCTION("IFERROR(N86+IF(S86&gt;=1.2,1,0)+IF(U86&gt;=1,1,0)+IF(Z86&gt;0,1,0)+IF(AND(W86&gt;=-20,W86&lt;=0),1,0)+IF(IFERROR(GOOGLEFINANCE(A86,""eps""),0)&gt;0,1,0),"""")"),3.0)</f>
        <v>3</v>
      </c>
      <c r="AG86" s="53" t="str">
        <f t="shared" si="17"/>
        <v>REVERSE TRADE</v>
      </c>
    </row>
    <row r="87" ht="15.0" customHeight="1">
      <c r="A87" s="43" t="s">
        <v>240</v>
      </c>
      <c r="B87" s="44">
        <f>IFERROR(__xludf.DUMMYFUNCTION("GOOGLEFINANCE(A87,""price"")"),424.0)</f>
        <v>424</v>
      </c>
      <c r="C87" s="45">
        <f>IFERROR(__xludf.DUMMYFUNCTION("AVERAGE(QUERY(SORT(GOOGLEFINANCE(A87,""price"",TODAY()-150,TODAY()),1,0),""select Col2 limit 50""))"),486.7869999999999)</f>
        <v>486.787</v>
      </c>
      <c r="D87" s="45">
        <f>IFERROR(__xludf.DUMMYFUNCTION("AVERAGE(QUERY(SORT(GOOGLEFINANCE(A87,""price"",TODAY()-300,TODAY()),1,0),""select Col2 limit 100""))"),501.27749999999986)</f>
        <v>501.2775</v>
      </c>
      <c r="E87" s="45">
        <f>IFERROR(__xludf.DUMMYFUNCTION("AVERAGE(QUERY(SORT(GOOGLEFINANCE(A87,""price"",TODAY()-500,TODAY()),1,0),""select Col2 limit 200""))"),533.9799000000002)</f>
        <v>533.9799</v>
      </c>
      <c r="F87" s="46" t="str">
        <f t="shared" si="1"/>
        <v>In Bear Run</v>
      </c>
      <c r="G87" s="47">
        <f t="shared" si="2"/>
        <v>-20.59626214</v>
      </c>
      <c r="H87" s="48" t="str">
        <f t="shared" si="3"/>
        <v>Inverted ✗</v>
      </c>
      <c r="I87" s="48">
        <f t="shared" si="4"/>
        <v>0</v>
      </c>
      <c r="J87" s="48">
        <f t="shared" si="5"/>
        <v>0</v>
      </c>
      <c r="K87" s="49" t="str">
        <f>IFERROR(__xludf.DUMMYFUNCTION("IFERROR(IF(A87="""",""ENTER STOCK"",LET(stock,A87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87" s="48">
        <f t="shared" si="6"/>
        <v>0</v>
      </c>
      <c r="M87" s="48">
        <f t="shared" si="7"/>
        <v>1</v>
      </c>
      <c r="N87" s="50">
        <f t="shared" si="8"/>
        <v>1</v>
      </c>
      <c r="O87" s="51" t="s">
        <v>219</v>
      </c>
      <c r="P87" s="46" t="str">
        <f t="shared" si="9"/>
        <v>REVERSE TRADE</v>
      </c>
      <c r="Q87" s="52"/>
      <c r="R87" s="53">
        <f t="shared" si="10"/>
        <v>15</v>
      </c>
      <c r="S87" s="53">
        <f>IFERROR(__xludf.DUMMYFUNCTION("IFERROR(ROUND(GOOGLEFINANCE(A87,""volume"")/GOOGLEFINANCE(A87,""volumeavg""),2),"""")"),2.09)</f>
        <v>2.09</v>
      </c>
      <c r="T87" s="53" t="str">
        <f t="shared" si="11"/>
        <v>HIGH VOL</v>
      </c>
      <c r="U87" s="53">
        <f>IFERROR(__xludf.DUMMYFUNCTION("IFERROR(
  LET(
    sd, GOOGLEFINANCE(A87,""close"",TODAY()-100,TODAY()),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"""")"),1.29)</f>
        <v>1.29</v>
      </c>
      <c r="V87" s="53" t="str">
        <f t="shared" si="12"/>
        <v>FAST</v>
      </c>
      <c r="W87" s="53">
        <f>IFERROR(__xludf.DUMMYFUNCTION("IFERROR(ROUND((B87/GOOGLEFINANCE(A87,""high52"")-1)*100,1),"""")"),-35.0)</f>
        <v>-35</v>
      </c>
      <c r="X87" s="53">
        <f>IFERROR(__xludf.DUMMYFUNCTION("IFERROR(ROUND((B87-GOOGLEFINANCE(A87,""low52""))/(GOOGLEFINANCE(A87,""high52"")-GOOGLEFINANCE(A87,""low52""))*100,1),"""")"),1.1)</f>
        <v>1.1</v>
      </c>
      <c r="Y87" s="53" t="str">
        <f t="shared" si="13"/>
        <v>MID</v>
      </c>
      <c r="Z87" s="53">
        <f>IFERROR(__xludf.DUMMYFUNCTION("IFERROR(ROUND(((B87 / INDEX(GOOGLEFINANCE(TRIM(A87), ""price"", TODAY()-34, TODAY()), 2, 2)) - (GOOGLEFINANCE(""NIFTY_50"") / INDEX(GOOGLEFINANCE(""NIFTY_50"", ""price"", TODAY()-34, TODAY()), 2, 2))) * 100, 2), ""Check History"")"),-3.96)</f>
        <v>-3.96</v>
      </c>
      <c r="AA87" s="53" t="str">
        <f t="shared" si="14"/>
        <v>WEAK RS</v>
      </c>
      <c r="AB87" s="53">
        <f>IFERROR(__xludf.DUMMYFUNCTION("IFERROR(LET(
  p, QUERY(GOOGLEFINANCE(TRIM(A87),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Loading"")"),43.2)</f>
        <v>43.2</v>
      </c>
      <c r="AC87" s="53" t="str">
        <f t="shared" si="15"/>
        <v>WEAK MOM</v>
      </c>
      <c r="AD87" s="53" t="str">
        <f>IFERROR(__xludf.DUMMYFUNCTION("IFERROR(IF(GOOGLEFINANCE(A87,""eps"")&gt;0,""EPS+"",""EPS-""),"""")"),"EPS+")</f>
        <v>EPS+</v>
      </c>
      <c r="AE87" s="53">
        <f t="shared" si="16"/>
        <v>6</v>
      </c>
      <c r="AF87" s="53">
        <f>IFERROR(__xludf.DUMMYFUNCTION("IFERROR(N87+IF(S87&gt;=1.2,1,0)+IF(U87&gt;=1,1,0)+IF(Z87&gt;0,1,0)+IF(AND(W87&gt;=-20,W87&lt;=0),1,0)+IF(IFERROR(GOOGLEFINANCE(A87,""eps""),0)&gt;0,1,0),"""")"),4.0)</f>
        <v>4</v>
      </c>
      <c r="AG87" s="53" t="str">
        <f t="shared" si="17"/>
        <v>REVERSE TRADE</v>
      </c>
    </row>
    <row r="88" ht="15.0" customHeight="1">
      <c r="A88" s="43" t="s">
        <v>241</v>
      </c>
      <c r="B88" s="44">
        <f>IFERROR(__xludf.DUMMYFUNCTION("GOOGLEFINANCE(A88,""price"")"),305.25)</f>
        <v>305.25</v>
      </c>
      <c r="C88" s="45">
        <f>IFERROR(__xludf.DUMMYFUNCTION("AVERAGE(QUERY(SORT(GOOGLEFINANCE(A88,""price"",TODAY()-150,TODAY()),1,0),""select Col2 limit 50""))"),350.147)</f>
        <v>350.147</v>
      </c>
      <c r="D88" s="45">
        <f>IFERROR(__xludf.DUMMYFUNCTION("AVERAGE(QUERY(SORT(GOOGLEFINANCE(A88,""price"",TODAY()-300,TODAY()),1,0),""select Col2 limit 100""))"),353.9615)</f>
        <v>353.9615</v>
      </c>
      <c r="E88" s="45">
        <f>IFERROR(__xludf.DUMMYFUNCTION("AVERAGE(QUERY(SORT(GOOGLEFINANCE(A88,""price"",TODAY()-500,TODAY()),1,0),""select Col2 limit 200""))"),369.48350000000005)</f>
        <v>369.4835</v>
      </c>
      <c r="F88" s="46" t="str">
        <f t="shared" si="1"/>
        <v>In Bear Run</v>
      </c>
      <c r="G88" s="47">
        <f t="shared" si="2"/>
        <v>-17.38467347</v>
      </c>
      <c r="H88" s="48" t="str">
        <f t="shared" si="3"/>
        <v>Inverted ✗</v>
      </c>
      <c r="I88" s="48">
        <f t="shared" si="4"/>
        <v>0</v>
      </c>
      <c r="J88" s="48">
        <f t="shared" si="5"/>
        <v>0</v>
      </c>
      <c r="K88" s="49" t="str">
        <f>IFERROR(__xludf.DUMMYFUNCTION("IFERROR(IF(A88="""",""ENTER STOCK"",LET(stock,A88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88" s="48">
        <f t="shared" si="6"/>
        <v>0</v>
      </c>
      <c r="M88" s="48">
        <f t="shared" si="7"/>
        <v>1</v>
      </c>
      <c r="N88" s="50">
        <f t="shared" si="8"/>
        <v>1</v>
      </c>
      <c r="O88" s="51" t="s">
        <v>160</v>
      </c>
      <c r="P88" s="46" t="str">
        <f t="shared" si="9"/>
        <v>REVERSE TRADE</v>
      </c>
      <c r="Q88" s="52"/>
      <c r="R88" s="53">
        <f t="shared" si="10"/>
        <v>15</v>
      </c>
      <c r="S88" s="53">
        <f>IFERROR(__xludf.DUMMYFUNCTION("IFERROR(ROUND(GOOGLEFINANCE(A88,""volume"")/GOOGLEFINANCE(A88,""volumeavg""),2),"""")"),2.44)</f>
        <v>2.44</v>
      </c>
      <c r="T88" s="53" t="str">
        <f t="shared" si="11"/>
        <v>HIGH VOL</v>
      </c>
      <c r="U88" s="53">
        <f>IFERROR(__xludf.DUMMYFUNCTION("IFERROR(
  LET(
    sd, GOOGLEFINANCE(A88,""close"",TODAY()-100,TODAY()),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"""")"),1.48)</f>
        <v>1.48</v>
      </c>
      <c r="V88" s="53" t="str">
        <f t="shared" si="12"/>
        <v>FAST</v>
      </c>
      <c r="W88" s="53">
        <f>IFERROR(__xludf.DUMMYFUNCTION("IFERROR(ROUND((B88/GOOGLEFINANCE(A88,""high52"")-1)*100,1),"""")"),-31.9)</f>
        <v>-31.9</v>
      </c>
      <c r="X88" s="53">
        <f>IFERROR(__xludf.DUMMYFUNCTION("IFERROR(ROUND((B88-GOOGLEFINANCE(A88,""low52""))/(GOOGLEFINANCE(A88,""high52"")-GOOGLEFINANCE(A88,""low52""))*100,1),"""")"),0.8)</f>
        <v>0.8</v>
      </c>
      <c r="Y88" s="53" t="str">
        <f t="shared" si="13"/>
        <v>MID</v>
      </c>
      <c r="Z88" s="53">
        <f>IFERROR(__xludf.DUMMYFUNCTION("IFERROR(ROUND(((B88 / INDEX(GOOGLEFINANCE(TRIM(A88), ""price"", TODAY()-34, TODAY()), 2, 2)) - (GOOGLEFINANCE(""NIFTY_50"") / INDEX(GOOGLEFINANCE(""NIFTY_50"", ""price"", TODAY()-34, TODAY()), 2, 2))) * 100, 2), ""Check History"")"),-1.6)</f>
        <v>-1.6</v>
      </c>
      <c r="AA88" s="53" t="str">
        <f t="shared" si="14"/>
        <v>WEAK RS</v>
      </c>
      <c r="AB88" s="53">
        <f>IFERROR(__xludf.DUMMYFUNCTION("IFERROR(LET(
  p, QUERY(GOOGLEFINANCE(TRIM(A88),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Loading"")"),41.7)</f>
        <v>41.7</v>
      </c>
      <c r="AC88" s="53" t="str">
        <f t="shared" si="15"/>
        <v>WEAK MOM</v>
      </c>
      <c r="AD88" s="53" t="str">
        <f>IFERROR(__xludf.DUMMYFUNCTION("IFERROR(IF(GOOGLEFINANCE(A88,""eps"")&gt;0,""EPS+"",""EPS-""),"""")"),"EPS+")</f>
        <v>EPS+</v>
      </c>
      <c r="AE88" s="53">
        <f t="shared" si="16"/>
        <v>6</v>
      </c>
      <c r="AF88" s="53">
        <f>IFERROR(__xludf.DUMMYFUNCTION("IFERROR(N88+IF(S88&gt;=1.2,1,0)+IF(U88&gt;=1,1,0)+IF(Z88&gt;0,1,0)+IF(AND(W88&gt;=-20,W88&lt;=0),1,0)+IF(IFERROR(GOOGLEFINANCE(A88,""eps""),0)&gt;0,1,0),"""")"),4.0)</f>
        <v>4</v>
      </c>
      <c r="AG88" s="53" t="str">
        <f t="shared" si="17"/>
        <v>REVERSE TRADE</v>
      </c>
    </row>
    <row r="89" ht="15.0" customHeight="1">
      <c r="A89" s="43" t="s">
        <v>242</v>
      </c>
      <c r="B89" s="44">
        <f>IFERROR(__xludf.DUMMYFUNCTION("GOOGLEFINANCE(A89,""price"")"),2440.0)</f>
        <v>2440</v>
      </c>
      <c r="C89" s="45">
        <f>IFERROR(__xludf.DUMMYFUNCTION("AVERAGE(QUERY(SORT(GOOGLEFINANCE(A89,""price"",TODAY()-150,TODAY()),1,0),""select Col2 limit 50""))"),2694.7179999999994)</f>
        <v>2694.718</v>
      </c>
      <c r="D89" s="45">
        <f>IFERROR(__xludf.DUMMYFUNCTION("AVERAGE(QUERY(SORT(GOOGLEFINANCE(A89,""price"",TODAY()-300,TODAY()),1,0),""select Col2 limit 100""))"),2825.258)</f>
        <v>2825.258</v>
      </c>
      <c r="E89" s="45">
        <f>IFERROR(__xludf.DUMMYFUNCTION("AVERAGE(QUERY(SORT(GOOGLEFINANCE(A89,""price"",TODAY()-500,TODAY()),1,0),""select Col2 limit 200""))"),2925.3684999999996)</f>
        <v>2925.3685</v>
      </c>
      <c r="F89" s="46" t="str">
        <f t="shared" si="1"/>
        <v>In Bear Run</v>
      </c>
      <c r="G89" s="47">
        <f t="shared" si="2"/>
        <v>-16.5917046</v>
      </c>
      <c r="H89" s="48" t="str">
        <f t="shared" si="3"/>
        <v>Inverted ✗</v>
      </c>
      <c r="I89" s="48">
        <f t="shared" si="4"/>
        <v>0</v>
      </c>
      <c r="J89" s="48">
        <f t="shared" si="5"/>
        <v>0</v>
      </c>
      <c r="K89" s="49" t="str">
        <f>IFERROR(__xludf.DUMMYFUNCTION("IFERROR(IF(A89="""",""ENTER STOCK"",LET(stock,A89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89" s="48">
        <f t="shared" si="6"/>
        <v>0</v>
      </c>
      <c r="M89" s="48">
        <f t="shared" si="7"/>
        <v>1</v>
      </c>
      <c r="N89" s="50">
        <f t="shared" si="8"/>
        <v>1</v>
      </c>
      <c r="O89" s="51" t="s">
        <v>137</v>
      </c>
      <c r="P89" s="46" t="str">
        <f t="shared" si="9"/>
        <v>REVERSE TRADE</v>
      </c>
      <c r="Q89" s="52"/>
      <c r="R89" s="53">
        <f t="shared" si="10"/>
        <v>15</v>
      </c>
      <c r="S89" s="53">
        <f>IFERROR(__xludf.DUMMYFUNCTION("IFERROR(ROUND(GOOGLEFINANCE(A89,""volume"")/GOOGLEFINANCE(A89,""volumeavg""),2),"""")"),1.46)</f>
        <v>1.46</v>
      </c>
      <c r="T89" s="53" t="str">
        <f t="shared" si="11"/>
        <v>OK VOL</v>
      </c>
      <c r="U89" s="53">
        <f>IFERROR(__xludf.DUMMYFUNCTION("IFERROR(
  LET(
    sd, GOOGLEFINANCE(A89,""close"",TODAY()-100,TODAY()),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"""")"),1.25)</f>
        <v>1.25</v>
      </c>
      <c r="V89" s="53" t="str">
        <f t="shared" si="12"/>
        <v>FAST</v>
      </c>
      <c r="W89" s="53">
        <f>IFERROR(__xludf.DUMMYFUNCTION("IFERROR(ROUND((B89/GOOGLEFINANCE(A89,""high52"")-1)*100,1),"""")"),-26.6)</f>
        <v>-26.6</v>
      </c>
      <c r="X89" s="53">
        <f>IFERROR(__xludf.DUMMYFUNCTION("IFERROR(ROUND((B89-GOOGLEFINANCE(A89,""low52""))/(GOOGLEFINANCE(A89,""high52"")-GOOGLEFINANCE(A89,""low52""))*100,1),"""")"),6.3)</f>
        <v>6.3</v>
      </c>
      <c r="Y89" s="53" t="str">
        <f t="shared" si="13"/>
        <v>MID</v>
      </c>
      <c r="Z89" s="53">
        <f>IFERROR(__xludf.DUMMYFUNCTION("IFERROR(ROUND(((B89 / INDEX(GOOGLEFINANCE(TRIM(A89), ""price"", TODAY()-34, TODAY()), 2, 2)) - (GOOGLEFINANCE(""NIFTY_50"") / INDEX(GOOGLEFINANCE(""NIFTY_50"", ""price"", TODAY()-34, TODAY()), 2, 2))) * 100, 2), ""Check History"")"),6.61)</f>
        <v>6.61</v>
      </c>
      <c r="AA89" s="53" t="str">
        <f t="shared" si="14"/>
        <v>STRONG RS</v>
      </c>
      <c r="AB89" s="53">
        <f>IFERROR(__xludf.DUMMYFUNCTION("IFERROR(LET(
  p, QUERY(GOOGLEFINANCE(TRIM(A89),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Loading"")"),51.8)</f>
        <v>51.8</v>
      </c>
      <c r="AC89" s="53" t="str">
        <f t="shared" si="15"/>
        <v>IDEAL ENTRY</v>
      </c>
      <c r="AD89" s="53" t="str">
        <f>IFERROR(__xludf.DUMMYFUNCTION("IFERROR(IF(GOOGLEFINANCE(A89,""eps"")&gt;0,""EPS+"",""EPS-""),"""")"),"EPS+")</f>
        <v>EPS+</v>
      </c>
      <c r="AE89" s="53">
        <f t="shared" si="16"/>
        <v>7</v>
      </c>
      <c r="AF89" s="53">
        <f>IFERROR(__xludf.DUMMYFUNCTION("IFERROR(N89+IF(S89&gt;=1.2,1,0)+IF(U89&gt;=1,1,0)+IF(Z89&gt;0,1,0)+IF(AND(W89&gt;=-20,W89&lt;=0),1,0)+IF(IFERROR(GOOGLEFINANCE(A89,""eps""),0)&gt;0,1,0),"""")"),5.0)</f>
        <v>5</v>
      </c>
      <c r="AG89" s="53" t="str">
        <f t="shared" si="17"/>
        <v>REVERSE TRADE</v>
      </c>
    </row>
    <row r="90" ht="15.0" customHeight="1">
      <c r="A90" s="43" t="s">
        <v>243</v>
      </c>
      <c r="B90" s="44">
        <f>IFERROR(__xludf.DUMMYFUNCTION("GOOGLEFINANCE(A90,""price"")"),541.2)</f>
        <v>541.2</v>
      </c>
      <c r="C90" s="45">
        <f>IFERROR(__xludf.DUMMYFUNCTION("AVERAGE(QUERY(SORT(GOOGLEFINANCE(A90,""price"",TODAY()-150,TODAY()),1,0),""select Col2 limit 50""))"),631.3060000000004)</f>
        <v>631.306</v>
      </c>
      <c r="D90" s="45">
        <f>IFERROR(__xludf.DUMMYFUNCTION("AVERAGE(QUERY(SORT(GOOGLEFINANCE(A90,""price"",TODAY()-300,TODAY()),1,0),""select Col2 limit 100""))"),680.3045000000001)</f>
        <v>680.3045</v>
      </c>
      <c r="E90" s="45">
        <f>IFERROR(__xludf.DUMMYFUNCTION("AVERAGE(QUERY(SORT(GOOGLEFINANCE(A90,""price"",TODAY()-500,TODAY()),1,0),""select Col2 limit 200""))"),710.3252500000003)</f>
        <v>710.32525</v>
      </c>
      <c r="F90" s="46" t="str">
        <f t="shared" si="1"/>
        <v>In Bear Run</v>
      </c>
      <c r="G90" s="47">
        <f t="shared" si="2"/>
        <v>-23.80955062</v>
      </c>
      <c r="H90" s="48" t="str">
        <f t="shared" si="3"/>
        <v>Inverted ✗</v>
      </c>
      <c r="I90" s="48">
        <f t="shared" si="4"/>
        <v>0</v>
      </c>
      <c r="J90" s="48">
        <f t="shared" si="5"/>
        <v>0</v>
      </c>
      <c r="K90" s="49" t="str">
        <f>IFERROR(__xludf.DUMMYFUNCTION("IFERROR(IF(A90="""",""ENTER STOCK"",LET(stock,A90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90" s="48">
        <f t="shared" si="6"/>
        <v>0</v>
      </c>
      <c r="M90" s="48">
        <f t="shared" si="7"/>
        <v>1</v>
      </c>
      <c r="N90" s="50">
        <f t="shared" si="8"/>
        <v>1</v>
      </c>
      <c r="O90" s="51" t="s">
        <v>204</v>
      </c>
      <c r="P90" s="46" t="str">
        <f t="shared" si="9"/>
        <v>REVERSE TRADE</v>
      </c>
      <c r="Q90" s="52"/>
      <c r="R90" s="53">
        <f t="shared" si="10"/>
        <v>15</v>
      </c>
      <c r="S90" s="53">
        <f>IFERROR(__xludf.DUMMYFUNCTION("IFERROR(ROUND(GOOGLEFINANCE(A90,""volume"")/GOOGLEFINANCE(A90,""volumeavg""),2),"""")"),0.48)</f>
        <v>0.48</v>
      </c>
      <c r="T90" s="53" t="str">
        <f t="shared" si="11"/>
        <v>LOW VOL</v>
      </c>
      <c r="U90" s="53">
        <f>IFERROR(__xludf.DUMMYFUNCTION("IFERROR(
  LET(
    sd, GOOGLEFINANCE(A90,""close"",TODAY()-100,TODAY()),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"""")"),1.34)</f>
        <v>1.34</v>
      </c>
      <c r="V90" s="53" t="str">
        <f t="shared" si="12"/>
        <v>FAST</v>
      </c>
      <c r="W90" s="53">
        <f>IFERROR(__xludf.DUMMYFUNCTION("IFERROR(ROUND((B90/GOOGLEFINANCE(A90,""high52"")-1)*100,1),"""")"),-54.3)</f>
        <v>-54.3</v>
      </c>
      <c r="X90" s="53">
        <f>IFERROR(__xludf.DUMMYFUNCTION("IFERROR(ROUND((B90-GOOGLEFINANCE(A90,""low52""))/(GOOGLEFINANCE(A90,""high52"")-GOOGLEFINANCE(A90,""low52""))*100,1),"""")"),0.4)</f>
        <v>0.4</v>
      </c>
      <c r="Y90" s="53" t="str">
        <f t="shared" si="13"/>
        <v>DEEP RECOVERY</v>
      </c>
      <c r="Z90" s="53">
        <f>IFERROR(__xludf.DUMMYFUNCTION("IFERROR(ROUND(((B90 / INDEX(GOOGLEFINANCE(TRIM(A90), ""price"", TODAY()-34, TODAY()), 2, 2)) - (GOOGLEFINANCE(""NIFTY_50"") / INDEX(GOOGLEFINANCE(""NIFTY_50"", ""price"", TODAY()-34, TODAY()), 2, 2))) * 100, 2), ""Check History"")"),-6.6)</f>
        <v>-6.6</v>
      </c>
      <c r="AA90" s="53" t="str">
        <f t="shared" si="14"/>
        <v>WEAK RS</v>
      </c>
      <c r="AB90" s="53">
        <f>IFERROR(__xludf.DUMMYFUNCTION("IFERROR(LET(
  p, QUERY(GOOGLEFINANCE(TRIM(A90),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Loading"")"),35.3)</f>
        <v>35.3</v>
      </c>
      <c r="AC90" s="53" t="str">
        <f t="shared" si="15"/>
        <v>WEAK MOM</v>
      </c>
      <c r="AD90" s="53" t="str">
        <f>IFERROR(__xludf.DUMMYFUNCTION("IFERROR(IF(GOOGLEFINANCE(A90,""eps"")&gt;0,""EPS+"",""EPS-""),"""")"),"EPS+")</f>
        <v>EPS+</v>
      </c>
      <c r="AE90" s="53">
        <f t="shared" si="16"/>
        <v>3</v>
      </c>
      <c r="AF90" s="53">
        <f>IFERROR(__xludf.DUMMYFUNCTION("IFERROR(N90+IF(S90&gt;=1.2,1,0)+IF(U90&gt;=1,1,0)+IF(Z90&gt;0,1,0)+IF(AND(W90&gt;=-20,W90&lt;=0),1,0)+IF(IFERROR(GOOGLEFINANCE(A90,""eps""),0)&gt;0,1,0),"""")"),3.0)</f>
        <v>3</v>
      </c>
      <c r="AG90" s="53" t="str">
        <f t="shared" si="17"/>
        <v>REVERSE TRADE</v>
      </c>
    </row>
    <row r="91" ht="15.0" customHeight="1">
      <c r="A91" s="43" t="s">
        <v>244</v>
      </c>
      <c r="B91" s="44">
        <f>IFERROR(__xludf.DUMMYFUNCTION("GOOGLEFINANCE(A91,""price"")"),1271.0)</f>
        <v>1271</v>
      </c>
      <c r="C91" s="45">
        <f>IFERROR(__xludf.DUMMYFUNCTION("AVERAGE(QUERY(SORT(GOOGLEFINANCE(A91,""price"",TODAY()-150,TODAY()),1,0),""select Col2 limit 50""))"),1198.8119999999997)</f>
        <v>1198.812</v>
      </c>
      <c r="D91" s="45">
        <f>IFERROR(__xludf.DUMMYFUNCTION("AVERAGE(QUERY(SORT(GOOGLEFINANCE(A91,""price"",TODAY()-300,TODAY()),1,0),""select Col2 limit 100""))"),1242.2199999999998)</f>
        <v>1242.22</v>
      </c>
      <c r="E91" s="45">
        <f>IFERROR(__xludf.DUMMYFUNCTION("AVERAGE(QUERY(SORT(GOOGLEFINANCE(A91,""price"",TODAY()-500,TODAY()),1,0),""select Col2 limit 200""))"),1323.1580000000001)</f>
        <v>1323.158</v>
      </c>
      <c r="F91" s="46" t="str">
        <f t="shared" si="1"/>
        <v>Unconfirmed</v>
      </c>
      <c r="G91" s="47">
        <f t="shared" si="2"/>
        <v>-3.941932861</v>
      </c>
      <c r="H91" s="48" t="str">
        <f t="shared" si="3"/>
        <v>Inverted ✗</v>
      </c>
      <c r="I91" s="48">
        <f t="shared" si="4"/>
        <v>0</v>
      </c>
      <c r="J91" s="48">
        <f t="shared" si="5"/>
        <v>0</v>
      </c>
      <c r="K91" s="49" t="str">
        <f>IFERROR(__xludf.DUMMYFUNCTION("IFERROR(IF(A91="""",""ENTER STOCK"",LET(stock,A91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91" s="48">
        <f t="shared" si="6"/>
        <v>0</v>
      </c>
      <c r="M91" s="48">
        <f t="shared" si="7"/>
        <v>1</v>
      </c>
      <c r="N91" s="50">
        <f t="shared" si="8"/>
        <v>1</v>
      </c>
      <c r="O91" s="51" t="s">
        <v>175</v>
      </c>
      <c r="P91" s="46" t="str">
        <f t="shared" si="9"/>
        <v>WAIT</v>
      </c>
      <c r="Q91" s="52"/>
      <c r="R91" s="53">
        <f t="shared" si="10"/>
        <v>15</v>
      </c>
      <c r="S91" s="53">
        <f>IFERROR(__xludf.DUMMYFUNCTION("IFERROR(ROUND(GOOGLEFINANCE(A91,""volume"")/GOOGLEFINANCE(A91,""volumeavg""),2),"""")"),0.74)</f>
        <v>0.74</v>
      </c>
      <c r="T91" s="53" t="str">
        <f t="shared" si="11"/>
        <v>LOW VOL</v>
      </c>
      <c r="U91" s="53">
        <f>IFERROR(__xludf.DUMMYFUNCTION("IFERROR(
  LET(
    sd, GOOGLEFINANCE(A91,""close"",TODAY()-100,TODAY()),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"""")"),0.55)</f>
        <v>0.55</v>
      </c>
      <c r="V91" s="53" t="str">
        <f t="shared" si="12"/>
        <v>SLOW</v>
      </c>
      <c r="W91" s="53">
        <f>IFERROR(__xludf.DUMMYFUNCTION("IFERROR(ROUND((B91/GOOGLEFINANCE(A91,""high52"")-1)*100,1),"""")"),-21.2)</f>
        <v>-21.2</v>
      </c>
      <c r="X91" s="53">
        <f>IFERROR(__xludf.DUMMYFUNCTION("IFERROR(ROUND((B91-GOOGLEFINANCE(A91,""low52""))/(GOOGLEFINANCE(A91,""high52"")-GOOGLEFINANCE(A91,""low52""))*100,1),"""")"),42.9)</f>
        <v>42.9</v>
      </c>
      <c r="Y91" s="53" t="str">
        <f t="shared" si="13"/>
        <v>MID</v>
      </c>
      <c r="Z91" s="53">
        <f>IFERROR(__xludf.DUMMYFUNCTION("IFERROR(ROUND(((B91 / INDEX(GOOGLEFINANCE(TRIM(A91), ""price"", TODAY()-34, TODAY()), 2, 2)) - (GOOGLEFINANCE(""NIFTY_50"") / INDEX(GOOGLEFINANCE(""NIFTY_50"", ""price"", TODAY()-34, TODAY()), 2, 2))) * 100, 2), ""Check History"")"),21.35)</f>
        <v>21.35</v>
      </c>
      <c r="AA91" s="53" t="str">
        <f t="shared" si="14"/>
        <v>STRONG RS</v>
      </c>
      <c r="AB91" s="53">
        <f>IFERROR(__xludf.DUMMYFUNCTION("IFERROR(LET(
  p, QUERY(GOOGLEFINANCE(TRIM(A91),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Loading"")"),46.3)</f>
        <v>46.3</v>
      </c>
      <c r="AC91" s="53" t="str">
        <f t="shared" si="15"/>
        <v>IDEAL ENTRY</v>
      </c>
      <c r="AD91" s="53" t="str">
        <f>IFERROR(__xludf.DUMMYFUNCTION("IFERROR(IF(GOOGLEFINANCE(A91,""eps"")&gt;0,""EPS+"",""EPS-""),"""")"),"EPS+")</f>
        <v>EPS+</v>
      </c>
      <c r="AE91" s="53">
        <f t="shared" si="16"/>
        <v>2</v>
      </c>
      <c r="AF91" s="53">
        <f>IFERROR(__xludf.DUMMYFUNCTION("IFERROR(N91+IF(S91&gt;=1.2,1,0)+IF(U91&gt;=1,1,0)+IF(Z91&gt;0,1,0)+IF(AND(W91&gt;=-20,W91&lt;=0),1,0)+IF(IFERROR(GOOGLEFINANCE(A91,""eps""),0)&gt;0,1,0),"""")"),3.0)</f>
        <v>3</v>
      </c>
      <c r="AG91" s="53" t="str">
        <f t="shared" si="17"/>
        <v>WAIT</v>
      </c>
    </row>
    <row r="92" ht="15.0" customHeight="1">
      <c r="A92" s="43" t="s">
        <v>245</v>
      </c>
      <c r="B92" s="44">
        <f>IFERROR(__xludf.DUMMYFUNCTION("GOOGLEFINANCE(A92,""price"")"),2168.2)</f>
        <v>2168.2</v>
      </c>
      <c r="C92" s="45">
        <f>IFERROR(__xludf.DUMMYFUNCTION("AVERAGE(QUERY(SORT(GOOGLEFINANCE(A92,""price"",TODAY()-150,TODAY()),1,0),""select Col2 limit 50""))"),2393.1560000000004)</f>
        <v>2393.156</v>
      </c>
      <c r="D92" s="45">
        <f>IFERROR(__xludf.DUMMYFUNCTION("AVERAGE(QUERY(SORT(GOOGLEFINANCE(A92,""price"",TODAY()-300,TODAY()),1,0),""select Col2 limit 100""))"),2600.744)</f>
        <v>2600.744</v>
      </c>
      <c r="E92" s="45">
        <f>IFERROR(__xludf.DUMMYFUNCTION("AVERAGE(QUERY(SORT(GOOGLEFINANCE(A92,""price"",TODAY()-500,TODAY()),1,0),""select Col2 limit 200""))"),2513.8320000000003)</f>
        <v>2513.832</v>
      </c>
      <c r="F92" s="46" t="str">
        <f t="shared" si="1"/>
        <v>In Bear Run</v>
      </c>
      <c r="G92" s="47">
        <f t="shared" si="2"/>
        <v>-13.74920838</v>
      </c>
      <c r="H92" s="48" t="str">
        <f t="shared" si="3"/>
        <v>Inverted ✗</v>
      </c>
      <c r="I92" s="48">
        <f t="shared" si="4"/>
        <v>0</v>
      </c>
      <c r="J92" s="48">
        <f t="shared" si="5"/>
        <v>0</v>
      </c>
      <c r="K92" s="49" t="str">
        <f>IFERROR(__xludf.DUMMYFUNCTION("IFERROR(IF(A92="""",""ENTER STOCK"",LET(stock,A92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92" s="48">
        <f t="shared" si="6"/>
        <v>0</v>
      </c>
      <c r="M92" s="48">
        <f t="shared" si="7"/>
        <v>1</v>
      </c>
      <c r="N92" s="50">
        <f t="shared" si="8"/>
        <v>1</v>
      </c>
      <c r="O92" s="51" t="s">
        <v>185</v>
      </c>
      <c r="P92" s="46" t="str">
        <f t="shared" si="9"/>
        <v>REVERSE TRADE</v>
      </c>
      <c r="Q92" s="52"/>
      <c r="R92" s="53">
        <f t="shared" si="10"/>
        <v>15</v>
      </c>
      <c r="S92" s="53">
        <f>IFERROR(__xludf.DUMMYFUNCTION("IFERROR(ROUND(GOOGLEFINANCE(A92,""volume"")/GOOGLEFINANCE(A92,""volumeavg""),2),"""")"),1.48)</f>
        <v>1.48</v>
      </c>
      <c r="T92" s="53" t="str">
        <f t="shared" si="11"/>
        <v>OK VOL</v>
      </c>
      <c r="U92" s="53">
        <f>IFERROR(__xludf.DUMMYFUNCTION("IFERROR(
  LET(
    sd, GOOGLEFINANCE(A92,""close"",TODAY()-100,TODAY()),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"""")"),0.94)</f>
        <v>0.94</v>
      </c>
      <c r="V92" s="53" t="str">
        <f t="shared" si="12"/>
        <v>MEDIUM</v>
      </c>
      <c r="W92" s="53">
        <f>IFERROR(__xludf.DUMMYFUNCTION("IFERROR(ROUND((B92/GOOGLEFINANCE(A92,""high52"")-1)*100,1),"""")"),-27.4)</f>
        <v>-27.4</v>
      </c>
      <c r="X92" s="53">
        <f>IFERROR(__xludf.DUMMYFUNCTION("IFERROR(ROUND((B92-GOOGLEFINANCE(A92,""low52""))/(GOOGLEFINANCE(A92,""high52"")-GOOGLEFINANCE(A92,""low52""))*100,1),"""")"),6.1)</f>
        <v>6.1</v>
      </c>
      <c r="Y92" s="53" t="str">
        <f t="shared" si="13"/>
        <v>MID</v>
      </c>
      <c r="Z92" s="53">
        <f>IFERROR(__xludf.DUMMYFUNCTION("IFERROR(ROUND(((B92 / INDEX(GOOGLEFINANCE(TRIM(A92), ""price"", TODAY()-34, TODAY()), 2, 2)) - (GOOGLEFINANCE(""NIFTY_50"") / INDEX(GOOGLEFINANCE(""NIFTY_50"", ""price"", TODAY()-34, TODAY()), 2, 2))) * 100, 2), ""Check History"")"),2.02)</f>
        <v>2.02</v>
      </c>
      <c r="AA92" s="53" t="str">
        <f t="shared" si="14"/>
        <v>MILD RS</v>
      </c>
      <c r="AB92" s="53">
        <f>IFERROR(__xludf.DUMMYFUNCTION("IFERROR(LET(
  p, QUERY(GOOGLEFINANCE(TRIM(A92),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Loading"")"),45.5)</f>
        <v>45.5</v>
      </c>
      <c r="AC92" s="53" t="str">
        <f t="shared" si="15"/>
        <v>IDEAL ENTRY</v>
      </c>
      <c r="AD92" s="53" t="str">
        <f>IFERROR(__xludf.DUMMYFUNCTION("IFERROR(IF(GOOGLEFINANCE(A92,""eps"")&gt;0,""EPS+"",""EPS-""),"""")"),"EPS+")</f>
        <v>EPS+</v>
      </c>
      <c r="AE92" s="53">
        <f t="shared" si="16"/>
        <v>5</v>
      </c>
      <c r="AF92" s="53">
        <f>IFERROR(__xludf.DUMMYFUNCTION("IFERROR(N92+IF(S92&gt;=1.2,1,0)+IF(U92&gt;=1,1,0)+IF(Z92&gt;0,1,0)+IF(AND(W92&gt;=-20,W92&lt;=0),1,0)+IF(IFERROR(GOOGLEFINANCE(A92,""eps""),0)&gt;0,1,0),"""")"),4.0)</f>
        <v>4</v>
      </c>
      <c r="AG92" s="53" t="str">
        <f t="shared" si="17"/>
        <v>REVERSE TRADE</v>
      </c>
    </row>
    <row r="93" ht="15.0" customHeight="1">
      <c r="A93" s="43" t="s">
        <v>246</v>
      </c>
      <c r="B93" s="44">
        <f>IFERROR(__xludf.DUMMYFUNCTION("GOOGLEFINANCE(A93,""price"")"),31.24)</f>
        <v>31.24</v>
      </c>
      <c r="C93" s="45">
        <f>IFERROR(__xludf.DUMMYFUNCTION("AVERAGE(QUERY(SORT(GOOGLEFINANCE(A93,""price"",TODAY()-150,TODAY()),1,0),""select Col2 limit 50""))"),34.544200000000004)</f>
        <v>34.5442</v>
      </c>
      <c r="D93" s="45">
        <f>IFERROR(__xludf.DUMMYFUNCTION("AVERAGE(QUERY(SORT(GOOGLEFINANCE(A93,""price"",TODAY()-300,TODAY()),1,0),""select Col2 limit 100""))"),35.9235)</f>
        <v>35.9235</v>
      </c>
      <c r="E93" s="45">
        <f>IFERROR(__xludf.DUMMYFUNCTION("AVERAGE(QUERY(SORT(GOOGLEFINANCE(A93,""price"",TODAY()-500,TODAY()),1,0),""select Col2 limit 200""))"),37.35934999999999)</f>
        <v>37.35935</v>
      </c>
      <c r="F93" s="46" t="str">
        <f t="shared" si="1"/>
        <v>In Bear Run</v>
      </c>
      <c r="G93" s="47">
        <f t="shared" si="2"/>
        <v>-16.37970147</v>
      </c>
      <c r="H93" s="48" t="str">
        <f t="shared" si="3"/>
        <v>Inverted ✗</v>
      </c>
      <c r="I93" s="48">
        <f t="shared" si="4"/>
        <v>0</v>
      </c>
      <c r="J93" s="48">
        <f t="shared" si="5"/>
        <v>0</v>
      </c>
      <c r="K93" s="49" t="str">
        <f>IFERROR(__xludf.DUMMYFUNCTION("IFERROR(IF(A93="""",""ENTER STOCK"",LET(stock,A93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93" s="48">
        <f t="shared" si="6"/>
        <v>0</v>
      </c>
      <c r="M93" s="48">
        <f t="shared" si="7"/>
        <v>1</v>
      </c>
      <c r="N93" s="50">
        <f t="shared" si="8"/>
        <v>1</v>
      </c>
      <c r="O93" s="51" t="s">
        <v>236</v>
      </c>
      <c r="P93" s="46" t="str">
        <f t="shared" si="9"/>
        <v>REVERSE TRADE</v>
      </c>
      <c r="Q93" s="52"/>
      <c r="R93" s="53">
        <f t="shared" si="10"/>
        <v>15</v>
      </c>
      <c r="S93" s="53">
        <f>IFERROR(__xludf.DUMMYFUNCTION("IFERROR(ROUND(GOOGLEFINANCE(A93,""volume"")/GOOGLEFINANCE(A93,""volumeavg""),2),"""")"),1.0)</f>
        <v>1</v>
      </c>
      <c r="T93" s="53" t="str">
        <f t="shared" si="11"/>
        <v>LOW VOL</v>
      </c>
      <c r="U93" s="53">
        <f>IFERROR(__xludf.DUMMYFUNCTION("IFERROR(
  LET(
    sd, GOOGLEFINANCE(A93,""close"",TODAY()-100,TODAY()),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"""")"),1.26)</f>
        <v>1.26</v>
      </c>
      <c r="V93" s="53" t="str">
        <f t="shared" si="12"/>
        <v>FAST</v>
      </c>
      <c r="W93" s="53">
        <f>IFERROR(__xludf.DUMMYFUNCTION("IFERROR(ROUND((B93/GOOGLEFINANCE(A93,""high52"")-1)*100,1),"""")"),-27.0)</f>
        <v>-27</v>
      </c>
      <c r="X93" s="53">
        <f>IFERROR(__xludf.DUMMYFUNCTION("IFERROR(ROUND((B93-GOOGLEFINANCE(A93,""low52""))/(GOOGLEFINANCE(A93,""high52"")-GOOGLEFINANCE(A93,""low52""))*100,1),"""")"),0.3)</f>
        <v>0.3</v>
      </c>
      <c r="Y93" s="53" t="str">
        <f t="shared" si="13"/>
        <v>MID</v>
      </c>
      <c r="Z93" s="53">
        <f>IFERROR(__xludf.DUMMYFUNCTION("IFERROR(ROUND(((B93 / INDEX(GOOGLEFINANCE(TRIM(A93), ""price"", TODAY()-34, TODAY()), 2, 2)) - (GOOGLEFINANCE(""NIFTY_50"") / INDEX(GOOGLEFINANCE(""NIFTY_50"", ""price"", TODAY()-34, TODAY()), 2, 2))) * 100, 2), ""Check History"")"),-2.2)</f>
        <v>-2.2</v>
      </c>
      <c r="AA93" s="53" t="str">
        <f t="shared" si="14"/>
        <v>WEAK RS</v>
      </c>
      <c r="AB93" s="53">
        <f>IFERROR(__xludf.DUMMYFUNCTION("IFERROR(LET(
  p, QUERY(GOOGLEFINANCE(TRIM(A93),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Loading"")"),49.5)</f>
        <v>49.5</v>
      </c>
      <c r="AC93" s="53" t="str">
        <f t="shared" si="15"/>
        <v>IDEAL ENTRY</v>
      </c>
      <c r="AD93" s="53" t="str">
        <f>IFERROR(__xludf.DUMMYFUNCTION("IFERROR(IF(GOOGLEFINANCE(A93,""eps"")&gt;0,""EPS+"",""EPS-""),"""")"),"EPS+")</f>
        <v>EPS+</v>
      </c>
      <c r="AE93" s="53">
        <f t="shared" si="16"/>
        <v>4</v>
      </c>
      <c r="AF93" s="53">
        <f>IFERROR(__xludf.DUMMYFUNCTION("IFERROR(N93+IF(S93&gt;=1.2,1,0)+IF(U93&gt;=1,1,0)+IF(Z93&gt;0,1,0)+IF(AND(W93&gt;=-20,W93&lt;=0),1,0)+IF(IFERROR(GOOGLEFINANCE(A93,""eps""),0)&gt;0,1,0),"""")"),3.0)</f>
        <v>3</v>
      </c>
      <c r="AG93" s="53" t="str">
        <f t="shared" si="17"/>
        <v>REVERSE TRADE</v>
      </c>
    </row>
    <row r="94" ht="15.0" customHeight="1">
      <c r="A94" s="43" t="s">
        <v>247</v>
      </c>
      <c r="B94" s="44">
        <f>IFERROR(__xludf.DUMMYFUNCTION("GOOGLEFINANCE(A94,""price"")"),412.65)</f>
        <v>412.65</v>
      </c>
      <c r="C94" s="45">
        <f>IFERROR(__xludf.DUMMYFUNCTION("AVERAGE(QUERY(SORT(GOOGLEFINANCE(A94,""price"",TODAY()-150,TODAY()),1,0),""select Col2 limit 50""))"),464.61000000000007)</f>
        <v>464.61</v>
      </c>
      <c r="D94" s="45">
        <f>IFERROR(__xludf.DUMMYFUNCTION("AVERAGE(QUERY(SORT(GOOGLEFINANCE(A94,""price"",TODAY()-300,TODAY()),1,0),""select Col2 limit 100""))"),489.54849999999993)</f>
        <v>489.5485</v>
      </c>
      <c r="E94" s="45">
        <f>IFERROR(__xludf.DUMMYFUNCTION("AVERAGE(QUERY(SORT(GOOGLEFINANCE(A94,""price"",TODAY()-500,TODAY()),1,0),""select Col2 limit 200""))"),478.74499999999995)</f>
        <v>478.745</v>
      </c>
      <c r="F94" s="46" t="str">
        <f t="shared" si="1"/>
        <v>In Bear Run</v>
      </c>
      <c r="G94" s="47">
        <f t="shared" si="2"/>
        <v>-13.80588831</v>
      </c>
      <c r="H94" s="48" t="str">
        <f t="shared" si="3"/>
        <v>Inverted ✗</v>
      </c>
      <c r="I94" s="48">
        <f t="shared" si="4"/>
        <v>0</v>
      </c>
      <c r="J94" s="48">
        <f t="shared" si="5"/>
        <v>0</v>
      </c>
      <c r="K94" s="49" t="str">
        <f>IFERROR(__xludf.DUMMYFUNCTION("IFERROR(IF(A94="""",""ENTER STOCK"",LET(stock,A94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94" s="48">
        <f t="shared" si="6"/>
        <v>0</v>
      </c>
      <c r="M94" s="48">
        <f t="shared" si="7"/>
        <v>1</v>
      </c>
      <c r="N94" s="50">
        <f t="shared" si="8"/>
        <v>1</v>
      </c>
      <c r="O94" s="51" t="s">
        <v>198</v>
      </c>
      <c r="P94" s="46" t="str">
        <f t="shared" si="9"/>
        <v>REVERSE TRADE</v>
      </c>
      <c r="Q94" s="52"/>
      <c r="R94" s="53">
        <f t="shared" si="10"/>
        <v>15</v>
      </c>
      <c r="S94" s="53">
        <f>IFERROR(__xludf.DUMMYFUNCTION("IFERROR(ROUND(GOOGLEFINANCE(A94,""volume"")/GOOGLEFINANCE(A94,""volumeavg""),2),"""")"),0.97)</f>
        <v>0.97</v>
      </c>
      <c r="T94" s="53" t="str">
        <f t="shared" si="11"/>
        <v>LOW VOL</v>
      </c>
      <c r="U94" s="53">
        <f>IFERROR(__xludf.DUMMYFUNCTION("IFERROR(
  LET(
    sd, GOOGLEFINANCE(A94,""close"",TODAY()-100,TODAY()),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"""")"),1.07)</f>
        <v>1.07</v>
      </c>
      <c r="V94" s="53" t="str">
        <f t="shared" si="12"/>
        <v>MEDIUM</v>
      </c>
      <c r="W94" s="53">
        <f>IFERROR(__xludf.DUMMYFUNCTION("IFERROR(ROUND((B94/GOOGLEFINANCE(A94,""high52"")-1)*100,1),"""")"),-23.7)</f>
        <v>-23.7</v>
      </c>
      <c r="X94" s="53">
        <f>IFERROR(__xludf.DUMMYFUNCTION("IFERROR(ROUND((B94-GOOGLEFINANCE(A94,""low52""))/(GOOGLEFINANCE(A94,""high52"")-GOOGLEFINANCE(A94,""low52""))*100,1),"""")"),22.7)</f>
        <v>22.7</v>
      </c>
      <c r="Y94" s="53" t="str">
        <f t="shared" si="13"/>
        <v>MID</v>
      </c>
      <c r="Z94" s="53">
        <f>IFERROR(__xludf.DUMMYFUNCTION("IFERROR(ROUND(((B94 / INDEX(GOOGLEFINANCE(TRIM(A94), ""price"", TODAY()-34, TODAY()), 2, 2)) - (GOOGLEFINANCE(""NIFTY_50"") / INDEX(GOOGLEFINANCE(""NIFTY_50"", ""price"", TODAY()-34, TODAY()), 2, 2))) * 100, 2), ""Check History"")"),2.91)</f>
        <v>2.91</v>
      </c>
      <c r="AA94" s="53" t="str">
        <f t="shared" si="14"/>
        <v>MILD RS</v>
      </c>
      <c r="AB94" s="53">
        <f>IFERROR(__xludf.DUMMYFUNCTION("IFERROR(LET(
  p, QUERY(GOOGLEFINANCE(TRIM(A94),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Loading"")"),49.4)</f>
        <v>49.4</v>
      </c>
      <c r="AC94" s="53" t="str">
        <f t="shared" si="15"/>
        <v>IDEAL ENTRY</v>
      </c>
      <c r="AD94" s="53" t="str">
        <f>IFERROR(__xludf.DUMMYFUNCTION("IFERROR(IF(GOOGLEFINANCE(A94,""eps"")&gt;0,""EPS+"",""EPS-""),"""")"),"EPS+")</f>
        <v>EPS+</v>
      </c>
      <c r="AE94" s="53">
        <f t="shared" si="16"/>
        <v>3</v>
      </c>
      <c r="AF94" s="53">
        <f>IFERROR(__xludf.DUMMYFUNCTION("IFERROR(N94+IF(S94&gt;=1.2,1,0)+IF(U94&gt;=1,1,0)+IF(Z94&gt;0,1,0)+IF(AND(W94&gt;=-20,W94&lt;=0),1,0)+IF(IFERROR(GOOGLEFINANCE(A94,""eps""),0)&gt;0,1,0),"""")"),4.0)</f>
        <v>4</v>
      </c>
      <c r="AG94" s="53" t="str">
        <f t="shared" si="17"/>
        <v>REVERSE TRADE</v>
      </c>
    </row>
    <row r="95" ht="15.0" customHeight="1">
      <c r="A95" s="43" t="s">
        <v>248</v>
      </c>
      <c r="B95" s="44">
        <f>IFERROR(__xludf.DUMMYFUNCTION("GOOGLEFINANCE(A95,""price"")"),3490.0)</f>
        <v>3490</v>
      </c>
      <c r="C95" s="45">
        <f>IFERROR(__xludf.DUMMYFUNCTION("AVERAGE(QUERY(SORT(GOOGLEFINANCE(A95,""price"",TODAY()-150,TODAY()),1,0),""select Col2 limit 50""))"),4097.102000000001)</f>
        <v>4097.102</v>
      </c>
      <c r="D95" s="45">
        <f>IFERROR(__xludf.DUMMYFUNCTION("AVERAGE(QUERY(SORT(GOOGLEFINANCE(A95,""price"",TODAY()-300,TODAY()),1,0),""select Col2 limit 100""))"),4297.335999999998)</f>
        <v>4297.336</v>
      </c>
      <c r="E95" s="45">
        <f>IFERROR(__xludf.DUMMYFUNCTION("AVERAGE(QUERY(SORT(GOOGLEFINANCE(A95,""price"",TODAY()-500,TODAY()),1,0),""select Col2 limit 200""))"),4512.856499999996)</f>
        <v>4512.8565</v>
      </c>
      <c r="F95" s="46" t="str">
        <f t="shared" si="1"/>
        <v>In Bear Run</v>
      </c>
      <c r="G95" s="47">
        <f t="shared" si="2"/>
        <v>-22.66538943</v>
      </c>
      <c r="H95" s="48" t="str">
        <f t="shared" si="3"/>
        <v>Inverted ✗</v>
      </c>
      <c r="I95" s="48">
        <f t="shared" si="4"/>
        <v>0</v>
      </c>
      <c r="J95" s="48">
        <f t="shared" si="5"/>
        <v>0</v>
      </c>
      <c r="K95" s="49" t="str">
        <f>IFERROR(__xludf.DUMMYFUNCTION("IFERROR(IF(A95="""",""ENTER STOCK"",LET(stock,A95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95" s="48">
        <f t="shared" si="6"/>
        <v>0</v>
      </c>
      <c r="M95" s="48">
        <f t="shared" si="7"/>
        <v>1</v>
      </c>
      <c r="N95" s="50">
        <f t="shared" si="8"/>
        <v>1</v>
      </c>
      <c r="O95" s="51" t="s">
        <v>214</v>
      </c>
      <c r="P95" s="46" t="str">
        <f t="shared" si="9"/>
        <v>REVERSE TRADE</v>
      </c>
      <c r="Q95" s="52"/>
      <c r="R95" s="53">
        <f t="shared" si="10"/>
        <v>15</v>
      </c>
      <c r="S95" s="53">
        <f>IFERROR(__xludf.DUMMYFUNCTION("IFERROR(ROUND(GOOGLEFINANCE(A95,""volume"")/GOOGLEFINANCE(A95,""volumeavg""),2),"""")"),1.43)</f>
        <v>1.43</v>
      </c>
      <c r="T95" s="53" t="str">
        <f t="shared" si="11"/>
        <v>OK VOL</v>
      </c>
      <c r="U95" s="53">
        <f>IFERROR(__xludf.DUMMYFUNCTION("IFERROR(
  LET(
    sd, GOOGLEFINANCE(A95,""close"",TODAY()-100,TODAY()),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"""")"),1.0)</f>
        <v>1</v>
      </c>
      <c r="V95" s="53" t="str">
        <f t="shared" si="12"/>
        <v>MEDIUM</v>
      </c>
      <c r="W95" s="53">
        <f>IFERROR(__xludf.DUMMYFUNCTION("IFERROR(ROUND((B95/GOOGLEFINANCE(A95,""high52"")-1)*100,1),"""")"),-32.4)</f>
        <v>-32.4</v>
      </c>
      <c r="X95" s="53">
        <f>IFERROR(__xludf.DUMMYFUNCTION("IFERROR(ROUND((B95-GOOGLEFINANCE(A95,""low52""))/(GOOGLEFINANCE(A95,""high52"")-GOOGLEFINANCE(A95,""low52""))*100,1),"""")"),0.6)</f>
        <v>0.6</v>
      </c>
      <c r="Y95" s="53" t="str">
        <f t="shared" si="13"/>
        <v>MID</v>
      </c>
      <c r="Z95" s="53">
        <f>IFERROR(__xludf.DUMMYFUNCTION("IFERROR(ROUND(((B95 / INDEX(GOOGLEFINANCE(TRIM(A95), ""price"", TODAY()-34, TODAY()), 2, 2)) - (GOOGLEFINANCE(""NIFTY_50"") / INDEX(GOOGLEFINANCE(""NIFTY_50"", ""price"", TODAY()-34, TODAY()), 2, 2))) * 100, 2), ""Check History"")"),0.46)</f>
        <v>0.46</v>
      </c>
      <c r="AA95" s="53" t="str">
        <f t="shared" si="14"/>
        <v>MILD RS</v>
      </c>
      <c r="AB95" s="53">
        <f>IFERROR(__xludf.DUMMYFUNCTION("IFERROR(LET(
  p, QUERY(GOOGLEFINANCE(TRIM(A95),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Loading"")"),28.5)</f>
        <v>28.5</v>
      </c>
      <c r="AC95" s="53" t="str">
        <f t="shared" si="15"/>
        <v>WEAK MOM</v>
      </c>
      <c r="AD95" s="53" t="str">
        <f>IFERROR(__xludf.DUMMYFUNCTION("IFERROR(IF(GOOGLEFINANCE(A95,""eps"")&gt;0,""EPS+"",""EPS-""),"""")"),"EPS+")</f>
        <v>EPS+</v>
      </c>
      <c r="AE95" s="53">
        <f t="shared" si="16"/>
        <v>5</v>
      </c>
      <c r="AF95" s="53">
        <f>IFERROR(__xludf.DUMMYFUNCTION("IFERROR(N95+IF(S95&gt;=1.2,1,0)+IF(U95&gt;=1,1,0)+IF(Z95&gt;0,1,0)+IF(AND(W95&gt;=-20,W95&lt;=0),1,0)+IF(IFERROR(GOOGLEFINANCE(A95,""eps""),0)&gt;0,1,0),"""")"),5.0)</f>
        <v>5</v>
      </c>
      <c r="AG95" s="53" t="str">
        <f t="shared" si="17"/>
        <v>REVERSE TRADE</v>
      </c>
    </row>
    <row r="96" ht="15.0" customHeight="1">
      <c r="A96" s="43" t="s">
        <v>249</v>
      </c>
      <c r="B96" s="44">
        <f>IFERROR(__xludf.DUMMYFUNCTION("GOOGLEFINANCE(A96,""price"")"),568.5)</f>
        <v>568.5</v>
      </c>
      <c r="C96" s="45">
        <f>IFERROR(__xludf.DUMMYFUNCTION("AVERAGE(QUERY(SORT(GOOGLEFINANCE(A96,""price"",TODAY()-150,TODAY()),1,0),""select Col2 limit 50""))"),681.2220000000001)</f>
        <v>681.222</v>
      </c>
      <c r="D96" s="45">
        <f>IFERROR(__xludf.DUMMYFUNCTION("AVERAGE(QUERY(SORT(GOOGLEFINANCE(A96,""price"",TODAY()-300,TODAY()),1,0),""select Col2 limit 100""))"),721.5805)</f>
        <v>721.5805</v>
      </c>
      <c r="E96" s="45">
        <f>IFERROR(__xludf.DUMMYFUNCTION("AVERAGE(QUERY(SORT(GOOGLEFINANCE(A96,""price"",TODAY()-500,TODAY()),1,0),""select Col2 limit 200""))"),703.0370000000003)</f>
        <v>703.037</v>
      </c>
      <c r="F96" s="46" t="str">
        <f t="shared" si="1"/>
        <v>In Bear Run</v>
      </c>
      <c r="G96" s="47">
        <f t="shared" si="2"/>
        <v>-19.13654616</v>
      </c>
      <c r="H96" s="48" t="str">
        <f t="shared" si="3"/>
        <v>Inverted ✗</v>
      </c>
      <c r="I96" s="48">
        <f t="shared" si="4"/>
        <v>0</v>
      </c>
      <c r="J96" s="48">
        <f t="shared" si="5"/>
        <v>0</v>
      </c>
      <c r="K96" s="49" t="str">
        <f>IFERROR(__xludf.DUMMYFUNCTION("IFERROR(IF(A96="""",""ENTER STOCK"",LET(stock,A96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96" s="48">
        <f t="shared" si="6"/>
        <v>0</v>
      </c>
      <c r="M96" s="48">
        <f t="shared" si="7"/>
        <v>1</v>
      </c>
      <c r="N96" s="50">
        <f t="shared" si="8"/>
        <v>1</v>
      </c>
      <c r="O96" s="51" t="s">
        <v>211</v>
      </c>
      <c r="P96" s="46" t="str">
        <f t="shared" si="9"/>
        <v>REVERSE TRADE</v>
      </c>
      <c r="Q96" s="52"/>
      <c r="R96" s="53">
        <f t="shared" si="10"/>
        <v>15</v>
      </c>
      <c r="S96" s="53">
        <f>IFERROR(__xludf.DUMMYFUNCTION("IFERROR(ROUND(GOOGLEFINANCE(A96,""volume"")/GOOGLEFINANCE(A96,""volumeavg""),2),"""")"),1.63)</f>
        <v>1.63</v>
      </c>
      <c r="T96" s="53" t="str">
        <f t="shared" si="11"/>
        <v>HIGH VOL</v>
      </c>
      <c r="U96" s="53">
        <f>IFERROR(__xludf.DUMMYFUNCTION("IFERROR(
  LET(
    sd, GOOGLEFINANCE(A96,""close"",TODAY()-100,TODAY()),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"""")"),1.25)</f>
        <v>1.25</v>
      </c>
      <c r="V96" s="53" t="str">
        <f t="shared" si="12"/>
        <v>FAST</v>
      </c>
      <c r="W96" s="53">
        <f>IFERROR(__xludf.DUMMYFUNCTION("IFERROR(ROUND((B96/GOOGLEFINANCE(A96,""high52"")-1)*100,1),"""")"),-30.0)</f>
        <v>-30</v>
      </c>
      <c r="X96" s="53">
        <f>IFERROR(__xludf.DUMMYFUNCTION("IFERROR(ROUND((B96-GOOGLEFINANCE(A96,""low52""))/(GOOGLEFINANCE(A96,""high52"")-GOOGLEFINANCE(A96,""low52""))*100,1),"""")"),1.4)</f>
        <v>1.4</v>
      </c>
      <c r="Y96" s="53" t="str">
        <f t="shared" si="13"/>
        <v>MID</v>
      </c>
      <c r="Z96" s="53">
        <f>IFERROR(__xludf.DUMMYFUNCTION("IFERROR(ROUND(((B96 / INDEX(GOOGLEFINANCE(TRIM(A96), ""price"", TODAY()-34, TODAY()), 2, 2)) - (GOOGLEFINANCE(""NIFTY_50"") / INDEX(GOOGLEFINANCE(""NIFTY_50"", ""price"", TODAY()-34, TODAY()), 2, 2))) * 100, 2), ""Check History"")"),2.33)</f>
        <v>2.33</v>
      </c>
      <c r="AA96" s="53" t="str">
        <f t="shared" si="14"/>
        <v>MILD RS</v>
      </c>
      <c r="AB96" s="53">
        <f>IFERROR(__xludf.DUMMYFUNCTION("IFERROR(LET(
  p, QUERY(GOOGLEFINANCE(TRIM(A96),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Loading"")"),35.2)</f>
        <v>35.2</v>
      </c>
      <c r="AC96" s="53" t="str">
        <f t="shared" si="15"/>
        <v>WEAK MOM</v>
      </c>
      <c r="AD96" s="53" t="str">
        <f>IFERROR(__xludf.DUMMYFUNCTION("IFERROR(IF(GOOGLEFINANCE(A96,""eps"")&gt;0,""EPS+"",""EPS-""),"""")"),"EPS+")</f>
        <v>EPS+</v>
      </c>
      <c r="AE96" s="53">
        <f t="shared" si="16"/>
        <v>7</v>
      </c>
      <c r="AF96" s="53">
        <f>IFERROR(__xludf.DUMMYFUNCTION("IFERROR(N96+IF(S96&gt;=1.2,1,0)+IF(U96&gt;=1,1,0)+IF(Z96&gt;0,1,0)+IF(AND(W96&gt;=-20,W96&lt;=0),1,0)+IF(IFERROR(GOOGLEFINANCE(A96,""eps""),0)&gt;0,1,0),"""")"),5.0)</f>
        <v>5</v>
      </c>
      <c r="AG96" s="53" t="str">
        <f t="shared" si="17"/>
        <v>REVERSE TRADE</v>
      </c>
    </row>
    <row r="97" ht="15.0" customHeight="1">
      <c r="A97" s="43" t="s">
        <v>250</v>
      </c>
      <c r="B97" s="44">
        <f>IFERROR(__xludf.DUMMYFUNCTION("GOOGLEFINANCE(A97,""price"")"),1345.1)</f>
        <v>1345.1</v>
      </c>
      <c r="C97" s="45">
        <f>IFERROR(__xludf.DUMMYFUNCTION("AVERAGE(QUERY(SORT(GOOGLEFINANCE(A97,""price"",TODAY()-150,TODAY()),1,0),""select Col2 limit 50""))"),1489.174)</f>
        <v>1489.174</v>
      </c>
      <c r="D97" s="45">
        <f>IFERROR(__xludf.DUMMYFUNCTION("AVERAGE(QUERY(SORT(GOOGLEFINANCE(A97,""price"",TODAY()-300,TODAY()),1,0),""select Col2 limit 100""))"),1559.1879999999996)</f>
        <v>1559.188</v>
      </c>
      <c r="E97" s="45">
        <f>IFERROR(__xludf.DUMMYFUNCTION("AVERAGE(QUERY(SORT(GOOGLEFINANCE(A97,""price"",TODAY()-500,TODAY()),1,0),""select Col2 limit 200""))"),1546.9204999999995)</f>
        <v>1546.9205</v>
      </c>
      <c r="F97" s="46" t="str">
        <f t="shared" si="1"/>
        <v>In Bear Run</v>
      </c>
      <c r="G97" s="47">
        <f t="shared" si="2"/>
        <v>-13.04659806</v>
      </c>
      <c r="H97" s="48" t="str">
        <f t="shared" si="3"/>
        <v>Inverted ✗</v>
      </c>
      <c r="I97" s="48">
        <f t="shared" si="4"/>
        <v>0</v>
      </c>
      <c r="J97" s="48">
        <f t="shared" si="5"/>
        <v>0</v>
      </c>
      <c r="K97" s="49" t="str">
        <f>IFERROR(__xludf.DUMMYFUNCTION("IFERROR(IF(A97="""",""ENTER STOCK"",LET(stock,A97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97" s="48">
        <f t="shared" si="6"/>
        <v>0</v>
      </c>
      <c r="M97" s="48">
        <f t="shared" si="7"/>
        <v>1</v>
      </c>
      <c r="N97" s="50">
        <f t="shared" si="8"/>
        <v>1</v>
      </c>
      <c r="O97" s="51" t="s">
        <v>121</v>
      </c>
      <c r="P97" s="46" t="str">
        <f t="shared" si="9"/>
        <v>REVERSE TRADE</v>
      </c>
      <c r="Q97" s="52"/>
      <c r="R97" s="53">
        <f t="shared" si="10"/>
        <v>15</v>
      </c>
      <c r="S97" s="53">
        <f>IFERROR(__xludf.DUMMYFUNCTION("IFERROR(ROUND(GOOGLEFINANCE(A97,""volume"")/GOOGLEFINANCE(A97,""volumeavg""),2),"""")"),1.69)</f>
        <v>1.69</v>
      </c>
      <c r="T97" s="53" t="str">
        <f t="shared" si="11"/>
        <v>HIGH VOL</v>
      </c>
      <c r="U97" s="53">
        <f>IFERROR(__xludf.DUMMYFUNCTION("IFERROR(
  LET(
    sd, GOOGLEFINANCE(A97,""close"",TODAY()-100,TODAY()),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"""")"),0.53)</f>
        <v>0.53</v>
      </c>
      <c r="V97" s="53" t="str">
        <f t="shared" si="12"/>
        <v>SLOW</v>
      </c>
      <c r="W97" s="53">
        <f>IFERROR(__xludf.DUMMYFUNCTION("IFERROR(ROUND((B97/GOOGLEFINANCE(A97,""high52"")-1)*100,1),"""")"),-24.4)</f>
        <v>-24.4</v>
      </c>
      <c r="X97" s="53">
        <f>IFERROR(__xludf.DUMMYFUNCTION("IFERROR(ROUND((B97-GOOGLEFINANCE(A97,""low52""))/(GOOGLEFINANCE(A97,""high52"")-GOOGLEFINANCE(A97,""low52""))*100,1),"""")"),9.8)</f>
        <v>9.8</v>
      </c>
      <c r="Y97" s="53" t="str">
        <f t="shared" si="13"/>
        <v>MID</v>
      </c>
      <c r="Z97" s="53">
        <f>IFERROR(__xludf.DUMMYFUNCTION("IFERROR(ROUND(((B97 / INDEX(GOOGLEFINANCE(TRIM(A97), ""price"", TODAY()-34, TODAY()), 2, 2)) - (GOOGLEFINANCE(""NIFTY_50"") / INDEX(GOOGLEFINANCE(""NIFTY_50"", ""price"", TODAY()-34, TODAY()), 2, 2))) * 100, 2), ""Check History"")"),12.61)</f>
        <v>12.61</v>
      </c>
      <c r="AA97" s="53" t="str">
        <f t="shared" si="14"/>
        <v>STRONG RS</v>
      </c>
      <c r="AB97" s="53">
        <f>IFERROR(__xludf.DUMMYFUNCTION("IFERROR(LET(
  p, QUERY(GOOGLEFINANCE(TRIM(A97),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Loading"")"),39.6)</f>
        <v>39.6</v>
      </c>
      <c r="AC97" s="53" t="str">
        <f t="shared" si="15"/>
        <v>WEAK MOM</v>
      </c>
      <c r="AD97" s="53" t="str">
        <f>IFERROR(__xludf.DUMMYFUNCTION("IFERROR(IF(GOOGLEFINANCE(A97,""eps"")&gt;0,""EPS+"",""EPS-""),"""")"),"EPS+")</f>
        <v>EPS+</v>
      </c>
      <c r="AE97" s="53">
        <f t="shared" si="16"/>
        <v>5</v>
      </c>
      <c r="AF97" s="53">
        <f>IFERROR(__xludf.DUMMYFUNCTION("IFERROR(N97+IF(S97&gt;=1.2,1,0)+IF(U97&gt;=1,1,0)+IF(Z97&gt;0,1,0)+IF(AND(W97&gt;=-20,W97&lt;=0),1,0)+IF(IFERROR(GOOGLEFINANCE(A97,""eps""),0)&gt;0,1,0),"""")"),4.0)</f>
        <v>4</v>
      </c>
      <c r="AG97" s="53" t="str">
        <f t="shared" si="17"/>
        <v>REVERSE TRADE</v>
      </c>
    </row>
    <row r="98" ht="15.0" customHeight="1">
      <c r="A98" s="43" t="s">
        <v>251</v>
      </c>
      <c r="B98" s="44">
        <f>IFERROR(__xludf.DUMMYFUNCTION("GOOGLEFINANCE(A98,""price"")"),496.3)</f>
        <v>496.3</v>
      </c>
      <c r="C98" s="45">
        <f>IFERROR(__xludf.DUMMYFUNCTION("AVERAGE(QUERY(SORT(GOOGLEFINANCE(A98,""price"",TODAY()-150,TODAY()),1,0),""select Col2 limit 50""))"),513.4329999999999)</f>
        <v>513.433</v>
      </c>
      <c r="D98" s="45">
        <f>IFERROR(__xludf.DUMMYFUNCTION("AVERAGE(QUERY(SORT(GOOGLEFINANCE(A98,""price"",TODAY()-300,TODAY()),1,0),""select Col2 limit 100""))"),529.6085)</f>
        <v>529.6085</v>
      </c>
      <c r="E98" s="45">
        <f>IFERROR(__xludf.DUMMYFUNCTION("AVERAGE(QUERY(SORT(GOOGLEFINANCE(A98,""price"",TODAY()-500,TODAY()),1,0),""select Col2 limit 200""))"),557.5237500000001)</f>
        <v>557.52375</v>
      </c>
      <c r="F98" s="46" t="str">
        <f t="shared" si="1"/>
        <v>In Bear Run</v>
      </c>
      <c r="G98" s="47">
        <f t="shared" si="2"/>
        <v>-10.98137075</v>
      </c>
      <c r="H98" s="48" t="str">
        <f t="shared" si="3"/>
        <v>Inverted ✗</v>
      </c>
      <c r="I98" s="48">
        <f t="shared" si="4"/>
        <v>0</v>
      </c>
      <c r="J98" s="48">
        <f t="shared" si="5"/>
        <v>0</v>
      </c>
      <c r="K98" s="49" t="str">
        <f>IFERROR(__xludf.DUMMYFUNCTION("IFERROR(IF(A98="""",""ENTER STOCK"",LET(stock,A98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98" s="48">
        <f t="shared" si="6"/>
        <v>0</v>
      </c>
      <c r="M98" s="48">
        <f t="shared" si="7"/>
        <v>1</v>
      </c>
      <c r="N98" s="50">
        <f t="shared" si="8"/>
        <v>1</v>
      </c>
      <c r="O98" s="51" t="s">
        <v>165</v>
      </c>
      <c r="P98" s="46" t="str">
        <f t="shared" si="9"/>
        <v>REVERSE TRADE</v>
      </c>
      <c r="Q98" s="52"/>
      <c r="R98" s="53">
        <f t="shared" si="10"/>
        <v>15</v>
      </c>
      <c r="S98" s="53">
        <f>IFERROR(__xludf.DUMMYFUNCTION("IFERROR(ROUND(GOOGLEFINANCE(A98,""volume"")/GOOGLEFINANCE(A98,""volumeavg""),2),"""")"),1.89)</f>
        <v>1.89</v>
      </c>
      <c r="T98" s="53" t="str">
        <f t="shared" si="11"/>
        <v>HIGH VOL</v>
      </c>
      <c r="U98" s="53">
        <f>IFERROR(__xludf.DUMMYFUNCTION("IFERROR(
  LET(
    sd, GOOGLEFINANCE(A98,""close"",TODAY()-100,TODAY()),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"""")"),1.21)</f>
        <v>1.21</v>
      </c>
      <c r="V98" s="53" t="str">
        <f t="shared" si="12"/>
        <v>FAST</v>
      </c>
      <c r="W98" s="53">
        <f>IFERROR(__xludf.DUMMYFUNCTION("IFERROR(ROUND((B98/GOOGLEFINANCE(A98,""high52"")-1)*100,1),"""")"),-23.2)</f>
        <v>-23.2</v>
      </c>
      <c r="X98" s="53">
        <f>IFERROR(__xludf.DUMMYFUNCTION("IFERROR(ROUND((B98-GOOGLEFINANCE(A98,""low52""))/(GOOGLEFINANCE(A98,""high52"")-GOOGLEFINANCE(A98,""low52""))*100,1),"""")"),19.9)</f>
        <v>19.9</v>
      </c>
      <c r="Y98" s="53" t="str">
        <f t="shared" si="13"/>
        <v>MID</v>
      </c>
      <c r="Z98" s="53">
        <f>IFERROR(__xludf.DUMMYFUNCTION("IFERROR(ROUND(((B98 / INDEX(GOOGLEFINANCE(TRIM(A98), ""price"", TODAY()-34, TODAY()), 2, 2)) - (GOOGLEFINANCE(""NIFTY_50"") / INDEX(GOOGLEFINANCE(""NIFTY_50"", ""price"", TODAY()-34, TODAY()), 2, 2))) * 100, 2), ""Check History"")"),5.45)</f>
        <v>5.45</v>
      </c>
      <c r="AA98" s="53" t="str">
        <f t="shared" si="14"/>
        <v>STRONG RS</v>
      </c>
      <c r="AB98" s="53">
        <f>IFERROR(__xludf.DUMMYFUNCTION("IFERROR(LET(
  p, QUERY(GOOGLEFINANCE(TRIM(A98),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Loading"")"),48.3)</f>
        <v>48.3</v>
      </c>
      <c r="AC98" s="53" t="str">
        <f t="shared" si="15"/>
        <v>IDEAL ENTRY</v>
      </c>
      <c r="AD98" s="53" t="str">
        <f>IFERROR(__xludf.DUMMYFUNCTION("IFERROR(IF(GOOGLEFINANCE(A98,""eps"")&gt;0,""EPS+"",""EPS-""),"""")"),"EPS+")</f>
        <v>EPS+</v>
      </c>
      <c r="AE98" s="53">
        <f t="shared" si="16"/>
        <v>8</v>
      </c>
      <c r="AF98" s="53">
        <f>IFERROR(__xludf.DUMMYFUNCTION("IFERROR(N98+IF(S98&gt;=1.2,1,0)+IF(U98&gt;=1,1,0)+IF(Z98&gt;0,1,0)+IF(AND(W98&gt;=-20,W98&lt;=0),1,0)+IF(IFERROR(GOOGLEFINANCE(A98,""eps""),0)&gt;0,1,0),"""")"),5.0)</f>
        <v>5</v>
      </c>
      <c r="AG98" s="53" t="str">
        <f t="shared" si="17"/>
        <v>REVERSE TRADE</v>
      </c>
    </row>
    <row r="99" ht="15.0" customHeight="1">
      <c r="A99" s="43" t="s">
        <v>252</v>
      </c>
      <c r="B99" s="44">
        <f>IFERROR(__xludf.DUMMYFUNCTION("GOOGLEFINANCE(A99,""price"")"),28750.0)</f>
        <v>28750</v>
      </c>
      <c r="C99" s="45">
        <f>IFERROR(__xludf.DUMMYFUNCTION("AVERAGE(QUERY(SORT(GOOGLEFINANCE(A99,""price"",TODAY()-150,TODAY()),1,0),""select Col2 limit 50""))"),34201.1)</f>
        <v>34201.1</v>
      </c>
      <c r="D99" s="45">
        <f>IFERROR(__xludf.DUMMYFUNCTION("AVERAGE(QUERY(SORT(GOOGLEFINANCE(A99,""price"",TODAY()-300,TODAY()),1,0),""select Col2 limit 100""))"),35538.55)</f>
        <v>35538.55</v>
      </c>
      <c r="E99" s="45">
        <f>IFERROR(__xludf.DUMMYFUNCTION("AVERAGE(QUERY(SORT(GOOGLEFINANCE(A99,""price"",TODAY()-500,TODAY()),1,0),""select Col2 limit 200""))"),36614.65)</f>
        <v>36614.65</v>
      </c>
      <c r="F99" s="46" t="str">
        <f t="shared" si="1"/>
        <v>In Bear Run</v>
      </c>
      <c r="G99" s="47">
        <f t="shared" si="2"/>
        <v>-21.47951708</v>
      </c>
      <c r="H99" s="48" t="str">
        <f t="shared" si="3"/>
        <v>Inverted ✗</v>
      </c>
      <c r="I99" s="48">
        <f t="shared" si="4"/>
        <v>0</v>
      </c>
      <c r="J99" s="48">
        <f t="shared" si="5"/>
        <v>0</v>
      </c>
      <c r="K99" s="49" t="str">
        <f>IFERROR(__xludf.DUMMYFUNCTION("IFERROR(IF(A99="""",""ENTER STOCK"",LET(stock,A99,raw_high,GOOGLEFINANCE(stock,""high"",TODAY()-364,TODAY()),high_date,IFERROR(TO_DATE(INDEX(SORT(raw_high,2,0),2,1)),TODAY()-30),data,IFERROR(GOOGLEFINANCE(stock,""close"",high_date,TODAY()),GOOGLEFINANCE(s"&amp;"tock,""close"",TODAY()-10,TODAY())),prices,INDEX(data,0,2),count_rows,ROWS(prices),cum_avg,SCAN(0,SEQUENCE(count_rows),LAMBDA(a,n,IFERROR(AVERAGE(CHOOSEROWS(prices,SEQUENCE(n))),0))),last_10_avgs,IFERROR(QUERY({IFERROR(QUERY(data,""SELECT Col1"",1),SEQUEN"&amp;"CE(count_rows)),cum_avg},""SELECT Col2 WHERE Col1 IS NOT NULL ORDER BY Col1 DESC LIMIT 10"",0),{0;0;0;0;0;0;0;0;0;0}),check,IF(ROWS(last_10_avgs)&lt;10,0,SUMPRODUCT(--(CHOOSECOLS(last_10_avgs,1)&gt;{INDEX(last_10_avgs,2);INDEX(last_10_avgs,3);INDEX(last_10_avgs"&amp;"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99" s="48">
        <f t="shared" si="6"/>
        <v>0</v>
      </c>
      <c r="M99" s="48">
        <f t="shared" si="7"/>
        <v>1</v>
      </c>
      <c r="N99" s="50">
        <f t="shared" si="8"/>
        <v>1</v>
      </c>
      <c r="O99" s="51" t="s">
        <v>198</v>
      </c>
      <c r="P99" s="46" t="str">
        <f t="shared" si="9"/>
        <v>REVERSE TRADE</v>
      </c>
      <c r="Q99" s="52"/>
      <c r="R99" s="53">
        <f t="shared" si="10"/>
        <v>15</v>
      </c>
      <c r="S99" s="53">
        <f>IFERROR(__xludf.DUMMYFUNCTION("IFERROR(ROUND(GOOGLEFINANCE(A99,""volume"")/GOOGLEFINANCE(A99,""volumeavg""),2),"""")"),1.92)</f>
        <v>1.92</v>
      </c>
      <c r="T99" s="53" t="str">
        <f t="shared" si="11"/>
        <v>HIGH VOL</v>
      </c>
      <c r="U99" s="53">
        <f>IFERROR(__xludf.DUMMYFUNCTION("IFERROR(
  LET(
    sd, GOOGLEFINANCE(A99,""close"",TODAY()-100,TODAY()),
    sp, CHOOSECOLS(sd,2),
    np, NIFTY_DATA!$B$2:$B$80,
    n,  MIN(ROWS(sp)-2, COUNTA(np)-1),
    sr, MAKEARRAY(n,1,LAMBDA(i,j, INDEX(sp,i+2)/INDEX(sp,i+1)-1 )),
    nr, MAKEARRAY"&amp;"(n,1,LAMBDA(i,j, INDEX(np,i+1)/INDEX(np,i)-1   )),
    ROUND(SLOPE(sr,nr),2)
  ),
"""")"),1.36)</f>
        <v>1.36</v>
      </c>
      <c r="V99" s="53" t="str">
        <f t="shared" si="12"/>
        <v>FAST</v>
      </c>
      <c r="W99" s="53">
        <f>IFERROR(__xludf.DUMMYFUNCTION("IFERROR(ROUND((B99/GOOGLEFINANCE(A99,""high52"")-1)*100,1),"""")"),-31.5)</f>
        <v>-31.5</v>
      </c>
      <c r="X99" s="53">
        <f>IFERROR(__xludf.DUMMYFUNCTION("IFERROR(ROUND((B99-GOOGLEFINANCE(A99,""low52""))/(GOOGLEFINANCE(A99,""high52"")-GOOGLEFINANCE(A99,""low52""))*100,1),"""")"),17.7)</f>
        <v>17.7</v>
      </c>
      <c r="Y99" s="53" t="str">
        <f t="shared" si="13"/>
        <v>MID</v>
      </c>
      <c r="Z99" s="53">
        <f>IFERROR(__xludf.DUMMYFUNCTION("IFERROR(ROUND(((B99 / INDEX(GOOGLEFINANCE(TRIM(A99), ""price"", TODAY()-34, TODAY()), 2, 2)) - (GOOGLEFINANCE(""NIFTY_50"") / INDEX(GOOGLEFINANCE(""NIFTY_50"", ""price"", TODAY()-34, TODAY()), 2, 2))) * 100, 2), ""Check History"")"),-6.46)</f>
        <v>-6.46</v>
      </c>
      <c r="AA99" s="53" t="str">
        <f t="shared" si="14"/>
        <v>WEAK RS</v>
      </c>
      <c r="AB99" s="53">
        <f>IFERROR(__xludf.DUMMYFUNCTION("IFERROR(LET(
  p, QUERY(GOOGLEFINANCE(TRIM(A99), ""price"", TODAY()-25, TODAY()), ""select Col2 where Col2 is not null order by Col1 desc limit 15"", 0),
  changes, ARRAYFORMULA(QUERY(p, ""limit 14 offset 0"", 0) - QUERY(p, ""limit 14 offset 1"", 0)),
  a"&amp;"vg_gain, AVERAGEIF(changes, ""&gt;0""),
  avg_loss, ABS(AVERAGEIF(changes, ""&lt;0"")),
  IF(avg_loss=0, 100, ROUND(100 - (100 / (1 + (avg_gain / avg_loss))), 1))
), ""Data Loading"")"),33.2)</f>
        <v>33.2</v>
      </c>
      <c r="AC99" s="53" t="str">
        <f t="shared" si="15"/>
        <v>WEAK MOM</v>
      </c>
      <c r="AD99" s="53" t="str">
        <f>IFERROR(__xludf.DUMMYFUNCTION("IFERROR(IF(GOOGLEFINANCE(A99,""eps"")&gt;0,""EPS+"",""EPS-""),"""")"),"EPS+")</f>
        <v>EPS+</v>
      </c>
      <c r="AE99" s="53">
        <f t="shared" si="16"/>
        <v>6</v>
      </c>
      <c r="AF99" s="53">
        <f>IFERROR(__xludf.DUMMYFUNCTION("IFERROR(N99+IF(S99&gt;=1.2,1,0)+IF(U99&gt;=1,1,0)+IF(Z99&gt;0,1,0)+IF(AND(W99&gt;=-20,W99&lt;=0),1,0)+IF(IFERROR(GOOGLEFINANCE(A99,""eps""),0)&gt;0,1,0),"""")"),4.0)</f>
        <v>4</v>
      </c>
      <c r="AG99" s="53" t="str">
        <f t="shared" si="17"/>
        <v>REVERSE TRADE</v>
      </c>
    </row>
    <row r="100" ht="15.0" customHeight="1">
      <c r="A100" s="43" t="s">
        <v>253</v>
      </c>
      <c r="B100" s="44">
        <f>IFERROR(__xludf.DUMMYFUNCTION("GOOGLEFINANCE(A100,""price"")"),951.0)</f>
        <v>951</v>
      </c>
      <c r="C100" s="45">
        <f>IFERROR(__xludf.DUMMYFUNCTION("AVERAGE(QUERY(SORT(GOOGLEFINANCE(A100,""price"",TODAY()-150,TODAY()),1,0),""select Col2 limit 50""))"),1125.9600000000005)</f>
        <v>1125.96</v>
      </c>
      <c r="D100" s="45">
        <f>IFERROR(__xludf.DUMMYFUNCTION("AVERAGE(QUERY(SORT(GOOGLEFINANCE(A100,""price"",TODAY()-300,TODAY()),1,0),""select Col2 limit 100""))"),1216.3910000000003)</f>
        <v>1216.391</v>
      </c>
      <c r="E100" s="45">
        <f>IFERROR(__xludf.DUMMYFUNCTION("AVERAGE(QUERY(SORT(GOOGLEFINANCE(A100,""price"",TODAY()-500,TODAY()),1,0),""select Col2 limit 200""))"),1166.3500000000004)</f>
        <v>1166.35</v>
      </c>
      <c r="F100" s="46" t="str">
        <f t="shared" si="1"/>
        <v>In Bear Run</v>
      </c>
      <c r="G100" s="47">
        <f t="shared" si="2"/>
        <v>-18.46358297</v>
      </c>
      <c r="H100" s="48" t="str">
        <f t="shared" si="3"/>
        <v>Inverted ✗</v>
      </c>
      <c r="I100" s="48">
        <f t="shared" si="4"/>
        <v>0</v>
      </c>
      <c r="J100" s="48">
        <f t="shared" si="5"/>
        <v>0</v>
      </c>
      <c r="K100" s="49" t="str">
        <f>IFERROR(__xludf.DUMMYFUNCTION("IFERROR(IF(A100="""",""ENTER STOCK"",LET(stock,A100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00" s="48">
        <f t="shared" si="6"/>
        <v>0</v>
      </c>
      <c r="M100" s="48">
        <f t="shared" si="7"/>
        <v>1</v>
      </c>
      <c r="N100" s="50">
        <f t="shared" si="8"/>
        <v>1</v>
      </c>
      <c r="O100" s="51" t="s">
        <v>187</v>
      </c>
      <c r="P100" s="46" t="str">
        <f t="shared" si="9"/>
        <v>REVERSE TRADE</v>
      </c>
      <c r="Q100" s="52"/>
      <c r="R100" s="53">
        <f t="shared" si="10"/>
        <v>15</v>
      </c>
      <c r="S100" s="53">
        <f>IFERROR(__xludf.DUMMYFUNCTION("IFERROR(ROUND(GOOGLEFINANCE(A100,""volume"")/GOOGLEFINANCE(A100,""volumeavg""),2),"""")"),1.23)</f>
        <v>1.23</v>
      </c>
      <c r="T100" s="53" t="str">
        <f t="shared" si="11"/>
        <v>OK VOL</v>
      </c>
      <c r="U100" s="53">
        <f>IFERROR(__xludf.DUMMYFUNCTION("IFERROR(
  LET(
    sd, GOOGLEFINANCE(A100,""close"",TODAY()-100,TODAY()),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"""")"),1.68)</f>
        <v>1.68</v>
      </c>
      <c r="V100" s="53" t="str">
        <f t="shared" si="12"/>
        <v>FAST</v>
      </c>
      <c r="W100" s="53">
        <f>IFERROR(__xludf.DUMMYFUNCTION("IFERROR(ROUND((B100/GOOGLEFINANCE(A100,""high52"")-1)*100,1),"""")"),-31.2)</f>
        <v>-31.2</v>
      </c>
      <c r="X100" s="53">
        <f>IFERROR(__xludf.DUMMYFUNCTION("IFERROR(ROUND((B100-GOOGLEFINANCE(A100,""low52""))/(GOOGLEFINANCE(A100,""high52"")-GOOGLEFINANCE(A100,""low52""))*100,1),"""")"),31.5)</f>
        <v>31.5</v>
      </c>
      <c r="Y100" s="53" t="str">
        <f t="shared" si="13"/>
        <v>MID</v>
      </c>
      <c r="Z100" s="53">
        <f>IFERROR(__xludf.DUMMYFUNCTION("IFERROR(ROUND(((B100 / INDEX(GOOGLEFINANCE(TRIM(A100), ""price"", TODAY()-34, TODAY()), 2, 2)) - (GOOGLEFINANCE(""NIFTY_50"") / INDEX(GOOGLEFINANCE(""NIFTY_50"", ""price"", TODAY()-34, TODAY()), 2, 2))) * 100, 2), ""Check History"")"),-3.8)</f>
        <v>-3.8</v>
      </c>
      <c r="AA100" s="53" t="str">
        <f t="shared" si="14"/>
        <v>WEAK RS</v>
      </c>
      <c r="AB100" s="53">
        <f>IFERROR(__xludf.DUMMYFUNCTION("IFERROR(LET(
  p, QUERY(GOOGLEFINANCE(TRIM(A100),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Loading"")"),41.2)</f>
        <v>41.2</v>
      </c>
      <c r="AC100" s="53" t="str">
        <f t="shared" si="15"/>
        <v>WEAK MOM</v>
      </c>
      <c r="AD100" s="53" t="str">
        <f>IFERROR(__xludf.DUMMYFUNCTION("IFERROR(IF(GOOGLEFINANCE(A100,""eps"")&gt;0,""EPS+"",""EPS-""),"""")"),"EPS-")</f>
        <v>EPS-</v>
      </c>
      <c r="AE100" s="53">
        <f t="shared" si="16"/>
        <v>5</v>
      </c>
      <c r="AF100" s="53">
        <f>IFERROR(__xludf.DUMMYFUNCTION("IFERROR(N100+IF(S100&gt;=1.2,1,0)+IF(U100&gt;=1,1,0)+IF(Z100&gt;0,1,0)+IF(AND(W100&gt;=-20,W100&lt;=0),1,0)+IF(IFERROR(GOOGLEFINANCE(A100,""eps""),0)&gt;0,1,0),"""")"),3.0)</f>
        <v>3</v>
      </c>
      <c r="AG100" s="53" t="str">
        <f t="shared" si="17"/>
        <v>REVERSE TRADE</v>
      </c>
    </row>
    <row r="101" ht="15.0" customHeight="1">
      <c r="A101" s="43" t="s">
        <v>254</v>
      </c>
      <c r="B101" s="44">
        <f>IFERROR(__xludf.DUMMYFUNCTION("GOOGLEFINANCE(A101,""price"")"),1222.0)</f>
        <v>1222</v>
      </c>
      <c r="C101" s="45">
        <f>IFERROR(__xludf.DUMMYFUNCTION("AVERAGE(QUERY(SORT(GOOGLEFINANCE(A101,""price"",TODAY()-150,TODAY()),1,0),""select Col2 limit 50""))"),1322.5640000000003)</f>
        <v>1322.564</v>
      </c>
      <c r="D101" s="45">
        <f>IFERROR(__xludf.DUMMYFUNCTION("AVERAGE(QUERY(SORT(GOOGLEFINANCE(A101,""price"",TODAY()-300,TODAY()),1,0),""select Col2 limit 100""))"),1414.6680000000006)</f>
        <v>1414.668</v>
      </c>
      <c r="E101" s="45">
        <f>IFERROR(__xludf.DUMMYFUNCTION("AVERAGE(QUERY(SORT(GOOGLEFINANCE(A101,""price"",TODAY()-500,TODAY()),1,0),""select Col2 limit 200""))"),1474.1004999999998)</f>
        <v>1474.1005</v>
      </c>
      <c r="F101" s="46" t="str">
        <f t="shared" si="1"/>
        <v>In Bear Run</v>
      </c>
      <c r="G101" s="47">
        <f t="shared" si="2"/>
        <v>-17.10198864</v>
      </c>
      <c r="H101" s="48" t="str">
        <f t="shared" si="3"/>
        <v>Inverted ✗</v>
      </c>
      <c r="I101" s="48">
        <f t="shared" si="4"/>
        <v>0</v>
      </c>
      <c r="J101" s="48">
        <f t="shared" si="5"/>
        <v>0</v>
      </c>
      <c r="K101" s="49" t="str">
        <f>IFERROR(__xludf.DUMMYFUNCTION("IFERROR(IF(A101="""",""ENTER STOCK"",LET(stock,A101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01" s="48">
        <f t="shared" si="6"/>
        <v>0</v>
      </c>
      <c r="M101" s="48">
        <f t="shared" si="7"/>
        <v>1</v>
      </c>
      <c r="N101" s="50">
        <f t="shared" si="8"/>
        <v>1</v>
      </c>
      <c r="O101" s="51" t="s">
        <v>255</v>
      </c>
      <c r="P101" s="46" t="str">
        <f t="shared" si="9"/>
        <v>REVERSE TRADE</v>
      </c>
      <c r="Q101" s="52"/>
      <c r="R101" s="53">
        <f t="shared" si="10"/>
        <v>15</v>
      </c>
      <c r="S101" s="53">
        <f>IFERROR(__xludf.DUMMYFUNCTION("IFERROR(ROUND(GOOGLEFINANCE(A101,""volume"")/GOOGLEFINANCE(A101,""volumeavg""),2),"""")"),1.47)</f>
        <v>1.47</v>
      </c>
      <c r="T101" s="53" t="str">
        <f t="shared" si="11"/>
        <v>OK VOL</v>
      </c>
      <c r="U101" s="53">
        <f>IFERROR(__xludf.DUMMYFUNCTION("IFERROR(
  LET(
    sd, GOOGLEFINANCE(A101,""close"",TODAY()-100,TODAY()),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"""")"),0.53)</f>
        <v>0.53</v>
      </c>
      <c r="V101" s="53" t="str">
        <f t="shared" si="12"/>
        <v>SLOW</v>
      </c>
      <c r="W101" s="53">
        <f>IFERROR(__xludf.DUMMYFUNCTION("IFERROR(ROUND((B101/GOOGLEFINANCE(A101,""high52"")-1)*100,1),"""")"),-27.0)</f>
        <v>-27</v>
      </c>
      <c r="X101" s="53">
        <f>IFERROR(__xludf.DUMMYFUNCTION("IFERROR(ROUND((B101-GOOGLEFINANCE(A101,""low52""))/(GOOGLEFINANCE(A101,""high52"")-GOOGLEFINANCE(A101,""low52""))*100,1),"""")"),1.5)</f>
        <v>1.5</v>
      </c>
      <c r="Y101" s="53" t="str">
        <f t="shared" si="13"/>
        <v>MID</v>
      </c>
      <c r="Z101" s="53">
        <f>IFERROR(__xludf.DUMMYFUNCTION("IFERROR(ROUND(((B101 / INDEX(GOOGLEFINANCE(TRIM(A101), ""price"", TODAY()-34, TODAY()), 2, 2)) - (GOOGLEFINANCE(""NIFTY_50"") / INDEX(GOOGLEFINANCE(""NIFTY_50"", ""price"", TODAY()-34, TODAY()), 2, 2))) * 100, 2), ""Check History"")"),4.27)</f>
        <v>4.27</v>
      </c>
      <c r="AA101" s="53" t="str">
        <f t="shared" si="14"/>
        <v>MILD RS</v>
      </c>
      <c r="AB101" s="53">
        <f>IFERROR(__xludf.DUMMYFUNCTION("IFERROR(LET(
  p, QUERY(GOOGLEFINANCE(TRIM(A101),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Loading"")"),55.1)</f>
        <v>55.1</v>
      </c>
      <c r="AC101" s="53" t="str">
        <f t="shared" si="15"/>
        <v>IDEAL ENTRY</v>
      </c>
      <c r="AD101" s="53" t="str">
        <f>IFERROR(__xludf.DUMMYFUNCTION("IFERROR(IF(GOOGLEFINANCE(A101,""eps"")&gt;0,""EPS+"",""EPS-""),"""")"),"EPS+")</f>
        <v>EPS+</v>
      </c>
      <c r="AE101" s="53">
        <f t="shared" si="16"/>
        <v>3</v>
      </c>
      <c r="AF101" s="53">
        <f>IFERROR(__xludf.DUMMYFUNCTION("IFERROR(N101+IF(S101&gt;=1.2,1,0)+IF(U101&gt;=1,1,0)+IF(Z101&gt;0,1,0)+IF(AND(W101&gt;=-20,W101&lt;=0),1,0)+IF(IFERROR(GOOGLEFINANCE(A101,""eps""),0)&gt;0,1,0),"""")"),4.0)</f>
        <v>4</v>
      </c>
      <c r="AG101" s="53" t="str">
        <f t="shared" si="17"/>
        <v>REVERSE TRADE</v>
      </c>
    </row>
    <row r="102" ht="15.0" customHeight="1">
      <c r="A102" s="43" t="s">
        <v>256</v>
      </c>
      <c r="B102" s="44">
        <f>IFERROR(__xludf.DUMMYFUNCTION("GOOGLEFINANCE(A102,""price"")"),58.85)</f>
        <v>58.85</v>
      </c>
      <c r="C102" s="45">
        <f>IFERROR(__xludf.DUMMYFUNCTION("AVERAGE(QUERY(SORT(GOOGLEFINANCE(A102,""price"",TODAY()-150,TODAY()),1,0),""select Col2 limit 50""))"),75.1796)</f>
        <v>75.1796</v>
      </c>
      <c r="D102" s="45">
        <f>IFERROR(__xludf.DUMMYFUNCTION("AVERAGE(QUERY(SORT(GOOGLEFINANCE(A102,""price"",TODAY()-300,TODAY()),1,0),""select Col2 limit 100""))"),78.71259999999998)</f>
        <v>78.7126</v>
      </c>
      <c r="E102" s="45">
        <f>IFERROR(__xludf.DUMMYFUNCTION("AVERAGE(QUERY(SORT(GOOGLEFINANCE(A102,""price"",TODAY()-500,TODAY()),1,0),""select Col2 limit 200""))"),75.49310000000003)</f>
        <v>75.4931</v>
      </c>
      <c r="F102" s="46" t="str">
        <f t="shared" si="1"/>
        <v>In Bear Run</v>
      </c>
      <c r="G102" s="47">
        <f t="shared" si="2"/>
        <v>-22.04585585</v>
      </c>
      <c r="H102" s="48" t="str">
        <f t="shared" si="3"/>
        <v>Inverted ✗</v>
      </c>
      <c r="I102" s="48">
        <f t="shared" si="4"/>
        <v>0</v>
      </c>
      <c r="J102" s="48">
        <f t="shared" si="5"/>
        <v>0</v>
      </c>
      <c r="K102" s="49" t="str">
        <f>IFERROR(__xludf.DUMMYFUNCTION("IFERROR(IF(A102="""",""ENTER STOCK"",LET(stock,A102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02" s="48">
        <f t="shared" si="6"/>
        <v>0</v>
      </c>
      <c r="M102" s="48">
        <f t="shared" si="7"/>
        <v>1</v>
      </c>
      <c r="N102" s="50">
        <f t="shared" si="8"/>
        <v>1</v>
      </c>
      <c r="O102" s="51" t="s">
        <v>236</v>
      </c>
      <c r="P102" s="46" t="str">
        <f t="shared" si="9"/>
        <v>REVERSE TRADE</v>
      </c>
      <c r="Q102" s="52"/>
      <c r="R102" s="53">
        <f t="shared" si="10"/>
        <v>15</v>
      </c>
      <c r="S102" s="53">
        <f>IFERROR(__xludf.DUMMYFUNCTION("IFERROR(ROUND(GOOGLEFINANCE(A102,""volume"")/GOOGLEFINANCE(A102,""volumeavg""),2),"""")"),0.85)</f>
        <v>0.85</v>
      </c>
      <c r="T102" s="53" t="str">
        <f t="shared" si="11"/>
        <v>LOW VOL</v>
      </c>
      <c r="U102" s="53">
        <f>IFERROR(__xludf.DUMMYFUNCTION("IFERROR(
  LET(
    sd, GOOGLEFINANCE(A102,""close"",TODAY()-100,TODAY()),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"""")"),1.13)</f>
        <v>1.13</v>
      </c>
      <c r="V102" s="53" t="str">
        <f t="shared" si="12"/>
        <v>MEDIUM</v>
      </c>
      <c r="W102" s="53">
        <f>IFERROR(__xludf.DUMMYFUNCTION("IFERROR(ROUND((B102/GOOGLEFINANCE(A102,""high52"")-1)*100,1),"""")"),-32.4)</f>
        <v>-32.4</v>
      </c>
      <c r="X102" s="53">
        <f>IFERROR(__xludf.DUMMYFUNCTION("IFERROR(ROUND((B102-GOOGLEFINANCE(A102,""low52""))/(GOOGLEFINANCE(A102,""high52"")-GOOGLEFINANCE(A102,""low52""))*100,1),"""")"),18.5)</f>
        <v>18.5</v>
      </c>
      <c r="Y102" s="53" t="str">
        <f t="shared" si="13"/>
        <v>MID</v>
      </c>
      <c r="Z102" s="53">
        <f>IFERROR(__xludf.DUMMYFUNCTION("IFERROR(ROUND(((B102 / INDEX(GOOGLEFINANCE(TRIM(A102), ""price"", TODAY()-34, TODAY()), 2, 2)) - (GOOGLEFINANCE(""NIFTY_50"") / INDEX(GOOGLEFINANCE(""NIFTY_50"", ""price"", TODAY()-34, TODAY()), 2, 2))) * 100, 2), ""Check History"")"),-4.91)</f>
        <v>-4.91</v>
      </c>
      <c r="AA102" s="53" t="str">
        <f t="shared" si="14"/>
        <v>WEAK RS</v>
      </c>
      <c r="AB102" s="53">
        <f>IFERROR(__xludf.DUMMYFUNCTION("IFERROR(LET(
  p, QUERY(GOOGLEFINANCE(TRIM(A102),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Loading"")"),31.2)</f>
        <v>31.2</v>
      </c>
      <c r="AC102" s="53" t="str">
        <f t="shared" si="15"/>
        <v>WEAK MOM</v>
      </c>
      <c r="AD102" s="53" t="str">
        <f>IFERROR(__xludf.DUMMYFUNCTION("IFERROR(IF(GOOGLEFINANCE(A102,""eps"")&gt;0,""EPS+"",""EPS-""),"""")"),"EPS+")</f>
        <v>EPS+</v>
      </c>
      <c r="AE102" s="53">
        <f t="shared" si="16"/>
        <v>2</v>
      </c>
      <c r="AF102" s="53">
        <f>IFERROR(__xludf.DUMMYFUNCTION("IFERROR(N102+IF(S102&gt;=1.2,1,0)+IF(U102&gt;=1,1,0)+IF(Z102&gt;0,1,0)+IF(AND(W102&gt;=-20,W102&lt;=0),1,0)+IF(IFERROR(GOOGLEFINANCE(A102,""eps""),0)&gt;0,1,0),"""")"),3.0)</f>
        <v>3</v>
      </c>
      <c r="AG102" s="53" t="str">
        <f t="shared" si="17"/>
        <v>REVERSE TRADE</v>
      </c>
    </row>
    <row r="103" ht="15.0" customHeight="1">
      <c r="A103" s="43" t="s">
        <v>257</v>
      </c>
      <c r="B103" s="44">
        <f>IFERROR(__xludf.DUMMYFUNCTION("GOOGLEFINANCE(A103,""price"")"),964.0)</f>
        <v>964</v>
      </c>
      <c r="C103" s="45">
        <f>IFERROR(__xludf.DUMMYFUNCTION("AVERAGE(QUERY(SORT(GOOGLEFINANCE(A103,""price"",TODAY()-150,TODAY()),1,0),""select Col2 limit 50""))"),1093.7559999999999)</f>
        <v>1093.756</v>
      </c>
      <c r="D103" s="45">
        <f>IFERROR(__xludf.DUMMYFUNCTION("AVERAGE(QUERY(SORT(GOOGLEFINANCE(A103,""price"",TODAY()-300,TODAY()),1,0),""select Col2 limit 100""))"),1145.706)</f>
        <v>1145.706</v>
      </c>
      <c r="E103" s="45">
        <f>IFERROR(__xludf.DUMMYFUNCTION("AVERAGE(QUERY(SORT(GOOGLEFINANCE(A103,""price"",TODAY()-500,TODAY()),1,0),""select Col2 limit 200""))"),1229.802)</f>
        <v>1229.802</v>
      </c>
      <c r="F103" s="46" t="str">
        <f t="shared" si="1"/>
        <v>In Bear Run</v>
      </c>
      <c r="G103" s="47">
        <f t="shared" si="2"/>
        <v>-21.61339793</v>
      </c>
      <c r="H103" s="48" t="str">
        <f t="shared" si="3"/>
        <v>Inverted ✗</v>
      </c>
      <c r="I103" s="48">
        <f t="shared" si="4"/>
        <v>0</v>
      </c>
      <c r="J103" s="48">
        <f t="shared" si="5"/>
        <v>0</v>
      </c>
      <c r="K103" s="49" t="str">
        <f>IFERROR(__xludf.DUMMYFUNCTION("IFERROR(IF(A103="""",""ENTER STOCK"",LET(stock,A103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03" s="48">
        <f t="shared" si="6"/>
        <v>0</v>
      </c>
      <c r="M103" s="48">
        <f t="shared" si="7"/>
        <v>1</v>
      </c>
      <c r="N103" s="50">
        <f t="shared" si="8"/>
        <v>1</v>
      </c>
      <c r="O103" s="51" t="s">
        <v>124</v>
      </c>
      <c r="P103" s="46" t="str">
        <f t="shared" si="9"/>
        <v>REVERSE TRADE</v>
      </c>
      <c r="Q103" s="52"/>
      <c r="R103" s="53">
        <f t="shared" si="10"/>
        <v>15</v>
      </c>
      <c r="S103" s="53">
        <f>IFERROR(__xludf.DUMMYFUNCTION("IFERROR(ROUND(GOOGLEFINANCE(A103,""volume"")/GOOGLEFINANCE(A103,""volumeavg""),2),"""")"),1.57)</f>
        <v>1.57</v>
      </c>
      <c r="T103" s="53" t="str">
        <f t="shared" si="11"/>
        <v>HIGH VOL</v>
      </c>
      <c r="U103" s="53">
        <f>IFERROR(__xludf.DUMMYFUNCTION("IFERROR(
  LET(
    sd, GOOGLEFINANCE(A103,""close"",TODAY()-100,TODAY()),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"""")"),0.87)</f>
        <v>0.87</v>
      </c>
      <c r="V103" s="53" t="str">
        <f t="shared" si="12"/>
        <v>SLOW</v>
      </c>
      <c r="W103" s="53">
        <f>IFERROR(__xludf.DUMMYFUNCTION("IFERROR(ROUND((B103/GOOGLEFINANCE(A103,""high52"")-1)*100,1),"""")"),-33.8)</f>
        <v>-33.8</v>
      </c>
      <c r="X103" s="53">
        <f>IFERROR(__xludf.DUMMYFUNCTION("IFERROR(ROUND((B103-GOOGLEFINANCE(A103,""low52""))/(GOOGLEFINANCE(A103,""high52"")-GOOGLEFINANCE(A103,""low52""))*100,1),"""")"),1.6)</f>
        <v>1.6</v>
      </c>
      <c r="Y103" s="53" t="str">
        <f t="shared" si="13"/>
        <v>MID</v>
      </c>
      <c r="Z103" s="53">
        <f>IFERROR(__xludf.DUMMYFUNCTION("IFERROR(ROUND(((B103 / INDEX(GOOGLEFINANCE(TRIM(A103), ""price"", TODAY()-34, TODAY()), 2, 2)) - (GOOGLEFINANCE(""NIFTY_50"") / INDEX(GOOGLEFINANCE(""NIFTY_50"", ""price"", TODAY()-34, TODAY()), 2, 2))) * 100, 2), ""Check History"")"),-4.0)</f>
        <v>-4</v>
      </c>
      <c r="AA103" s="53" t="str">
        <f t="shared" si="14"/>
        <v>WEAK RS</v>
      </c>
      <c r="AB103" s="53">
        <f>IFERROR(__xludf.DUMMYFUNCTION("IFERROR(LET(
  p, QUERY(GOOGLEFINANCE(TRIM(A103),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Loading"")"),38.0)</f>
        <v>38</v>
      </c>
      <c r="AC103" s="53" t="str">
        <f t="shared" si="15"/>
        <v>WEAK MOM</v>
      </c>
      <c r="AD103" s="53" t="str">
        <f>IFERROR(__xludf.DUMMYFUNCTION("IFERROR(IF(GOOGLEFINANCE(A103,""eps"")&gt;0,""EPS+"",""EPS-""),"""")"),"EPS+")</f>
        <v>EPS+</v>
      </c>
      <c r="AE103" s="53">
        <f t="shared" si="16"/>
        <v>4</v>
      </c>
      <c r="AF103" s="53">
        <f>IFERROR(__xludf.DUMMYFUNCTION("IFERROR(N103+IF(S103&gt;=1.2,1,0)+IF(U103&gt;=1,1,0)+IF(Z103&gt;0,1,0)+IF(AND(W103&gt;=-20,W103&lt;=0),1,0)+IF(IFERROR(GOOGLEFINANCE(A103,""eps""),0)&gt;0,1,0),"""")"),3.0)</f>
        <v>3</v>
      </c>
      <c r="AG103" s="53" t="str">
        <f t="shared" si="17"/>
        <v>REVERSE TRADE</v>
      </c>
    </row>
    <row r="104" ht="15.0" customHeight="1">
      <c r="A104" s="43" t="s">
        <v>258</v>
      </c>
      <c r="B104" s="44">
        <f>IFERROR(__xludf.DUMMYFUNCTION("GOOGLEFINANCE(A104,""price"")"),308.0)</f>
        <v>308</v>
      </c>
      <c r="C104" s="45">
        <f>IFERROR(__xludf.DUMMYFUNCTION("AVERAGE(QUERY(SORT(GOOGLEFINANCE(A104,""price"",TODAY()-150,TODAY()),1,0),""select Col2 limit 50""))"),394.698)</f>
        <v>394.698</v>
      </c>
      <c r="D104" s="45">
        <f>IFERROR(__xludf.DUMMYFUNCTION("AVERAGE(QUERY(SORT(GOOGLEFINANCE(A104,""price"",TODAY()-300,TODAY()),1,0),""select Col2 limit 100""))"),399.72000000000014)</f>
        <v>399.72</v>
      </c>
      <c r="E104" s="45">
        <f>IFERROR(__xludf.DUMMYFUNCTION("AVERAGE(QUERY(SORT(GOOGLEFINANCE(A104,""price"",TODAY()-500,TODAY()),1,0),""select Col2 limit 200""))"),421.6524999999999)</f>
        <v>421.6525</v>
      </c>
      <c r="F104" s="46" t="str">
        <f t="shared" si="1"/>
        <v>In Bear Run</v>
      </c>
      <c r="G104" s="47">
        <f t="shared" si="2"/>
        <v>-26.95406763</v>
      </c>
      <c r="H104" s="48" t="str">
        <f t="shared" si="3"/>
        <v>Inverted ✗</v>
      </c>
      <c r="I104" s="48">
        <f t="shared" si="4"/>
        <v>0</v>
      </c>
      <c r="J104" s="48">
        <f t="shared" si="5"/>
        <v>0</v>
      </c>
      <c r="K104" s="49" t="str">
        <f>IFERROR(__xludf.DUMMYFUNCTION("IFERROR(IF(A104="""",""ENTER STOCK"",LET(stock,A104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04" s="48">
        <f t="shared" si="6"/>
        <v>0</v>
      </c>
      <c r="M104" s="48">
        <f t="shared" si="7"/>
        <v>1</v>
      </c>
      <c r="N104" s="50">
        <f t="shared" si="8"/>
        <v>1</v>
      </c>
      <c r="O104" s="51" t="s">
        <v>167</v>
      </c>
      <c r="P104" s="46" t="str">
        <f t="shared" si="9"/>
        <v>REVERSE TRADE</v>
      </c>
      <c r="Q104" s="52"/>
      <c r="R104" s="53">
        <f t="shared" si="10"/>
        <v>15</v>
      </c>
      <c r="S104" s="53">
        <f>IFERROR(__xludf.DUMMYFUNCTION("IFERROR(ROUND(GOOGLEFINANCE(A104,""volume"")/GOOGLEFINANCE(A104,""volumeavg""),2),"""")"),1.09)</f>
        <v>1.09</v>
      </c>
      <c r="T104" s="53" t="str">
        <f t="shared" si="11"/>
        <v>LOW VOL</v>
      </c>
      <c r="U104" s="53">
        <f>IFERROR(__xludf.DUMMYFUNCTION("IFERROR(
  LET(
    sd, GOOGLEFINANCE(A104,""close"",TODAY()-100,TODAY()),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"""")"),0.72)</f>
        <v>0.72</v>
      </c>
      <c r="V104" s="53" t="str">
        <f t="shared" si="12"/>
        <v>SLOW</v>
      </c>
      <c r="W104" s="53">
        <f>IFERROR(__xludf.DUMMYFUNCTION("IFERROR(ROUND((B104/GOOGLEFINANCE(A104,""high52"")-1)*100,1),"""")"),-39.5)</f>
        <v>-39.5</v>
      </c>
      <c r="X104" s="53">
        <f>IFERROR(__xludf.DUMMYFUNCTION("IFERROR(ROUND((B104-GOOGLEFINANCE(A104,""low52""))/(GOOGLEFINANCE(A104,""high52"")-GOOGLEFINANCE(A104,""low52""))*100,1),"""")"),2.0)</f>
        <v>2</v>
      </c>
      <c r="Y104" s="53" t="str">
        <f t="shared" si="13"/>
        <v>MID</v>
      </c>
      <c r="Z104" s="53">
        <f>IFERROR(__xludf.DUMMYFUNCTION("IFERROR(ROUND(((B104 / INDEX(GOOGLEFINANCE(TRIM(A104), ""price"", TODAY()-34, TODAY()), 2, 2)) - (GOOGLEFINANCE(""NIFTY_50"") / INDEX(GOOGLEFINANCE(""NIFTY_50"", ""price"", TODAY()-34, TODAY()), 2, 2))) * 100, 2), ""Check History"")"),-11.86)</f>
        <v>-11.86</v>
      </c>
      <c r="AA104" s="53" t="str">
        <f t="shared" si="14"/>
        <v>WEAK RS</v>
      </c>
      <c r="AB104" s="53">
        <f>IFERROR(__xludf.DUMMYFUNCTION("IFERROR(LET(
  p, QUERY(GOOGLEFINANCE(TRIM(A104),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Loading"")"),38.6)</f>
        <v>38.6</v>
      </c>
      <c r="AC104" s="53" t="str">
        <f t="shared" si="15"/>
        <v>WEAK MOM</v>
      </c>
      <c r="AD104" s="53" t="str">
        <f>IFERROR(__xludf.DUMMYFUNCTION("IFERROR(IF(GOOGLEFINANCE(A104,""eps"")&gt;0,""EPS+"",""EPS-""),"""")"),"EPS+")</f>
        <v>EPS+</v>
      </c>
      <c r="AE104" s="53">
        <f t="shared" si="16"/>
        <v>2</v>
      </c>
      <c r="AF104" s="53">
        <f>IFERROR(__xludf.DUMMYFUNCTION("IFERROR(N104+IF(S104&gt;=1.2,1,0)+IF(U104&gt;=1,1,0)+IF(Z104&gt;0,1,0)+IF(AND(W104&gt;=-20,W104&lt;=0),1,0)+IF(IFERROR(GOOGLEFINANCE(A104,""eps""),0)&gt;0,1,0),"""")"),2.0)</f>
        <v>2</v>
      </c>
      <c r="AG104" s="53" t="str">
        <f t="shared" si="17"/>
        <v>REVERSE TRADE</v>
      </c>
    </row>
    <row r="105" ht="15.0" customHeight="1">
      <c r="A105" s="43" t="s">
        <v>259</v>
      </c>
      <c r="B105" s="44">
        <f>IFERROR(__xludf.DUMMYFUNCTION("GOOGLEFINANCE(A105,""price"")"),1029.6)</f>
        <v>1029.6</v>
      </c>
      <c r="C105" s="45">
        <f>IFERROR(__xludf.DUMMYFUNCTION("AVERAGE(QUERY(SORT(GOOGLEFINANCE(A105,""price"",TODAY()-150,TODAY()),1,0),""select Col2 limit 50""))"),1145.7420000000004)</f>
        <v>1145.742</v>
      </c>
      <c r="D105" s="45">
        <f>IFERROR(__xludf.DUMMYFUNCTION("AVERAGE(QUERY(SORT(GOOGLEFINANCE(A105,""price"",TODAY()-300,TODAY()),1,0),""select Col2 limit 100""))"),1211.6950000000002)</f>
        <v>1211.695</v>
      </c>
      <c r="E105" s="45">
        <f>IFERROR(__xludf.DUMMYFUNCTION("AVERAGE(QUERY(SORT(GOOGLEFINANCE(A105,""price"",TODAY()-500,TODAY()),1,0),""select Col2 limit 200""))"),1195.7309999999995)</f>
        <v>1195.731</v>
      </c>
      <c r="F105" s="46" t="str">
        <f t="shared" si="1"/>
        <v>In Bear Run</v>
      </c>
      <c r="G105" s="47">
        <f t="shared" si="2"/>
        <v>-13.89367676</v>
      </c>
      <c r="H105" s="48" t="str">
        <f t="shared" si="3"/>
        <v>Inverted ✗</v>
      </c>
      <c r="I105" s="48">
        <f t="shared" si="4"/>
        <v>0</v>
      </c>
      <c r="J105" s="48">
        <f t="shared" si="5"/>
        <v>0</v>
      </c>
      <c r="K105" s="49" t="str">
        <f>IFERROR(__xludf.DUMMYFUNCTION("IFERROR(IF(A105="""",""ENTER STOCK"",LET(stock,A105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05" s="48">
        <f t="shared" si="6"/>
        <v>0</v>
      </c>
      <c r="M105" s="48">
        <f t="shared" si="7"/>
        <v>1</v>
      </c>
      <c r="N105" s="50">
        <f t="shared" si="8"/>
        <v>1</v>
      </c>
      <c r="O105" s="51" t="s">
        <v>198</v>
      </c>
      <c r="P105" s="46" t="str">
        <f t="shared" si="9"/>
        <v>REVERSE TRADE</v>
      </c>
      <c r="Q105" s="52"/>
      <c r="R105" s="53">
        <f t="shared" si="10"/>
        <v>15</v>
      </c>
      <c r="S105" s="53">
        <f>IFERROR(__xludf.DUMMYFUNCTION("IFERROR(ROUND(GOOGLEFINANCE(A105,""volume"")/GOOGLEFINANCE(A105,""volumeavg""),2),"""")"),0.99)</f>
        <v>0.99</v>
      </c>
      <c r="T105" s="53" t="str">
        <f t="shared" si="11"/>
        <v>LOW VOL</v>
      </c>
      <c r="U105" s="53">
        <f>IFERROR(__xludf.DUMMYFUNCTION("IFERROR(
  LET(
    sd, GOOGLEFINANCE(A105,""close"",TODAY()-100,TODAY()),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"""")"),1.42)</f>
        <v>1.42</v>
      </c>
      <c r="V105" s="53" t="str">
        <f t="shared" si="12"/>
        <v>FAST</v>
      </c>
      <c r="W105" s="53">
        <f>IFERROR(__xludf.DUMMYFUNCTION("IFERROR(ROUND((B105/GOOGLEFINANCE(A105,""high52"")-1)*100,1),"""")"),-25.5)</f>
        <v>-25.5</v>
      </c>
      <c r="X105" s="53">
        <f>IFERROR(__xludf.DUMMYFUNCTION("IFERROR(ROUND((B105-GOOGLEFINANCE(A105,""low52""))/(GOOGLEFINANCE(A105,""high52"")-GOOGLEFINANCE(A105,""low52""))*100,1),"""")"),42.6)</f>
        <v>42.6</v>
      </c>
      <c r="Y105" s="53" t="str">
        <f t="shared" si="13"/>
        <v>MID</v>
      </c>
      <c r="Z105" s="53">
        <f>IFERROR(__xludf.DUMMYFUNCTION("IFERROR(ROUND(((B105 / INDEX(GOOGLEFINANCE(TRIM(A105), ""price"", TODAY()-34, TODAY()), 2, 2)) - (GOOGLEFINANCE(""NIFTY_50"") / INDEX(GOOGLEFINANCE(""NIFTY_50"", ""price"", TODAY()-34, TODAY()), 2, 2))) * 100, 2), ""Check History"")"),-0.39)</f>
        <v>-0.39</v>
      </c>
      <c r="AA105" s="53" t="str">
        <f t="shared" si="14"/>
        <v>WEAK RS</v>
      </c>
      <c r="AB105" s="53">
        <f>IFERROR(__xludf.DUMMYFUNCTION("IFERROR(LET(
  p, QUERY(GOOGLEFINANCE(TRIM(A105),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Loading"")"),43.8)</f>
        <v>43.8</v>
      </c>
      <c r="AC105" s="53" t="str">
        <f t="shared" si="15"/>
        <v>WEAK MOM</v>
      </c>
      <c r="AD105" s="53" t="str">
        <f>IFERROR(__xludf.DUMMYFUNCTION("IFERROR(IF(GOOGLEFINANCE(A105,""eps"")&gt;0,""EPS+"",""EPS-""),"""")"),"EPS+")</f>
        <v>EPS+</v>
      </c>
      <c r="AE105" s="53">
        <f t="shared" si="16"/>
        <v>3</v>
      </c>
      <c r="AF105" s="53">
        <f>IFERROR(__xludf.DUMMYFUNCTION("IFERROR(N105+IF(S105&gt;=1.2,1,0)+IF(U105&gt;=1,1,0)+IF(Z105&gt;0,1,0)+IF(AND(W105&gt;=-20,W105&lt;=0),1,0)+IF(IFERROR(GOOGLEFINANCE(A105,""eps""),0)&gt;0,1,0),"""")"),3.0)</f>
        <v>3</v>
      </c>
      <c r="AG105" s="53" t="str">
        <f t="shared" si="17"/>
        <v>REVERSE TRADE</v>
      </c>
    </row>
    <row r="106" ht="15.0" customHeight="1">
      <c r="A106" s="43" t="s">
        <v>260</v>
      </c>
      <c r="B106" s="44">
        <f>IFERROR(__xludf.DUMMYFUNCTION("GOOGLEFINANCE(A106,""price"")"),73.33)</f>
        <v>73.33</v>
      </c>
      <c r="C106" s="45">
        <f>IFERROR(__xludf.DUMMYFUNCTION("AVERAGE(QUERY(SORT(GOOGLEFINANCE(A106,""price"",TODAY()-150,TODAY()),1,0),""select Col2 limit 50""))"),76.37739999999997)</f>
        <v>76.3774</v>
      </c>
      <c r="D106" s="45">
        <f>IFERROR(__xludf.DUMMYFUNCTION("AVERAGE(QUERY(SORT(GOOGLEFINANCE(A106,""price"",TODAY()-300,TODAY()),1,0),""select Col2 limit 100""))"),77.85439999999998)</f>
        <v>77.8544</v>
      </c>
      <c r="E106" s="45">
        <f>IFERROR(__xludf.DUMMYFUNCTION("AVERAGE(QUERY(SORT(GOOGLEFINANCE(A106,""price"",TODAY()-500,TODAY()),1,0),""select Col2 limit 200""))"),81.28519999999999)</f>
        <v>81.2852</v>
      </c>
      <c r="F106" s="46" t="str">
        <f t="shared" si="1"/>
        <v>In Bear Run</v>
      </c>
      <c r="G106" s="47">
        <f t="shared" si="2"/>
        <v>-9.786775452</v>
      </c>
      <c r="H106" s="48" t="str">
        <f t="shared" si="3"/>
        <v>Inverted ✗</v>
      </c>
      <c r="I106" s="48">
        <f t="shared" si="4"/>
        <v>0</v>
      </c>
      <c r="J106" s="48">
        <f t="shared" si="5"/>
        <v>0</v>
      </c>
      <c r="K106" s="49" t="str">
        <f>IFERROR(__xludf.DUMMYFUNCTION("IFERROR(IF(A106="""",""ENTER STOCK"",LET(stock,A106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06" s="48">
        <f t="shared" si="6"/>
        <v>0</v>
      </c>
      <c r="M106" s="48">
        <f t="shared" si="7"/>
        <v>1</v>
      </c>
      <c r="N106" s="50">
        <f t="shared" si="8"/>
        <v>1</v>
      </c>
      <c r="O106" s="51" t="s">
        <v>180</v>
      </c>
      <c r="P106" s="46" t="str">
        <f t="shared" si="9"/>
        <v>REVERSE TRADE</v>
      </c>
      <c r="Q106" s="52"/>
      <c r="R106" s="53">
        <f t="shared" si="10"/>
        <v>15</v>
      </c>
      <c r="S106" s="53">
        <f>IFERROR(__xludf.DUMMYFUNCTION("IFERROR(ROUND(GOOGLEFINANCE(A106,""volume"")/GOOGLEFINANCE(A106,""volumeavg""),2),"""")"),1.38)</f>
        <v>1.38</v>
      </c>
      <c r="T106" s="53" t="str">
        <f t="shared" si="11"/>
        <v>OK VOL</v>
      </c>
      <c r="U106" s="53">
        <f>IFERROR(__xludf.DUMMYFUNCTION("IFERROR(
  LET(
    sd, GOOGLEFINANCE(A106,""close"",TODAY()-100,TODAY()),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"""")"),0.79)</f>
        <v>0.79</v>
      </c>
      <c r="V106" s="53" t="str">
        <f t="shared" si="12"/>
        <v>SLOW</v>
      </c>
      <c r="W106" s="53">
        <f>IFERROR(__xludf.DUMMYFUNCTION("IFERROR(ROUND((B106/GOOGLEFINANCE(A106,""high52"")-1)*100,1),"""")"),-20.6)</f>
        <v>-20.6</v>
      </c>
      <c r="X106" s="53">
        <f>IFERROR(__xludf.DUMMYFUNCTION("IFERROR(ROUND((B106-GOOGLEFINANCE(A106,""low52""))/(GOOGLEFINANCE(A106,""high52"")-GOOGLEFINANCE(A106,""low52""))*100,1),"""")"),8.3)</f>
        <v>8.3</v>
      </c>
      <c r="Y106" s="53" t="str">
        <f t="shared" si="13"/>
        <v>MID</v>
      </c>
      <c r="Z106" s="53">
        <f>IFERROR(__xludf.DUMMYFUNCTION("IFERROR(ROUND(((B106 / INDEX(GOOGLEFINANCE(TRIM(A106), ""price"", TODAY()-34, TODAY()), 2, 2)) - (GOOGLEFINANCE(""NIFTY_50"") / INDEX(GOOGLEFINANCE(""NIFTY_50"", ""price"", TODAY()-34, TODAY()), 2, 2))) * 100, 2), ""Check History"")"),8.95)</f>
        <v>8.95</v>
      </c>
      <c r="AA106" s="53" t="str">
        <f t="shared" si="14"/>
        <v>STRONG RS</v>
      </c>
      <c r="AB106" s="53">
        <f>IFERROR(__xludf.DUMMYFUNCTION("IFERROR(LET(
  p, QUERY(GOOGLEFINANCE(TRIM(A106),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Loading"")"),33.1)</f>
        <v>33.1</v>
      </c>
      <c r="AC106" s="53" t="str">
        <f t="shared" si="15"/>
        <v>WEAK MOM</v>
      </c>
      <c r="AD106" s="53" t="str">
        <f>IFERROR(__xludf.DUMMYFUNCTION("IFERROR(IF(GOOGLEFINANCE(A106,""eps"")&gt;0,""EPS+"",""EPS-""),"""")"),"EPS+")</f>
        <v>EPS+</v>
      </c>
      <c r="AE106" s="53">
        <f t="shared" si="16"/>
        <v>5</v>
      </c>
      <c r="AF106" s="53">
        <f>IFERROR(__xludf.DUMMYFUNCTION("IFERROR(N106+IF(S106&gt;=1.2,1,0)+IF(U106&gt;=1,1,0)+IF(Z106&gt;0,1,0)+IF(AND(W106&gt;=-20,W106&lt;=0),1,0)+IF(IFERROR(GOOGLEFINANCE(A106,""eps""),0)&gt;0,1,0),"""")"),4.0)</f>
        <v>4</v>
      </c>
      <c r="AG106" s="53" t="str">
        <f t="shared" si="17"/>
        <v>REVERSE TRADE</v>
      </c>
    </row>
    <row r="107" ht="15.0" customHeight="1">
      <c r="A107" s="43" t="s">
        <v>261</v>
      </c>
      <c r="B107" s="44">
        <f>IFERROR(__xludf.DUMMYFUNCTION("GOOGLEFINANCE(A107,""price"")"),242.05)</f>
        <v>242.05</v>
      </c>
      <c r="C107" s="45">
        <f>IFERROR(__xludf.DUMMYFUNCTION("AVERAGE(QUERY(SORT(GOOGLEFINANCE(A107,""price"",TODAY()-150,TODAY()),1,0),""select Col2 limit 50""))"),258.45599999999996)</f>
        <v>258.456</v>
      </c>
      <c r="D107" s="45">
        <f>IFERROR(__xludf.DUMMYFUNCTION("AVERAGE(QUERY(SORT(GOOGLEFINANCE(A107,""price"",TODAY()-300,TODAY()),1,0),""select Col2 limit 100""))"),267.2530000000001)</f>
        <v>267.253</v>
      </c>
      <c r="E107" s="45">
        <f>IFERROR(__xludf.DUMMYFUNCTION("AVERAGE(QUERY(SORT(GOOGLEFINANCE(A107,""price"",TODAY()-500,TODAY()),1,0),""select Col2 limit 200""))"),288.2382500000001)</f>
        <v>288.23825</v>
      </c>
      <c r="F107" s="46" t="str">
        <f t="shared" si="1"/>
        <v>In Bear Run</v>
      </c>
      <c r="G107" s="47">
        <f t="shared" si="2"/>
        <v>-16.02433057</v>
      </c>
      <c r="H107" s="48" t="str">
        <f t="shared" si="3"/>
        <v>Inverted ✗</v>
      </c>
      <c r="I107" s="48">
        <f t="shared" si="4"/>
        <v>0</v>
      </c>
      <c r="J107" s="48">
        <f t="shared" si="5"/>
        <v>0</v>
      </c>
      <c r="K107" s="49" t="str">
        <f>IFERROR(__xludf.DUMMYFUNCTION("IFERROR(IF(A107="""",""ENTER STOCK"",LET(stock,A107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07" s="48">
        <f t="shared" si="6"/>
        <v>0</v>
      </c>
      <c r="M107" s="48">
        <f t="shared" si="7"/>
        <v>1</v>
      </c>
      <c r="N107" s="50">
        <f t="shared" si="8"/>
        <v>1</v>
      </c>
      <c r="O107" s="51" t="s">
        <v>262</v>
      </c>
      <c r="P107" s="46" t="str">
        <f t="shared" si="9"/>
        <v>REVERSE TRADE</v>
      </c>
      <c r="Q107" s="52"/>
      <c r="R107" s="53">
        <f t="shared" si="10"/>
        <v>15</v>
      </c>
      <c r="S107" s="53">
        <f>IFERROR(__xludf.DUMMYFUNCTION("IFERROR(ROUND(GOOGLEFINANCE(A107,""volume"")/GOOGLEFINANCE(A107,""volumeavg""),2),"""")"),1.26)</f>
        <v>1.26</v>
      </c>
      <c r="T107" s="53" t="str">
        <f t="shared" si="11"/>
        <v>OK VOL</v>
      </c>
      <c r="U107" s="53">
        <f>IFERROR(__xludf.DUMMYFUNCTION("IFERROR(
  LET(
    sd, GOOGLEFINANCE(A107,""close"",TODAY()-100,TODAY()),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"""")"),1.17)</f>
        <v>1.17</v>
      </c>
      <c r="V107" s="53" t="str">
        <f t="shared" si="12"/>
        <v>MEDIUM</v>
      </c>
      <c r="W107" s="53">
        <f>IFERROR(__xludf.DUMMYFUNCTION("IFERROR(ROUND((B107/GOOGLEFINANCE(A107,""high52"")-1)*100,1),"""")"),-30.6)</f>
        <v>-30.6</v>
      </c>
      <c r="X107" s="53">
        <f>IFERROR(__xludf.DUMMYFUNCTION("IFERROR(ROUND((B107-GOOGLEFINANCE(A107,""low52""))/(GOOGLEFINANCE(A107,""high52"")-GOOGLEFINANCE(A107,""low52""))*100,1),"""")"),2.2)</f>
        <v>2.2</v>
      </c>
      <c r="Y107" s="53" t="str">
        <f t="shared" si="13"/>
        <v>MID</v>
      </c>
      <c r="Z107" s="53">
        <f>IFERROR(__xludf.DUMMYFUNCTION("IFERROR(ROUND(((B107 / INDEX(GOOGLEFINANCE(TRIM(A107), ""price"", TODAY()-34, TODAY()), 2, 2)) - (GOOGLEFINANCE(""NIFTY_50"") / INDEX(GOOGLEFINANCE(""NIFTY_50"", ""price"", TODAY()-34, TODAY()), 2, 2))) * 100, 2), ""Check History"")"),6.53)</f>
        <v>6.53</v>
      </c>
      <c r="AA107" s="53" t="str">
        <f t="shared" si="14"/>
        <v>STRONG RS</v>
      </c>
      <c r="AB107" s="53">
        <f>IFERROR(__xludf.DUMMYFUNCTION("IFERROR(LET(
  p, QUERY(GOOGLEFINANCE(TRIM(A107),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Loading"")"),57.6)</f>
        <v>57.6</v>
      </c>
      <c r="AC107" s="53" t="str">
        <f t="shared" si="15"/>
        <v>IDEAL ENTRY</v>
      </c>
      <c r="AD107" s="53" t="str">
        <f>IFERROR(__xludf.DUMMYFUNCTION("IFERROR(IF(GOOGLEFINANCE(A107,""eps"")&gt;0,""EPS+"",""EPS-""),"""")"),"EPS+")</f>
        <v>EPS+</v>
      </c>
      <c r="AE107" s="53">
        <f t="shared" si="16"/>
        <v>6</v>
      </c>
      <c r="AF107" s="53">
        <f>IFERROR(__xludf.DUMMYFUNCTION("IFERROR(N107+IF(S107&gt;=1.2,1,0)+IF(U107&gt;=1,1,0)+IF(Z107&gt;0,1,0)+IF(AND(W107&gt;=-20,W107&lt;=0),1,0)+IF(IFERROR(GOOGLEFINANCE(A107,""eps""),0)&gt;0,1,0),"""")"),5.0)</f>
        <v>5</v>
      </c>
      <c r="AG107" s="53" t="str">
        <f t="shared" si="17"/>
        <v>REVERSE TRADE</v>
      </c>
    </row>
    <row r="108" ht="15.0" customHeight="1">
      <c r="A108" s="43" t="s">
        <v>263</v>
      </c>
      <c r="B108" s="44">
        <f>IFERROR(__xludf.DUMMYFUNCTION("GOOGLEFINANCE(A108,""price"")"),2075.0)</f>
        <v>2075</v>
      </c>
      <c r="C108" s="45">
        <f>IFERROR(__xludf.DUMMYFUNCTION("AVERAGE(QUERY(SORT(GOOGLEFINANCE(A108,""price"",TODAY()-150,TODAY()),1,0),""select Col2 limit 50""))"),2386.344000000001)</f>
        <v>2386.344</v>
      </c>
      <c r="D108" s="45">
        <f>IFERROR(__xludf.DUMMYFUNCTION("AVERAGE(QUERY(SORT(GOOGLEFINANCE(A108,""price"",TODAY()-300,TODAY()),1,0),""select Col2 limit 100""))"),2365.197)</f>
        <v>2365.197</v>
      </c>
      <c r="E108" s="45">
        <f>IFERROR(__xludf.DUMMYFUNCTION("AVERAGE(QUERY(SORT(GOOGLEFINANCE(A108,""price"",TODAY()-500,TODAY()),1,0),""select Col2 limit 200""))"),2406.4194999999995)</f>
        <v>2406.4195</v>
      </c>
      <c r="F108" s="46" t="str">
        <f t="shared" si="1"/>
        <v>In Bear Run</v>
      </c>
      <c r="G108" s="47">
        <f t="shared" si="2"/>
        <v>-13.77230778</v>
      </c>
      <c r="H108" s="48" t="str">
        <f t="shared" si="3"/>
        <v>Inverted ✗</v>
      </c>
      <c r="I108" s="48">
        <f t="shared" si="4"/>
        <v>0</v>
      </c>
      <c r="J108" s="48">
        <f t="shared" si="5"/>
        <v>0</v>
      </c>
      <c r="K108" s="49" t="str">
        <f>IFERROR(__xludf.DUMMYFUNCTION("IFERROR(IF(A108="""",""ENTER STOCK"",LET(stock,A108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08" s="48">
        <f t="shared" si="6"/>
        <v>0</v>
      </c>
      <c r="M108" s="48">
        <f t="shared" si="7"/>
        <v>1</v>
      </c>
      <c r="N108" s="50">
        <f t="shared" si="8"/>
        <v>1</v>
      </c>
      <c r="O108" s="51" t="s">
        <v>198</v>
      </c>
      <c r="P108" s="46" t="str">
        <f t="shared" si="9"/>
        <v>REVERSE TRADE</v>
      </c>
      <c r="Q108" s="52"/>
      <c r="R108" s="53">
        <f t="shared" si="10"/>
        <v>15</v>
      </c>
      <c r="S108" s="53">
        <f>IFERROR(__xludf.DUMMYFUNCTION("IFERROR(ROUND(GOOGLEFINANCE(A108,""volume"")/GOOGLEFINANCE(A108,""volumeavg""),2),"""")"),2.35)</f>
        <v>2.35</v>
      </c>
      <c r="T108" s="53" t="str">
        <f t="shared" si="11"/>
        <v>HIGH VOL</v>
      </c>
      <c r="U108" s="53">
        <f>IFERROR(__xludf.DUMMYFUNCTION("IFERROR(
  LET(
    sd, GOOGLEFINANCE(A108,""close"",TODAY()-100,TODAY()),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"""")"),1.28)</f>
        <v>1.28</v>
      </c>
      <c r="V108" s="53" t="str">
        <f t="shared" si="12"/>
        <v>FAST</v>
      </c>
      <c r="W108" s="53">
        <f>IFERROR(__xludf.DUMMYFUNCTION("IFERROR(ROUND((B108/GOOGLEFINANCE(A108,""high52"")-1)*100,1),"""")"),-26.4)</f>
        <v>-26.4</v>
      </c>
      <c r="X108" s="53">
        <f>IFERROR(__xludf.DUMMYFUNCTION("IFERROR(ROUND((B108-GOOGLEFINANCE(A108,""low52""))/(GOOGLEFINANCE(A108,""high52"")-GOOGLEFINANCE(A108,""low52""))*100,1),"""")"),7.4)</f>
        <v>7.4</v>
      </c>
      <c r="Y108" s="53" t="str">
        <f t="shared" si="13"/>
        <v>MID</v>
      </c>
      <c r="Z108" s="53">
        <f>IFERROR(__xludf.DUMMYFUNCTION("IFERROR(ROUND(((B108 / INDEX(GOOGLEFINANCE(TRIM(A108), ""price"", TODAY()-34, TODAY()), 2, 2)) - (GOOGLEFINANCE(""NIFTY_50"") / INDEX(GOOGLEFINANCE(""NIFTY_50"", ""price"", TODAY()-34, TODAY()), 2, 2))) * 100, 2), ""Check History"")"),-5.44)</f>
        <v>-5.44</v>
      </c>
      <c r="AA108" s="53" t="str">
        <f t="shared" si="14"/>
        <v>WEAK RS</v>
      </c>
      <c r="AB108" s="53">
        <f>IFERROR(__xludf.DUMMYFUNCTION("IFERROR(LET(
  p, QUERY(GOOGLEFINANCE(TRIM(A108),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Loading"")"),61.8)</f>
        <v>61.8</v>
      </c>
      <c r="AC108" s="53" t="str">
        <f t="shared" si="15"/>
        <v>IDEAL ENTRY</v>
      </c>
      <c r="AD108" s="53" t="str">
        <f>IFERROR(__xludf.DUMMYFUNCTION("IFERROR(IF(GOOGLEFINANCE(A108,""eps"")&gt;0,""EPS+"",""EPS-""),"""")"),"EPS+")</f>
        <v>EPS+</v>
      </c>
      <c r="AE108" s="53">
        <f t="shared" si="16"/>
        <v>6</v>
      </c>
      <c r="AF108" s="53">
        <f>IFERROR(__xludf.DUMMYFUNCTION("IFERROR(N108+IF(S108&gt;=1.2,1,0)+IF(U108&gt;=1,1,0)+IF(Z108&gt;0,1,0)+IF(AND(W108&gt;=-20,W108&lt;=0),1,0)+IF(IFERROR(GOOGLEFINANCE(A108,""eps""),0)&gt;0,1,0),"""")"),4.0)</f>
        <v>4</v>
      </c>
      <c r="AG108" s="53" t="str">
        <f t="shared" si="17"/>
        <v>REVERSE TRADE</v>
      </c>
    </row>
    <row r="109" ht="15.0" customHeight="1">
      <c r="A109" s="43" t="s">
        <v>264</v>
      </c>
      <c r="B109" s="44">
        <f>IFERROR(__xludf.DUMMYFUNCTION("GOOGLEFINANCE(A109,""price"")"),335.3)</f>
        <v>335.3</v>
      </c>
      <c r="C109" s="45">
        <f>IFERROR(__xludf.DUMMYFUNCTION("AVERAGE(QUERY(SORT(GOOGLEFINANCE(A109,""price"",TODAY()-150,TODAY()),1,0),""select Col2 limit 50""))"),415.00299999999993)</f>
        <v>415.003</v>
      </c>
      <c r="D109" s="45">
        <f>IFERROR(__xludf.DUMMYFUNCTION("AVERAGE(QUERY(SORT(GOOGLEFINANCE(A109,""price"",TODAY()-300,TODAY()),1,0),""select Col2 limit 100""))"),442.08099999999996)</f>
        <v>442.081</v>
      </c>
      <c r="E109" s="45">
        <f>IFERROR(__xludf.DUMMYFUNCTION("AVERAGE(QUERY(SORT(GOOGLEFINANCE(A109,""price"",TODAY()-500,TODAY()),1,0),""select Col2 limit 200""))"),431.26625000000007)</f>
        <v>431.26625</v>
      </c>
      <c r="F109" s="46" t="str">
        <f t="shared" si="1"/>
        <v>In Bear Run</v>
      </c>
      <c r="G109" s="47">
        <f t="shared" si="2"/>
        <v>-22.25220499</v>
      </c>
      <c r="H109" s="48" t="str">
        <f t="shared" si="3"/>
        <v>Inverted ✗</v>
      </c>
      <c r="I109" s="48">
        <f t="shared" si="4"/>
        <v>0</v>
      </c>
      <c r="J109" s="48">
        <f t="shared" si="5"/>
        <v>0</v>
      </c>
      <c r="K109" s="49" t="str">
        <f>IFERROR(__xludf.DUMMYFUNCTION("IFERROR(IF(A109="""",""ENTER STOCK"",LET(stock,A109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09" s="48">
        <f t="shared" si="6"/>
        <v>0</v>
      </c>
      <c r="M109" s="48">
        <f t="shared" si="7"/>
        <v>1</v>
      </c>
      <c r="N109" s="50">
        <f t="shared" si="8"/>
        <v>1</v>
      </c>
      <c r="O109" s="51" t="s">
        <v>265</v>
      </c>
      <c r="P109" s="46" t="str">
        <f t="shared" si="9"/>
        <v>REVERSE TRADE</v>
      </c>
      <c r="Q109" s="52"/>
      <c r="R109" s="53">
        <f t="shared" si="10"/>
        <v>15</v>
      </c>
      <c r="S109" s="53">
        <f>IFERROR(__xludf.DUMMYFUNCTION("IFERROR(ROUND(GOOGLEFINANCE(A109,""volume"")/GOOGLEFINANCE(A109,""volumeavg""),2),"""")"),1.17)</f>
        <v>1.17</v>
      </c>
      <c r="T109" s="53" t="str">
        <f t="shared" si="11"/>
        <v>LOW VOL</v>
      </c>
      <c r="U109" s="53">
        <f>IFERROR(__xludf.DUMMYFUNCTION("IFERROR(
  LET(
    sd, GOOGLEFINANCE(A109,""close"",TODAY()-100,TODAY()),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"""")"),1.27)</f>
        <v>1.27</v>
      </c>
      <c r="V109" s="53" t="str">
        <f t="shared" si="12"/>
        <v>FAST</v>
      </c>
      <c r="W109" s="53">
        <f>IFERROR(__xludf.DUMMYFUNCTION("IFERROR(ROUND((B109/GOOGLEFINANCE(A109,""high52"")-1)*100,1),"""")"),-34.1)</f>
        <v>-34.1</v>
      </c>
      <c r="X109" s="53">
        <f>IFERROR(__xludf.DUMMYFUNCTION("IFERROR(ROUND((B109-GOOGLEFINANCE(A109,""low52""))/(GOOGLEFINANCE(A109,""high52"")-GOOGLEFINANCE(A109,""low52""))*100,1),"""")"),9.9)</f>
        <v>9.9</v>
      </c>
      <c r="Y109" s="53" t="str">
        <f t="shared" si="13"/>
        <v>MID</v>
      </c>
      <c r="Z109" s="53">
        <f>IFERROR(__xludf.DUMMYFUNCTION("IFERROR(ROUND(((B109 / INDEX(GOOGLEFINANCE(TRIM(A109), ""price"", TODAY()-34, TODAY()), 2, 2)) - (GOOGLEFINANCE(""NIFTY_50"") / INDEX(GOOGLEFINANCE(""NIFTY_50"", ""price"", TODAY()-34, TODAY()), 2, 2))) * 100, 2), ""Check History"")"),-12.83)</f>
        <v>-12.83</v>
      </c>
      <c r="AA109" s="53" t="str">
        <f t="shared" si="14"/>
        <v>WEAK RS</v>
      </c>
      <c r="AB109" s="53">
        <f>IFERROR(__xludf.DUMMYFUNCTION("IFERROR(LET(
  p, QUERY(GOOGLEFINANCE(TRIM(A109),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Loading"")"),38.2)</f>
        <v>38.2</v>
      </c>
      <c r="AC109" s="53" t="str">
        <f t="shared" si="15"/>
        <v>WEAK MOM</v>
      </c>
      <c r="AD109" s="53" t="str">
        <f>IFERROR(__xludf.DUMMYFUNCTION("IFERROR(IF(GOOGLEFINANCE(A109,""eps"")&gt;0,""EPS+"",""EPS-""),"""")"),"EPS+")</f>
        <v>EPS+</v>
      </c>
      <c r="AE109" s="53">
        <f t="shared" si="16"/>
        <v>4</v>
      </c>
      <c r="AF109" s="53">
        <f>IFERROR(__xludf.DUMMYFUNCTION("IFERROR(N109+IF(S109&gt;=1.2,1,0)+IF(U109&gt;=1,1,0)+IF(Z109&gt;0,1,0)+IF(AND(W109&gt;=-20,W109&lt;=0),1,0)+IF(IFERROR(GOOGLEFINANCE(A109,""eps""),0)&gt;0,1,0),"""")"),3.0)</f>
        <v>3</v>
      </c>
      <c r="AG109" s="53" t="str">
        <f t="shared" si="17"/>
        <v>REVERSE TRADE</v>
      </c>
    </row>
    <row r="110" ht="15.0" customHeight="1">
      <c r="A110" s="43" t="s">
        <v>266</v>
      </c>
      <c r="B110" s="44">
        <f>IFERROR(__xludf.DUMMYFUNCTION("GOOGLEFINANCE(A110,""price"")"),3002.0)</f>
        <v>3002</v>
      </c>
      <c r="C110" s="45">
        <f>IFERROR(__xludf.DUMMYFUNCTION("AVERAGE(QUERY(SORT(GOOGLEFINANCE(A110,""price"",TODAY()-150,TODAY()),1,0),""select Col2 limit 50""))"),3276.8640000000014)</f>
        <v>3276.864</v>
      </c>
      <c r="D110" s="45">
        <f>IFERROR(__xludf.DUMMYFUNCTION("AVERAGE(QUERY(SORT(GOOGLEFINANCE(A110,""price"",TODAY()-300,TODAY()),1,0),""select Col2 limit 100""))"),3404.02)</f>
        <v>3404.02</v>
      </c>
      <c r="E110" s="45">
        <f>IFERROR(__xludf.DUMMYFUNCTION("AVERAGE(QUERY(SORT(GOOGLEFINANCE(A110,""price"",TODAY()-500,TODAY()),1,0),""select Col2 limit 200""))"),3487.526)</f>
        <v>3487.526</v>
      </c>
      <c r="F110" s="46" t="str">
        <f t="shared" si="1"/>
        <v>In Bear Run</v>
      </c>
      <c r="G110" s="47">
        <f t="shared" si="2"/>
        <v>-13.92178868</v>
      </c>
      <c r="H110" s="48" t="str">
        <f t="shared" si="3"/>
        <v>Inverted ✗</v>
      </c>
      <c r="I110" s="48">
        <f t="shared" si="4"/>
        <v>0</v>
      </c>
      <c r="J110" s="48">
        <f t="shared" si="5"/>
        <v>0</v>
      </c>
      <c r="K110" s="49" t="str">
        <f>IFERROR(__xludf.DUMMYFUNCTION("IFERROR(IF(A110="""",""ENTER STOCK"",LET(stock,A110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10" s="48">
        <f t="shared" si="6"/>
        <v>0</v>
      </c>
      <c r="M110" s="48">
        <f t="shared" si="7"/>
        <v>1</v>
      </c>
      <c r="N110" s="50">
        <f t="shared" si="8"/>
        <v>1</v>
      </c>
      <c r="O110" s="51" t="s">
        <v>137</v>
      </c>
      <c r="P110" s="46" t="str">
        <f t="shared" si="9"/>
        <v>REVERSE TRADE</v>
      </c>
      <c r="Q110" s="52"/>
      <c r="R110" s="53">
        <f t="shared" si="10"/>
        <v>15</v>
      </c>
      <c r="S110" s="53">
        <f>IFERROR(__xludf.DUMMYFUNCTION("IFERROR(ROUND(GOOGLEFINANCE(A110,""volume"")/GOOGLEFINANCE(A110,""volumeavg""),2),"""")"),1.34)</f>
        <v>1.34</v>
      </c>
      <c r="T110" s="53" t="str">
        <f t="shared" si="11"/>
        <v>OK VOL</v>
      </c>
      <c r="U110" s="53">
        <f>IFERROR(__xludf.DUMMYFUNCTION("IFERROR(
  LET(
    sd, GOOGLEFINANCE(A110,""close"",TODAY()-100,TODAY()),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"""")"),0.61)</f>
        <v>0.61</v>
      </c>
      <c r="V110" s="53" t="str">
        <f t="shared" si="12"/>
        <v>SLOW</v>
      </c>
      <c r="W110" s="53">
        <f>IFERROR(__xludf.DUMMYFUNCTION("IFERROR(ROUND((B110/GOOGLEFINANCE(A110,""high52"")-1)*100,1),"""")"),-25.9)</f>
        <v>-25.9</v>
      </c>
      <c r="X110" s="53">
        <f>IFERROR(__xludf.DUMMYFUNCTION("IFERROR(ROUND((B110-GOOGLEFINANCE(A110,""low52""))/(GOOGLEFINANCE(A110,""high52"")-GOOGLEFINANCE(A110,""low52""))*100,1),"""")"),7.5)</f>
        <v>7.5</v>
      </c>
      <c r="Y110" s="53" t="str">
        <f t="shared" si="13"/>
        <v>MID</v>
      </c>
      <c r="Z110" s="53">
        <f>IFERROR(__xludf.DUMMYFUNCTION("IFERROR(ROUND(((B110 / INDEX(GOOGLEFINANCE(TRIM(A110), ""price"", TODAY()-34, TODAY()), 2, 2)) - (GOOGLEFINANCE(""NIFTY_50"") / INDEX(GOOGLEFINANCE(""NIFTY_50"", ""price"", TODAY()-34, TODAY()), 2, 2))) * 100, 2), ""Check History"")"),-3.0)</f>
        <v>-3</v>
      </c>
      <c r="AA110" s="53" t="str">
        <f t="shared" si="14"/>
        <v>WEAK RS</v>
      </c>
      <c r="AB110" s="53">
        <f>IFERROR(__xludf.DUMMYFUNCTION("IFERROR(LET(
  p, QUERY(GOOGLEFINANCE(TRIM(A110),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Loading"")"),35.8)</f>
        <v>35.8</v>
      </c>
      <c r="AC110" s="53" t="str">
        <f t="shared" si="15"/>
        <v>WEAK MOM</v>
      </c>
      <c r="AD110" s="53" t="str">
        <f>IFERROR(__xludf.DUMMYFUNCTION("IFERROR(IF(GOOGLEFINANCE(A110,""eps"")&gt;0,""EPS+"",""EPS-""),"""")"),"EPS+")</f>
        <v>EPS+</v>
      </c>
      <c r="AE110" s="53">
        <f t="shared" si="16"/>
        <v>3</v>
      </c>
      <c r="AF110" s="53">
        <f>IFERROR(__xludf.DUMMYFUNCTION("IFERROR(N110+IF(S110&gt;=1.2,1,0)+IF(U110&gt;=1,1,0)+IF(Z110&gt;0,1,0)+IF(AND(W110&gt;=-20,W110&lt;=0),1,0)+IF(IFERROR(GOOGLEFINANCE(A110,""eps""),0)&gt;0,1,0),"""")"),3.0)</f>
        <v>3</v>
      </c>
      <c r="AG110" s="53" t="str">
        <f t="shared" si="17"/>
        <v>REVERSE TRADE</v>
      </c>
    </row>
    <row r="111" ht="15.0" customHeight="1">
      <c r="A111" s="43" t="s">
        <v>267</v>
      </c>
      <c r="B111" s="44">
        <f>IFERROR(__xludf.DUMMYFUNCTION("GOOGLEFINANCE(A111,""price"")"),1485.0)</f>
        <v>1485</v>
      </c>
      <c r="C111" s="45">
        <f>IFERROR(__xludf.DUMMYFUNCTION("AVERAGE(QUERY(SORT(GOOGLEFINANCE(A111,""price"",TODAY()-150,TODAY()),1,0),""select Col2 limit 50""))"),1609.9800000000002)</f>
        <v>1609.98</v>
      </c>
      <c r="D111" s="45">
        <f>IFERROR(__xludf.DUMMYFUNCTION("AVERAGE(QUERY(SORT(GOOGLEFINANCE(A111,""price"",TODAY()-300,TODAY()),1,0),""select Col2 limit 100""))"),1692.0009999999995)</f>
        <v>1692.001</v>
      </c>
      <c r="E111" s="45">
        <f>IFERROR(__xludf.DUMMYFUNCTION("AVERAGE(QUERY(SORT(GOOGLEFINANCE(A111,""price"",TODAY()-500,TODAY()),1,0),""select Col2 limit 200""))"),1737.9654999999996)</f>
        <v>1737.9655</v>
      </c>
      <c r="F111" s="46" t="str">
        <f t="shared" si="1"/>
        <v>In Bear Run</v>
      </c>
      <c r="G111" s="47">
        <f t="shared" si="2"/>
        <v>-14.55526591</v>
      </c>
      <c r="H111" s="48" t="str">
        <f t="shared" si="3"/>
        <v>Inverted ✗</v>
      </c>
      <c r="I111" s="48">
        <f t="shared" si="4"/>
        <v>0</v>
      </c>
      <c r="J111" s="48">
        <f t="shared" si="5"/>
        <v>0</v>
      </c>
      <c r="K111" s="49" t="str">
        <f>IFERROR(__xludf.DUMMYFUNCTION("IFERROR(IF(A111="""",""ENTER STOCK"",LET(stock,A111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11" s="48">
        <f t="shared" si="6"/>
        <v>0</v>
      </c>
      <c r="M111" s="48">
        <f t="shared" si="7"/>
        <v>1</v>
      </c>
      <c r="N111" s="50">
        <f t="shared" si="8"/>
        <v>1</v>
      </c>
      <c r="O111" s="51" t="s">
        <v>230</v>
      </c>
      <c r="P111" s="46" t="str">
        <f t="shared" si="9"/>
        <v>REVERSE TRADE</v>
      </c>
      <c r="Q111" s="52"/>
      <c r="R111" s="53">
        <f t="shared" si="10"/>
        <v>15</v>
      </c>
      <c r="S111" s="53">
        <f>IFERROR(__xludf.DUMMYFUNCTION("IFERROR(ROUND(GOOGLEFINANCE(A111,""volume"")/GOOGLEFINANCE(A111,""volumeavg""),2),"""")"),1.46)</f>
        <v>1.46</v>
      </c>
      <c r="T111" s="53" t="str">
        <f t="shared" si="11"/>
        <v>OK VOL</v>
      </c>
      <c r="U111" s="53">
        <f>IFERROR(__xludf.DUMMYFUNCTION("IFERROR(
  LET(
    sd, GOOGLEFINANCE(A111,""close"",TODAY()-100,TODAY()),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"""")"),0.68)</f>
        <v>0.68</v>
      </c>
      <c r="V111" s="53" t="str">
        <f t="shared" si="12"/>
        <v>SLOW</v>
      </c>
      <c r="W111" s="53">
        <f>IFERROR(__xludf.DUMMYFUNCTION("IFERROR(ROUND((B111/GOOGLEFINANCE(A111,""high52"")-1)*100,1),"""")"),-27.7)</f>
        <v>-27.7</v>
      </c>
      <c r="X111" s="53">
        <f>IFERROR(__xludf.DUMMYFUNCTION("IFERROR(ROUND((B111-GOOGLEFINANCE(A111,""low52""))/(GOOGLEFINANCE(A111,""high52"")-GOOGLEFINANCE(A111,""low52""))*100,1),"""")"),28.4)</f>
        <v>28.4</v>
      </c>
      <c r="Y111" s="53" t="str">
        <f t="shared" si="13"/>
        <v>MID</v>
      </c>
      <c r="Z111" s="53">
        <f>IFERROR(__xludf.DUMMYFUNCTION("IFERROR(ROUND(((B111 / INDEX(GOOGLEFINANCE(TRIM(A111), ""price"", TODAY()-34, TODAY()), 2, 2)) - (GOOGLEFINANCE(""NIFTY_50"") / INDEX(GOOGLEFINANCE(""NIFTY_50"", ""price"", TODAY()-34, TODAY()), 2, 2))) * 100, 2), ""Check History"")"),1.96)</f>
        <v>1.96</v>
      </c>
      <c r="AA111" s="53" t="str">
        <f t="shared" si="14"/>
        <v>MILD RS</v>
      </c>
      <c r="AB111" s="53">
        <f>IFERROR(__xludf.DUMMYFUNCTION("IFERROR(LET(
  p, QUERY(GOOGLEFINANCE(TRIM(A111),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Loading"")"),46.2)</f>
        <v>46.2</v>
      </c>
      <c r="AC111" s="53" t="str">
        <f t="shared" si="15"/>
        <v>IDEAL ENTRY</v>
      </c>
      <c r="AD111" s="53" t="str">
        <f>IFERROR(__xludf.DUMMYFUNCTION("IFERROR(IF(GOOGLEFINANCE(A111,""eps"")&gt;0,""EPS+"",""EPS-""),"""")"),"EPS+")</f>
        <v>EPS+</v>
      </c>
      <c r="AE111" s="53">
        <f t="shared" si="16"/>
        <v>4</v>
      </c>
      <c r="AF111" s="53">
        <f>IFERROR(__xludf.DUMMYFUNCTION("IFERROR(N111+IF(S111&gt;=1.2,1,0)+IF(U111&gt;=1,1,0)+IF(Z111&gt;0,1,0)+IF(AND(W111&gt;=-20,W111&lt;=0),1,0)+IF(IFERROR(GOOGLEFINANCE(A111,""eps""),0)&gt;0,1,0),"""")"),4.0)</f>
        <v>4</v>
      </c>
      <c r="AG111" s="53" t="str">
        <f t="shared" si="17"/>
        <v>REVERSE TRADE</v>
      </c>
    </row>
    <row r="112" ht="15.0" customHeight="1">
      <c r="A112" s="43" t="s">
        <v>268</v>
      </c>
      <c r="B112" s="44">
        <f>IFERROR(__xludf.DUMMYFUNCTION("GOOGLEFINANCE(A112,""price"")"),1194.0)</f>
        <v>1194</v>
      </c>
      <c r="C112" s="45">
        <f>IFERROR(__xludf.DUMMYFUNCTION("AVERAGE(QUERY(SORT(GOOGLEFINANCE(A112,""price"",TODAY()-150,TODAY()),1,0),""select Col2 limit 50""))"),1344.2820000000002)</f>
        <v>1344.282</v>
      </c>
      <c r="D112" s="45">
        <f>IFERROR(__xludf.DUMMYFUNCTION("AVERAGE(QUERY(SORT(GOOGLEFINANCE(A112,""price"",TODAY()-300,TODAY()),1,0),""select Col2 limit 100""))"),1391.2999999999995)</f>
        <v>1391.3</v>
      </c>
      <c r="E112" s="45">
        <f>IFERROR(__xludf.DUMMYFUNCTION("AVERAGE(QUERY(SORT(GOOGLEFINANCE(A112,""price"",TODAY()-500,TODAY()),1,0),""select Col2 limit 200""))"),1461.7129999999988)</f>
        <v>1461.713</v>
      </c>
      <c r="F112" s="46" t="str">
        <f t="shared" si="1"/>
        <v>In Bear Run</v>
      </c>
      <c r="G112" s="47">
        <f t="shared" si="2"/>
        <v>-18.31501806</v>
      </c>
      <c r="H112" s="48" t="str">
        <f t="shared" si="3"/>
        <v>Inverted ✗</v>
      </c>
      <c r="I112" s="48">
        <f t="shared" si="4"/>
        <v>0</v>
      </c>
      <c r="J112" s="48">
        <f t="shared" si="5"/>
        <v>0</v>
      </c>
      <c r="K112" s="49" t="str">
        <f>IFERROR(__xludf.DUMMYFUNCTION("IFERROR(IF(A112="""",""ENTER STOCK"",LET(stock,A112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12" s="48">
        <f t="shared" si="6"/>
        <v>0</v>
      </c>
      <c r="M112" s="48">
        <f t="shared" si="7"/>
        <v>1</v>
      </c>
      <c r="N112" s="50">
        <f t="shared" si="8"/>
        <v>1</v>
      </c>
      <c r="O112" s="51" t="s">
        <v>175</v>
      </c>
      <c r="P112" s="46" t="str">
        <f t="shared" si="9"/>
        <v>REVERSE TRADE</v>
      </c>
      <c r="Q112" s="52"/>
      <c r="R112" s="53">
        <f t="shared" si="10"/>
        <v>15</v>
      </c>
      <c r="S112" s="53">
        <f>IFERROR(__xludf.DUMMYFUNCTION("IFERROR(ROUND(GOOGLEFINANCE(A112,""volume"")/GOOGLEFINANCE(A112,""volumeavg""),2),"""")"),1.89)</f>
        <v>1.89</v>
      </c>
      <c r="T112" s="53" t="str">
        <f t="shared" si="11"/>
        <v>HIGH VOL</v>
      </c>
      <c r="U112" s="53">
        <f>IFERROR(__xludf.DUMMYFUNCTION("IFERROR(
  LET(
    sd, GOOGLEFINANCE(A112,""close"",TODAY()-100,TODAY()),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"""")"),1.18)</f>
        <v>1.18</v>
      </c>
      <c r="V112" s="53" t="str">
        <f t="shared" si="12"/>
        <v>MEDIUM</v>
      </c>
      <c r="W112" s="53">
        <f>IFERROR(__xludf.DUMMYFUNCTION("IFERROR(ROUND((B112/GOOGLEFINANCE(A112,""high52"")-1)*100,1),"""")"),-28.7)</f>
        <v>-28.7</v>
      </c>
      <c r="X112" s="53">
        <f>IFERROR(__xludf.DUMMYFUNCTION("IFERROR(ROUND((B112-GOOGLEFINANCE(A112,""low52""))/(GOOGLEFINANCE(A112,""high52"")-GOOGLEFINANCE(A112,""low52""))*100,1),"""")"),2.0)</f>
        <v>2</v>
      </c>
      <c r="Y112" s="53" t="str">
        <f t="shared" si="13"/>
        <v>MID</v>
      </c>
      <c r="Z112" s="53">
        <f>IFERROR(__xludf.DUMMYFUNCTION("IFERROR(ROUND(((B112 / INDEX(GOOGLEFINANCE(TRIM(A112), ""price"", TODAY()-34, TODAY()), 2, 2)) - (GOOGLEFINANCE(""NIFTY_50"") / INDEX(GOOGLEFINANCE(""NIFTY_50"", ""price"", TODAY()-34, TODAY()), 2, 2))) * 100, 2), ""Check History"")"),-2.78)</f>
        <v>-2.78</v>
      </c>
      <c r="AA112" s="53" t="str">
        <f t="shared" si="14"/>
        <v>WEAK RS</v>
      </c>
      <c r="AB112" s="53">
        <f>IFERROR(__xludf.DUMMYFUNCTION("IFERROR(LET(
  p, QUERY(GOOGLEFINANCE(TRIM(A112),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Loading"")"),37.8)</f>
        <v>37.8</v>
      </c>
      <c r="AC112" s="53" t="str">
        <f t="shared" si="15"/>
        <v>WEAK MOM</v>
      </c>
      <c r="AD112" s="53" t="str">
        <f>IFERROR(__xludf.DUMMYFUNCTION("IFERROR(IF(GOOGLEFINANCE(A112,""eps"")&gt;0,""EPS+"",""EPS-""),"""")"),"EPS+")</f>
        <v>EPS+</v>
      </c>
      <c r="AE112" s="53">
        <f t="shared" si="16"/>
        <v>5</v>
      </c>
      <c r="AF112" s="53">
        <f>IFERROR(__xludf.DUMMYFUNCTION("IFERROR(N112+IF(S112&gt;=1.2,1,0)+IF(U112&gt;=1,1,0)+IF(Z112&gt;0,1,0)+IF(AND(W112&gt;=-20,W112&lt;=0),1,0)+IF(IFERROR(GOOGLEFINANCE(A112,""eps""),0)&gt;0,1,0),"""")"),4.0)</f>
        <v>4</v>
      </c>
      <c r="AG112" s="53" t="str">
        <f t="shared" si="17"/>
        <v>REVERSE TRADE</v>
      </c>
    </row>
    <row r="113" ht="15.0" customHeight="1">
      <c r="A113" s="43" t="s">
        <v>269</v>
      </c>
      <c r="B113" s="44">
        <f>IFERROR(__xludf.DUMMYFUNCTION("GOOGLEFINANCE(A113,""price"")"),2270.5)</f>
        <v>2270.5</v>
      </c>
      <c r="C113" s="45">
        <f>IFERROR(__xludf.DUMMYFUNCTION("AVERAGE(QUERY(SORT(GOOGLEFINANCE(A113,""price"",TODAY()-150,TODAY()),1,0),""select Col2 limit 50""))"),2462.456)</f>
        <v>2462.456</v>
      </c>
      <c r="D113" s="45">
        <f>IFERROR(__xludf.DUMMYFUNCTION("AVERAGE(QUERY(SORT(GOOGLEFINANCE(A113,""price"",TODAY()-300,TODAY()),1,0),""select Col2 limit 100""))"),2487.2799999999997)</f>
        <v>2487.28</v>
      </c>
      <c r="E113" s="45">
        <f>IFERROR(__xludf.DUMMYFUNCTION("AVERAGE(QUERY(SORT(GOOGLEFINANCE(A113,""price"",TODAY()-500,TODAY()),1,0),""select Col2 limit 200""))"),2712.4105000000004)</f>
        <v>2712.4105</v>
      </c>
      <c r="F113" s="46" t="str">
        <f t="shared" si="1"/>
        <v>In Bear Run</v>
      </c>
      <c r="G113" s="47">
        <f t="shared" si="2"/>
        <v>-16.2921689</v>
      </c>
      <c r="H113" s="48" t="str">
        <f t="shared" si="3"/>
        <v>Inverted ✗</v>
      </c>
      <c r="I113" s="48">
        <f t="shared" si="4"/>
        <v>0</v>
      </c>
      <c r="J113" s="48">
        <f t="shared" si="5"/>
        <v>0</v>
      </c>
      <c r="K113" s="49" t="str">
        <f>IFERROR(__xludf.DUMMYFUNCTION("IFERROR(IF(A113="""",""ENTER STOCK"",LET(stock,A113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13" s="48">
        <f t="shared" si="6"/>
        <v>0</v>
      </c>
      <c r="M113" s="48">
        <f t="shared" si="7"/>
        <v>1</v>
      </c>
      <c r="N113" s="50">
        <f t="shared" si="8"/>
        <v>1</v>
      </c>
      <c r="O113" s="51" t="s">
        <v>255</v>
      </c>
      <c r="P113" s="46" t="str">
        <f t="shared" si="9"/>
        <v>REVERSE TRADE</v>
      </c>
      <c r="Q113" s="52"/>
      <c r="R113" s="53">
        <f t="shared" si="10"/>
        <v>15</v>
      </c>
      <c r="S113" s="53">
        <f>IFERROR(__xludf.DUMMYFUNCTION("IFERROR(ROUND(GOOGLEFINANCE(A113,""volume"")/GOOGLEFINANCE(A113,""volumeavg""),2),"""")"),2.74)</f>
        <v>2.74</v>
      </c>
      <c r="T113" s="53" t="str">
        <f t="shared" si="11"/>
        <v>HIGH VOL</v>
      </c>
      <c r="U113" s="53">
        <f>IFERROR(__xludf.DUMMYFUNCTION("IFERROR(
  LET(
    sd, GOOGLEFINANCE(A113,""close"",TODAY()-100,TODAY()),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"""")"),0.85)</f>
        <v>0.85</v>
      </c>
      <c r="V113" s="53" t="str">
        <f t="shared" si="12"/>
        <v>SLOW</v>
      </c>
      <c r="W113" s="53">
        <f>IFERROR(__xludf.DUMMYFUNCTION("IFERROR(ROUND((B113/GOOGLEFINANCE(A113,""high52"")-1)*100,1),"""")"),-35.4)</f>
        <v>-35.4</v>
      </c>
      <c r="X113" s="53">
        <f>IFERROR(__xludf.DUMMYFUNCTION("IFERROR(ROUND((B113-GOOGLEFINANCE(A113,""low52""))/(GOOGLEFINANCE(A113,""high52"")-GOOGLEFINANCE(A113,""low52""))*100,1),"""")"),4.1)</f>
        <v>4.1</v>
      </c>
      <c r="Y113" s="53" t="str">
        <f t="shared" si="13"/>
        <v>MID</v>
      </c>
      <c r="Z113" s="53">
        <f>IFERROR(__xludf.DUMMYFUNCTION("IFERROR(ROUND(((B113 / INDEX(GOOGLEFINANCE(TRIM(A113), ""price"", TODAY()-34, TODAY()), 2, 2)) - (GOOGLEFINANCE(""NIFTY_50"") / INDEX(GOOGLEFINANCE(""NIFTY_50"", ""price"", TODAY()-34, TODAY()), 2, 2))) * 100, 2), ""Check History"")"),-1.11)</f>
        <v>-1.11</v>
      </c>
      <c r="AA113" s="53" t="str">
        <f t="shared" si="14"/>
        <v>WEAK RS</v>
      </c>
      <c r="AB113" s="53">
        <f>IFERROR(__xludf.DUMMYFUNCTION("IFERROR(LET(
  p, QUERY(GOOGLEFINANCE(TRIM(A113),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Loading"")"),25.9)</f>
        <v>25.9</v>
      </c>
      <c r="AC113" s="53" t="str">
        <f t="shared" si="15"/>
        <v>WEAK MOM</v>
      </c>
      <c r="AD113" s="53" t="str">
        <f>IFERROR(__xludf.DUMMYFUNCTION("IFERROR(IF(GOOGLEFINANCE(A113,""eps"")&gt;0,""EPS+"",""EPS-""),"""")"),"EPS+")</f>
        <v>EPS+</v>
      </c>
      <c r="AE113" s="53">
        <f t="shared" si="16"/>
        <v>4</v>
      </c>
      <c r="AF113" s="53">
        <f>IFERROR(__xludf.DUMMYFUNCTION("IFERROR(N113+IF(S113&gt;=1.2,1,0)+IF(U113&gt;=1,1,0)+IF(Z113&gt;0,1,0)+IF(AND(W113&gt;=-20,W113&lt;=0),1,0)+IF(IFERROR(GOOGLEFINANCE(A113,""eps""),0)&gt;0,1,0),"""")"),3.0)</f>
        <v>3</v>
      </c>
      <c r="AG113" s="53" t="str">
        <f t="shared" si="17"/>
        <v>REVERSE TRADE</v>
      </c>
    </row>
    <row r="114" ht="15.0" customHeight="1">
      <c r="A114" s="43" t="s">
        <v>270</v>
      </c>
      <c r="B114" s="44">
        <f>IFERROR(__xludf.DUMMYFUNCTION("GOOGLEFINANCE(A114,""price"")"),2730.0)</f>
        <v>2730</v>
      </c>
      <c r="C114" s="45">
        <f>IFERROR(__xludf.DUMMYFUNCTION("AVERAGE(QUERY(SORT(GOOGLEFINANCE(A114,""price"",TODAY()-150,TODAY()),1,0),""select Col2 limit 50""))"),3393.5359999999996)</f>
        <v>3393.536</v>
      </c>
      <c r="D114" s="45">
        <f>IFERROR(__xludf.DUMMYFUNCTION("AVERAGE(QUERY(SORT(GOOGLEFINANCE(A114,""price"",TODAY()-300,TODAY()),1,0),""select Col2 limit 100""))"),3552.862)</f>
        <v>3552.862</v>
      </c>
      <c r="E114" s="45">
        <f>IFERROR(__xludf.DUMMYFUNCTION("AVERAGE(QUERY(SORT(GOOGLEFINANCE(A114,""price"",TODAY()-500,TODAY()),1,0),""select Col2 limit 200""))"),3525.534)</f>
        <v>3525.534</v>
      </c>
      <c r="F114" s="46" t="str">
        <f t="shared" si="1"/>
        <v>In Bear Run</v>
      </c>
      <c r="G114" s="47">
        <f t="shared" si="2"/>
        <v>-22.56492208</v>
      </c>
      <c r="H114" s="48" t="str">
        <f t="shared" si="3"/>
        <v>Inverted ✗</v>
      </c>
      <c r="I114" s="48">
        <f t="shared" si="4"/>
        <v>0</v>
      </c>
      <c r="J114" s="48">
        <f t="shared" si="5"/>
        <v>0</v>
      </c>
      <c r="K114" s="49" t="str">
        <f>IFERROR(__xludf.DUMMYFUNCTION("IFERROR(IF(A114="""",""ENTER STOCK"",LET(stock,A114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14" s="48">
        <f t="shared" si="6"/>
        <v>0</v>
      </c>
      <c r="M114" s="48">
        <f t="shared" si="7"/>
        <v>1</v>
      </c>
      <c r="N114" s="50">
        <f t="shared" si="8"/>
        <v>1</v>
      </c>
      <c r="O114" s="51" t="s">
        <v>271</v>
      </c>
      <c r="P114" s="46" t="str">
        <f t="shared" si="9"/>
        <v>REVERSE TRADE</v>
      </c>
      <c r="Q114" s="52"/>
      <c r="R114" s="53">
        <f t="shared" si="10"/>
        <v>15</v>
      </c>
      <c r="S114" s="53">
        <f>IFERROR(__xludf.DUMMYFUNCTION("IFERROR(ROUND(GOOGLEFINANCE(A114,""volume"")/GOOGLEFINANCE(A114,""volumeavg""),2),"""")"),1.34)</f>
        <v>1.34</v>
      </c>
      <c r="T114" s="53" t="str">
        <f t="shared" si="11"/>
        <v>OK VOL</v>
      </c>
      <c r="U114" s="53">
        <f>IFERROR(__xludf.DUMMYFUNCTION("IFERROR(
  LET(
    sd, GOOGLEFINANCE(A114,""close"",TODAY()-100,TODAY()),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"""")"),1.35)</f>
        <v>1.35</v>
      </c>
      <c r="V114" s="53" t="str">
        <f t="shared" si="12"/>
        <v>FAST</v>
      </c>
      <c r="W114" s="53">
        <f>IFERROR(__xludf.DUMMYFUNCTION("IFERROR(ROUND((B114/GOOGLEFINANCE(A114,""high52"")-1)*100,1),"""")"),-34.7)</f>
        <v>-34.7</v>
      </c>
      <c r="X114" s="53">
        <f>IFERROR(__xludf.DUMMYFUNCTION("IFERROR(ROUND((B114-GOOGLEFINANCE(A114,""low52""))/(GOOGLEFINANCE(A114,""high52"")-GOOGLEFINANCE(A114,""low52""))*100,1),"""")"),0.0)</f>
        <v>0</v>
      </c>
      <c r="Y114" s="53" t="str">
        <f t="shared" si="13"/>
        <v>MID</v>
      </c>
      <c r="Z114" s="53">
        <f>IFERROR(__xludf.DUMMYFUNCTION("IFERROR(ROUND(((B114 / INDEX(GOOGLEFINANCE(TRIM(A114), ""price"", TODAY()-34, TODAY()), 2, 2)) - (GOOGLEFINANCE(""NIFTY_50"") / INDEX(GOOGLEFINANCE(""NIFTY_50"", ""price"", TODAY()-34, TODAY()), 2, 2))) * 100, 2), ""Check History"")"),-11.26)</f>
        <v>-11.26</v>
      </c>
      <c r="AA114" s="53" t="str">
        <f t="shared" si="14"/>
        <v>WEAK RS</v>
      </c>
      <c r="AB114" s="53">
        <f>IFERROR(__xludf.DUMMYFUNCTION("IFERROR(LET(
  p, QUERY(GOOGLEFINANCE(TRIM(A114),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Loading"")"),40.9)</f>
        <v>40.9</v>
      </c>
      <c r="AC114" s="53" t="str">
        <f t="shared" si="15"/>
        <v>WEAK MOM</v>
      </c>
      <c r="AD114" s="53" t="str">
        <f>IFERROR(__xludf.DUMMYFUNCTION("IFERROR(IF(GOOGLEFINANCE(A114,""eps"")&gt;0,""EPS+"",""EPS-""),"""")"),"EPS+")</f>
        <v>EPS+</v>
      </c>
      <c r="AE114" s="53">
        <f t="shared" si="16"/>
        <v>5</v>
      </c>
      <c r="AF114" s="53">
        <f>IFERROR(__xludf.DUMMYFUNCTION("IFERROR(N114+IF(S114&gt;=1.2,1,0)+IF(U114&gt;=1,1,0)+IF(Z114&gt;0,1,0)+IF(AND(W114&gt;=-20,W114&lt;=0),1,0)+IF(IFERROR(GOOGLEFINANCE(A114,""eps""),0)&gt;0,1,0),"""")"),4.0)</f>
        <v>4</v>
      </c>
      <c r="AG114" s="53" t="str">
        <f t="shared" si="17"/>
        <v>REVERSE TRADE</v>
      </c>
    </row>
    <row r="115" ht="15.0" customHeight="1">
      <c r="A115" s="43" t="s">
        <v>272</v>
      </c>
      <c r="B115" s="44">
        <f>IFERROR(__xludf.DUMMYFUNCTION("GOOGLEFINANCE(A115,""price"")"),1779.0)</f>
        <v>1779</v>
      </c>
      <c r="C115" s="45">
        <f>IFERROR(__xludf.DUMMYFUNCTION("AVERAGE(QUERY(SORT(GOOGLEFINANCE(A115,""price"",TODAY()-150,TODAY()),1,0),""select Col2 limit 50""))"),2128.676)</f>
        <v>2128.676</v>
      </c>
      <c r="D115" s="45">
        <f>IFERROR(__xludf.DUMMYFUNCTION("AVERAGE(QUERY(SORT(GOOGLEFINANCE(A115,""price"",TODAY()-300,TODAY()),1,0),""select Col2 limit 100""))"),2230.221)</f>
        <v>2230.221</v>
      </c>
      <c r="E115" s="45">
        <f>IFERROR(__xludf.DUMMYFUNCTION("AVERAGE(QUERY(SORT(GOOGLEFINANCE(A115,""price"",TODAY()-500,TODAY()),1,0),""select Col2 limit 200""))"),2266.612500000001)</f>
        <v>2266.6125</v>
      </c>
      <c r="F115" s="46" t="str">
        <f t="shared" si="1"/>
        <v>In Bear Run</v>
      </c>
      <c r="G115" s="47">
        <f t="shared" si="2"/>
        <v>-21.51283027</v>
      </c>
      <c r="H115" s="48" t="str">
        <f t="shared" si="3"/>
        <v>Inverted ✗</v>
      </c>
      <c r="I115" s="48">
        <f t="shared" si="4"/>
        <v>0</v>
      </c>
      <c r="J115" s="48">
        <f t="shared" si="5"/>
        <v>0</v>
      </c>
      <c r="K115" s="49" t="str">
        <f>IFERROR(__xludf.DUMMYFUNCTION("IFERROR(IF(A115="""",""ENTER STOCK"",LET(stock,A115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15" s="48">
        <f t="shared" si="6"/>
        <v>0</v>
      </c>
      <c r="M115" s="48">
        <f t="shared" si="7"/>
        <v>1</v>
      </c>
      <c r="N115" s="50">
        <f t="shared" si="8"/>
        <v>1</v>
      </c>
      <c r="O115" s="51" t="s">
        <v>271</v>
      </c>
      <c r="P115" s="46" t="str">
        <f t="shared" si="9"/>
        <v>REVERSE TRADE</v>
      </c>
      <c r="Q115" s="52"/>
      <c r="R115" s="53">
        <f t="shared" si="10"/>
        <v>15</v>
      </c>
      <c r="S115" s="53">
        <f>IFERROR(__xludf.DUMMYFUNCTION("IFERROR(ROUND(GOOGLEFINANCE(A115,""volume"")/GOOGLEFINANCE(A115,""volumeavg""),2),"""")"),2.11)</f>
        <v>2.11</v>
      </c>
      <c r="T115" s="53" t="str">
        <f t="shared" si="11"/>
        <v>HIGH VOL</v>
      </c>
      <c r="U115" s="53">
        <f>IFERROR(__xludf.DUMMYFUNCTION("IFERROR(
  LET(
    sd, GOOGLEFINANCE(A115,""close"",TODAY()-100,TODAY()),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"""")"),0.77)</f>
        <v>0.77</v>
      </c>
      <c r="V115" s="53" t="str">
        <f t="shared" si="12"/>
        <v>SLOW</v>
      </c>
      <c r="W115" s="53">
        <f>IFERROR(__xludf.DUMMYFUNCTION("IFERROR(ROUND((B115/GOOGLEFINANCE(A115,""high52"")-1)*100,1),"""")"),-38.4)</f>
        <v>-38.4</v>
      </c>
      <c r="X115" s="53">
        <f>IFERROR(__xludf.DUMMYFUNCTION("IFERROR(ROUND((B115-GOOGLEFINANCE(A115,""low52""))/(GOOGLEFINANCE(A115,""high52"")-GOOGLEFINANCE(A115,""low52""))*100,1),"""")"),17.6)</f>
        <v>17.6</v>
      </c>
      <c r="Y115" s="53" t="str">
        <f t="shared" si="13"/>
        <v>MID</v>
      </c>
      <c r="Z115" s="53">
        <f>IFERROR(__xludf.DUMMYFUNCTION("IFERROR(ROUND(((B115 / INDEX(GOOGLEFINANCE(TRIM(A115), ""price"", TODAY()-34, TODAY()), 2, 2)) - (GOOGLEFINANCE(""NIFTY_50"") / INDEX(GOOGLEFINANCE(""NIFTY_50"", ""price"", TODAY()-34, TODAY()), 2, 2))) * 100, 2), ""Check History"")"),-5.47)</f>
        <v>-5.47</v>
      </c>
      <c r="AA115" s="53" t="str">
        <f t="shared" si="14"/>
        <v>WEAK RS</v>
      </c>
      <c r="AB115" s="53">
        <f>IFERROR(__xludf.DUMMYFUNCTION("IFERROR(LET(
  p, QUERY(GOOGLEFINANCE(TRIM(A115),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Loading"")"),29.3)</f>
        <v>29.3</v>
      </c>
      <c r="AC115" s="53" t="str">
        <f t="shared" si="15"/>
        <v>WEAK MOM</v>
      </c>
      <c r="AD115" s="53" t="str">
        <f>IFERROR(__xludf.DUMMYFUNCTION("IFERROR(IF(GOOGLEFINANCE(A115,""eps"")&gt;0,""EPS+"",""EPS-""),"""")"),"EPS+")</f>
        <v>EPS+</v>
      </c>
      <c r="AE115" s="53">
        <f t="shared" si="16"/>
        <v>4</v>
      </c>
      <c r="AF115" s="53">
        <f>IFERROR(__xludf.DUMMYFUNCTION("IFERROR(N115+IF(S115&gt;=1.2,1,0)+IF(U115&gt;=1,1,0)+IF(Z115&gt;0,1,0)+IF(AND(W115&gt;=-20,W115&lt;=0),1,0)+IF(IFERROR(GOOGLEFINANCE(A115,""eps""),0)&gt;0,1,0),"""")"),3.0)</f>
        <v>3</v>
      </c>
      <c r="AG115" s="53" t="str">
        <f t="shared" si="17"/>
        <v>REVERSE TRADE</v>
      </c>
    </row>
    <row r="116" ht="15.0" customHeight="1">
      <c r="A116" s="43" t="s">
        <v>273</v>
      </c>
      <c r="B116" s="44">
        <f>IFERROR(__xludf.DUMMYFUNCTION("GOOGLEFINANCE(A116,""price"")"),960.0)</f>
        <v>960</v>
      </c>
      <c r="C116" s="45">
        <f>IFERROR(__xludf.DUMMYFUNCTION("AVERAGE(QUERY(SORT(GOOGLEFINANCE(A116,""price"",TODAY()-150,TODAY()),1,0),""select Col2 limit 50""))"),1022.341)</f>
        <v>1022.341</v>
      </c>
      <c r="D116" s="45">
        <f>IFERROR(__xludf.DUMMYFUNCTION("AVERAGE(QUERY(SORT(GOOGLEFINANCE(A116,""price"",TODAY()-300,TODAY()),1,0),""select Col2 limit 100""))"),1057.3455)</f>
        <v>1057.3455</v>
      </c>
      <c r="E116" s="45">
        <f>IFERROR(__xludf.DUMMYFUNCTION("AVERAGE(QUERY(SORT(GOOGLEFINANCE(A116,""price"",TODAY()-500,TODAY()),1,0),""select Col2 limit 200""))"),1131.7152500000002)</f>
        <v>1131.71525</v>
      </c>
      <c r="F116" s="46" t="str">
        <f t="shared" si="1"/>
        <v>In Bear Run</v>
      </c>
      <c r="G116" s="47">
        <f t="shared" si="2"/>
        <v>-15.1730084</v>
      </c>
      <c r="H116" s="48" t="str">
        <f t="shared" si="3"/>
        <v>Inverted ✗</v>
      </c>
      <c r="I116" s="48">
        <f t="shared" si="4"/>
        <v>0</v>
      </c>
      <c r="J116" s="48">
        <f t="shared" si="5"/>
        <v>0</v>
      </c>
      <c r="K116" s="49" t="str">
        <f>IFERROR(__xludf.DUMMYFUNCTION("IFERROR(IF(A116="""",""ENTER STOCK"",LET(stock,A116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16" s="48">
        <f t="shared" si="6"/>
        <v>0</v>
      </c>
      <c r="M116" s="48">
        <f t="shared" si="7"/>
        <v>1</v>
      </c>
      <c r="N116" s="50">
        <f t="shared" si="8"/>
        <v>1</v>
      </c>
      <c r="O116" s="51" t="s">
        <v>124</v>
      </c>
      <c r="P116" s="46" t="str">
        <f t="shared" si="9"/>
        <v>REVERSE TRADE</v>
      </c>
      <c r="Q116" s="52"/>
      <c r="R116" s="53">
        <f t="shared" si="10"/>
        <v>15</v>
      </c>
      <c r="S116" s="53">
        <f>IFERROR(__xludf.DUMMYFUNCTION("IFERROR(ROUND(GOOGLEFINANCE(A116,""volume"")/GOOGLEFINANCE(A116,""volumeavg""),2),"""")"),1.86)</f>
        <v>1.86</v>
      </c>
      <c r="T116" s="53" t="str">
        <f t="shared" si="11"/>
        <v>HIGH VOL</v>
      </c>
      <c r="U116" s="53">
        <f>IFERROR(__xludf.DUMMYFUNCTION("IFERROR(
  LET(
    sd, GOOGLEFINANCE(A116,""close"",TODAY()-100,TODAY()),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"""")"),0.76)</f>
        <v>0.76</v>
      </c>
      <c r="V116" s="53" t="str">
        <f t="shared" si="12"/>
        <v>SLOW</v>
      </c>
      <c r="W116" s="53">
        <f>IFERROR(__xludf.DUMMYFUNCTION("IFERROR(ROUND((B116/GOOGLEFINANCE(A116,""high52"")-1)*100,1),"""")"),-27.0)</f>
        <v>-27</v>
      </c>
      <c r="X116" s="53">
        <f>IFERROR(__xludf.DUMMYFUNCTION("IFERROR(ROUND((B116-GOOGLEFINANCE(A116,""low52""))/(GOOGLEFINANCE(A116,""high52"")-GOOGLEFINANCE(A116,""low52""))*100,1),"""")"),6.9)</f>
        <v>6.9</v>
      </c>
      <c r="Y116" s="53" t="str">
        <f t="shared" si="13"/>
        <v>MID</v>
      </c>
      <c r="Z116" s="53">
        <f>IFERROR(__xludf.DUMMYFUNCTION("IFERROR(ROUND(((B116 / INDEX(GOOGLEFINANCE(TRIM(A116), ""price"", TODAY()-34, TODAY()), 2, 2)) - (GOOGLEFINANCE(""NIFTY_50"") / INDEX(GOOGLEFINANCE(""NIFTY_50"", ""price"", TODAY()-34, TODAY()), 2, 2))) * 100, 2), ""Check History"")"),0.53)</f>
        <v>0.53</v>
      </c>
      <c r="AA116" s="53" t="str">
        <f t="shared" si="14"/>
        <v>MILD RS</v>
      </c>
      <c r="AB116" s="53">
        <f>IFERROR(__xludf.DUMMYFUNCTION("IFERROR(LET(
  p, QUERY(GOOGLEFINANCE(TRIM(A116),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Loading"")"),35.0)</f>
        <v>35</v>
      </c>
      <c r="AC116" s="53" t="str">
        <f t="shared" si="15"/>
        <v>WEAK MOM</v>
      </c>
      <c r="AD116" s="53" t="str">
        <f>IFERROR(__xludf.DUMMYFUNCTION("IFERROR(IF(GOOGLEFINANCE(A116,""eps"")&gt;0,""EPS+"",""EPS-""),"""")"),"EPS+")</f>
        <v>EPS+</v>
      </c>
      <c r="AE116" s="53">
        <f t="shared" si="16"/>
        <v>5</v>
      </c>
      <c r="AF116" s="53">
        <f>IFERROR(__xludf.DUMMYFUNCTION("IFERROR(N116+IF(S116&gt;=1.2,1,0)+IF(U116&gt;=1,1,0)+IF(Z116&gt;0,1,0)+IF(AND(W116&gt;=-20,W116&lt;=0),1,0)+IF(IFERROR(GOOGLEFINANCE(A116,""eps""),0)&gt;0,1,0),"""")"),4.0)</f>
        <v>4</v>
      </c>
      <c r="AG116" s="53" t="str">
        <f t="shared" si="17"/>
        <v>REVERSE TRADE</v>
      </c>
    </row>
    <row r="117" ht="15.0" customHeight="1">
      <c r="A117" s="43" t="s">
        <v>274</v>
      </c>
      <c r="B117" s="44">
        <f>IFERROR(__xludf.DUMMYFUNCTION("GOOGLEFINANCE(A117,""price"")"),25900.0)</f>
        <v>25900</v>
      </c>
      <c r="C117" s="45">
        <f>IFERROR(__xludf.DUMMYFUNCTION("AVERAGE(QUERY(SORT(GOOGLEFINANCE(A117,""price"",TODAY()-150,TODAY()),1,0),""select Col2 limit 50""))"),26919.6)</f>
        <v>26919.6</v>
      </c>
      <c r="D117" s="45">
        <f>IFERROR(__xludf.DUMMYFUNCTION("AVERAGE(QUERY(SORT(GOOGLEFINANCE(A117,""price"",TODAY()-300,TODAY()),1,0),""select Col2 limit 100""))"),27884.85)</f>
        <v>27884.85</v>
      </c>
      <c r="E117" s="45">
        <f>IFERROR(__xludf.DUMMYFUNCTION("AVERAGE(QUERY(SORT(GOOGLEFINANCE(A117,""price"",TODAY()-500,TODAY()),1,0),""select Col2 limit 200""))"),29941.375)</f>
        <v>29941.375</v>
      </c>
      <c r="F117" s="46" t="str">
        <f t="shared" si="1"/>
        <v>In Bear Run</v>
      </c>
      <c r="G117" s="47">
        <f t="shared" si="2"/>
        <v>-13.49762661</v>
      </c>
      <c r="H117" s="48" t="str">
        <f t="shared" si="3"/>
        <v>Inverted ✗</v>
      </c>
      <c r="I117" s="48">
        <f t="shared" si="4"/>
        <v>0</v>
      </c>
      <c r="J117" s="48">
        <f t="shared" si="5"/>
        <v>0</v>
      </c>
      <c r="K117" s="49" t="str">
        <f>IFERROR(__xludf.DUMMYFUNCTION("IFERROR(IF(A117="""",""ENTER STOCK"",LET(stock,A117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17" s="48">
        <f t="shared" si="6"/>
        <v>0</v>
      </c>
      <c r="M117" s="48">
        <f t="shared" si="7"/>
        <v>1</v>
      </c>
      <c r="N117" s="50">
        <f t="shared" si="8"/>
        <v>1</v>
      </c>
      <c r="O117" s="51" t="s">
        <v>255</v>
      </c>
      <c r="P117" s="46" t="str">
        <f t="shared" si="9"/>
        <v>REVERSE TRADE</v>
      </c>
      <c r="Q117" s="52"/>
      <c r="R117" s="53">
        <f t="shared" si="10"/>
        <v>15</v>
      </c>
      <c r="S117" s="53">
        <f>IFERROR(__xludf.DUMMYFUNCTION("IFERROR(ROUND(GOOGLEFINANCE(A117,""volume"")/GOOGLEFINANCE(A117,""volumeavg""),2),"""")"),2.91)</f>
        <v>2.91</v>
      </c>
      <c r="T117" s="53" t="str">
        <f t="shared" si="11"/>
        <v>HIGH VOL</v>
      </c>
      <c r="U117" s="53">
        <f>IFERROR(__xludf.DUMMYFUNCTION("IFERROR(
  LET(
    sd, GOOGLEFINANCE(A117,""close"",TODAY()-100,TODAY()),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"""")"),0.09)</f>
        <v>0.09</v>
      </c>
      <c r="V117" s="53" t="str">
        <f t="shared" si="12"/>
        <v>SLOW</v>
      </c>
      <c r="W117" s="53">
        <f>IFERROR(__xludf.DUMMYFUNCTION("IFERROR(ROUND((B117/GOOGLEFINANCE(A117,""high52"")-1)*100,1),"""")"),-30.0)</f>
        <v>-30</v>
      </c>
      <c r="X117" s="53">
        <f>IFERROR(__xludf.DUMMYFUNCTION("IFERROR(ROUND((B117-GOOGLEFINANCE(A117,""low52""))/(GOOGLEFINANCE(A117,""high52"")-GOOGLEFINANCE(A117,""low52""))*100,1),"""")"),4.7)</f>
        <v>4.7</v>
      </c>
      <c r="Y117" s="53" t="str">
        <f t="shared" si="13"/>
        <v>MID</v>
      </c>
      <c r="Z117" s="53">
        <f>IFERROR(__xludf.DUMMYFUNCTION("IFERROR(ROUND(((B117 / INDEX(GOOGLEFINANCE(TRIM(A117), ""price"", TODAY()-34, TODAY()), 2, 2)) - (GOOGLEFINANCE(""NIFTY_50"") / INDEX(GOOGLEFINANCE(""NIFTY_50"", ""price"", TODAY()-34, TODAY()), 2, 2))) * 100, 2), ""Check History"")"),10.4)</f>
        <v>10.4</v>
      </c>
      <c r="AA117" s="53" t="str">
        <f t="shared" si="14"/>
        <v>STRONG RS</v>
      </c>
      <c r="AB117" s="53">
        <f>IFERROR(__xludf.DUMMYFUNCTION("IFERROR(LET(
  p, QUERY(GOOGLEFINANCE(TRIM(A117),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Loading"")"),53.8)</f>
        <v>53.8</v>
      </c>
      <c r="AC117" s="53" t="str">
        <f t="shared" si="15"/>
        <v>IDEAL ENTRY</v>
      </c>
      <c r="AD117" s="53" t="str">
        <f>IFERROR(__xludf.DUMMYFUNCTION("IFERROR(IF(GOOGLEFINANCE(A117,""eps"")&gt;0,""EPS+"",""EPS-""),"""")"),"EPS+")</f>
        <v>EPS+</v>
      </c>
      <c r="AE117" s="53">
        <f t="shared" si="16"/>
        <v>5</v>
      </c>
      <c r="AF117" s="53">
        <f>IFERROR(__xludf.DUMMYFUNCTION("IFERROR(N117+IF(S117&gt;=1.2,1,0)+IF(U117&gt;=1,1,0)+IF(Z117&gt;0,1,0)+IF(AND(W117&gt;=-20,W117&lt;=0),1,0)+IF(IFERROR(GOOGLEFINANCE(A117,""eps""),0)&gt;0,1,0),"""")"),4.0)</f>
        <v>4</v>
      </c>
      <c r="AG117" s="53" t="str">
        <f t="shared" si="17"/>
        <v>REVERSE TRADE</v>
      </c>
    </row>
    <row r="118" ht="15.0" customHeight="1">
      <c r="A118" s="43" t="s">
        <v>275</v>
      </c>
      <c r="B118" s="44">
        <f>IFERROR(__xludf.DUMMYFUNCTION("GOOGLEFINANCE(A118,""price"")"),994.9)</f>
        <v>994.9</v>
      </c>
      <c r="C118" s="45">
        <f>IFERROR(__xludf.DUMMYFUNCTION("AVERAGE(QUERY(SORT(GOOGLEFINANCE(A118,""price"",TODAY()-150,TODAY()),1,0),""select Col2 limit 50""))"),1149.174)</f>
        <v>1149.174</v>
      </c>
      <c r="D118" s="45">
        <f>IFERROR(__xludf.DUMMYFUNCTION("AVERAGE(QUERY(SORT(GOOGLEFINANCE(A118,""price"",TODAY()-300,TODAY()),1,0),""select Col2 limit 100""))"),1159.6509999999996)</f>
        <v>1159.651</v>
      </c>
      <c r="E118" s="45">
        <f>IFERROR(__xludf.DUMMYFUNCTION("AVERAGE(QUERY(SORT(GOOGLEFINANCE(A118,""price"",TODAY()-500,TODAY()),1,0),""select Col2 limit 200""))"),1181.9244999999996)</f>
        <v>1181.9245</v>
      </c>
      <c r="F118" s="46" t="str">
        <f t="shared" si="1"/>
        <v>In Bear Run</v>
      </c>
      <c r="G118" s="47">
        <f t="shared" si="2"/>
        <v>-15.82372647</v>
      </c>
      <c r="H118" s="48" t="str">
        <f t="shared" si="3"/>
        <v>Inverted ✗</v>
      </c>
      <c r="I118" s="48">
        <f t="shared" si="4"/>
        <v>0</v>
      </c>
      <c r="J118" s="48">
        <f t="shared" si="5"/>
        <v>0</v>
      </c>
      <c r="K118" s="49" t="str">
        <f>IFERROR(__xludf.DUMMYFUNCTION("IFERROR(IF(A118="""",""ENTER STOCK"",LET(stock,A118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18" s="48">
        <f t="shared" si="6"/>
        <v>0</v>
      </c>
      <c r="M118" s="48">
        <f t="shared" si="7"/>
        <v>1</v>
      </c>
      <c r="N118" s="50">
        <f t="shared" si="8"/>
        <v>1</v>
      </c>
      <c r="O118" s="51" t="s">
        <v>131</v>
      </c>
      <c r="P118" s="46" t="str">
        <f t="shared" si="9"/>
        <v>REVERSE TRADE</v>
      </c>
      <c r="Q118" s="52"/>
      <c r="R118" s="53">
        <f t="shared" si="10"/>
        <v>15</v>
      </c>
      <c r="S118" s="53">
        <f>IFERROR(__xludf.DUMMYFUNCTION("IFERROR(ROUND(GOOGLEFINANCE(A118,""volume"")/GOOGLEFINANCE(A118,""volumeavg""),2),"""")"),1.9)</f>
        <v>1.9</v>
      </c>
      <c r="T118" s="53" t="str">
        <f t="shared" si="11"/>
        <v>HIGH VOL</v>
      </c>
      <c r="U118" s="53">
        <f>IFERROR(__xludf.DUMMYFUNCTION("IFERROR(
  LET(
    sd, GOOGLEFINANCE(A118,""close"",TODAY()-100,TODAY()),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"""")"),0.83)</f>
        <v>0.83</v>
      </c>
      <c r="V118" s="53" t="str">
        <f t="shared" si="12"/>
        <v>SLOW</v>
      </c>
      <c r="W118" s="53">
        <f>IFERROR(__xludf.DUMMYFUNCTION("IFERROR(ROUND((B118/GOOGLEFINANCE(A118,""high52"")-1)*100,1),"""")"),-24.0)</f>
        <v>-24</v>
      </c>
      <c r="X118" s="53">
        <f>IFERROR(__xludf.DUMMYFUNCTION("IFERROR(ROUND((B118-GOOGLEFINANCE(A118,""low52""))/(GOOGLEFINANCE(A118,""high52"")-GOOGLEFINANCE(A118,""low52""))*100,1),"""")"),4.2)</f>
        <v>4.2</v>
      </c>
      <c r="Y118" s="53" t="str">
        <f t="shared" si="13"/>
        <v>MID</v>
      </c>
      <c r="Z118" s="53">
        <f>IFERROR(__xludf.DUMMYFUNCTION("IFERROR(ROUND(((B118 / INDEX(GOOGLEFINANCE(TRIM(A118), ""price"", TODAY()-34, TODAY()), 2, 2)) - (GOOGLEFINANCE(""NIFTY_50"") / INDEX(GOOGLEFINANCE(""NIFTY_50"", ""price"", TODAY()-34, TODAY()), 2, 2))) * 100, 2), ""Check History"")"),-7.25)</f>
        <v>-7.25</v>
      </c>
      <c r="AA118" s="53" t="str">
        <f t="shared" si="14"/>
        <v>WEAK RS</v>
      </c>
      <c r="AB118" s="53">
        <f>IFERROR(__xludf.DUMMYFUNCTION("IFERROR(LET(
  p, QUERY(GOOGLEFINANCE(TRIM(A118),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Loading"")"),44.3)</f>
        <v>44.3</v>
      </c>
      <c r="AC118" s="53" t="str">
        <f t="shared" si="15"/>
        <v>WEAK MOM</v>
      </c>
      <c r="AD118" s="53" t="str">
        <f>IFERROR(__xludf.DUMMYFUNCTION("IFERROR(IF(GOOGLEFINANCE(A118,""eps"")&gt;0,""EPS+"",""EPS-""),"""")"),"EPS+")</f>
        <v>EPS+</v>
      </c>
      <c r="AE118" s="53">
        <f t="shared" si="16"/>
        <v>4</v>
      </c>
      <c r="AF118" s="53">
        <f>IFERROR(__xludf.DUMMYFUNCTION("IFERROR(N118+IF(S118&gt;=1.2,1,0)+IF(U118&gt;=1,1,0)+IF(Z118&gt;0,1,0)+IF(AND(W118&gt;=-20,W118&lt;=0),1,0)+IF(IFERROR(GOOGLEFINANCE(A118,""eps""),0)&gt;0,1,0),"""")"),3.0)</f>
        <v>3</v>
      </c>
      <c r="AG118" s="53" t="str">
        <f t="shared" si="17"/>
        <v>REVERSE TRADE</v>
      </c>
    </row>
    <row r="119" ht="15.0" customHeight="1">
      <c r="A119" s="43" t="s">
        <v>276</v>
      </c>
      <c r="B119" s="44">
        <f>IFERROR(__xludf.DUMMYFUNCTION("GOOGLEFINANCE(A119,""price"")"),1635.0)</f>
        <v>1635</v>
      </c>
      <c r="C119" s="45">
        <f>IFERROR(__xludf.DUMMYFUNCTION("AVERAGE(QUERY(SORT(GOOGLEFINANCE(A119,""price"",TODAY()-150,TODAY()),1,0),""select Col2 limit 50""))"),1920.7100000000005)</f>
        <v>1920.71</v>
      </c>
      <c r="D119" s="45">
        <f>IFERROR(__xludf.DUMMYFUNCTION("AVERAGE(QUERY(SORT(GOOGLEFINANCE(A119,""price"",TODAY()-300,TODAY()),1,0),""select Col2 limit 100""))"),1986.0350000000008)</f>
        <v>1986.035</v>
      </c>
      <c r="E119" s="45">
        <f>IFERROR(__xludf.DUMMYFUNCTION("AVERAGE(QUERY(SORT(GOOGLEFINANCE(A119,""price"",TODAY()-500,TODAY()),1,0),""select Col2 limit 200""))"),2001.6280000000008)</f>
        <v>2001.628</v>
      </c>
      <c r="F119" s="46" t="str">
        <f t="shared" si="1"/>
        <v>In Bear Run</v>
      </c>
      <c r="G119" s="47">
        <f t="shared" si="2"/>
        <v>-18.31649038</v>
      </c>
      <c r="H119" s="48" t="str">
        <f t="shared" si="3"/>
        <v>Inverted ✗</v>
      </c>
      <c r="I119" s="48">
        <f t="shared" si="4"/>
        <v>0</v>
      </c>
      <c r="J119" s="48">
        <f t="shared" si="5"/>
        <v>0</v>
      </c>
      <c r="K119" s="49" t="str">
        <f>IFERROR(__xludf.DUMMYFUNCTION("IFERROR(IF(A119="""",""ENTER STOCK"",LET(stock,A119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19" s="48">
        <f t="shared" si="6"/>
        <v>0</v>
      </c>
      <c r="M119" s="48">
        <f t="shared" si="7"/>
        <v>1</v>
      </c>
      <c r="N119" s="50">
        <f t="shared" si="8"/>
        <v>1</v>
      </c>
      <c r="O119" s="51" t="s">
        <v>173</v>
      </c>
      <c r="P119" s="46" t="str">
        <f t="shared" si="9"/>
        <v>REVERSE TRADE</v>
      </c>
      <c r="Q119" s="52"/>
      <c r="R119" s="53">
        <f t="shared" si="10"/>
        <v>15</v>
      </c>
      <c r="S119" s="53">
        <f>IFERROR(__xludf.DUMMYFUNCTION("IFERROR(ROUND(GOOGLEFINANCE(A119,""volume"")/GOOGLEFINANCE(A119,""volumeavg""),2),"""")"),2.61)</f>
        <v>2.61</v>
      </c>
      <c r="T119" s="53" t="str">
        <f t="shared" si="11"/>
        <v>HIGH VOL</v>
      </c>
      <c r="U119" s="53">
        <f>IFERROR(__xludf.DUMMYFUNCTION("IFERROR(
  LET(
    sd, GOOGLEFINANCE(A119,""close"",TODAY()-100,TODAY()),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"""")"),1.28)</f>
        <v>1.28</v>
      </c>
      <c r="V119" s="53" t="str">
        <f t="shared" si="12"/>
        <v>FAST</v>
      </c>
      <c r="W119" s="53">
        <f>IFERROR(__xludf.DUMMYFUNCTION("IFERROR(ROUND((B119/GOOGLEFINANCE(A119,""high52"")-1)*100,1),"""")"),-25.5)</f>
        <v>-25.5</v>
      </c>
      <c r="X119" s="53">
        <f>IFERROR(__xludf.DUMMYFUNCTION("IFERROR(ROUND((B119-GOOGLEFINANCE(A119,""low52""))/(GOOGLEFINANCE(A119,""high52"")-GOOGLEFINANCE(A119,""low52""))*100,1),"""")"),1.4)</f>
        <v>1.4</v>
      </c>
      <c r="Y119" s="53" t="str">
        <f t="shared" si="13"/>
        <v>MID</v>
      </c>
      <c r="Z119" s="53">
        <f>IFERROR(__xludf.DUMMYFUNCTION("IFERROR(ROUND(((B119 / INDEX(GOOGLEFINANCE(TRIM(A119), ""price"", TODAY()-34, TODAY()), 2, 2)) - (GOOGLEFINANCE(""NIFTY_50"") / INDEX(GOOGLEFINANCE(""NIFTY_50"", ""price"", TODAY()-34, TODAY()), 2, 2))) * 100, 2), ""Check History"")"),-7.82)</f>
        <v>-7.82</v>
      </c>
      <c r="AA119" s="53" t="str">
        <f t="shared" si="14"/>
        <v>WEAK RS</v>
      </c>
      <c r="AB119" s="53">
        <f>IFERROR(__xludf.DUMMYFUNCTION("IFERROR(LET(
  p, QUERY(GOOGLEFINANCE(TRIM(A119),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Loading"")"),35.8)</f>
        <v>35.8</v>
      </c>
      <c r="AC119" s="53" t="str">
        <f t="shared" si="15"/>
        <v>WEAK MOM</v>
      </c>
      <c r="AD119" s="53" t="str">
        <f>IFERROR(__xludf.DUMMYFUNCTION("IFERROR(IF(GOOGLEFINANCE(A119,""eps"")&gt;0,""EPS+"",""EPS-""),"""")"),"EPS+")</f>
        <v>EPS+</v>
      </c>
      <c r="AE119" s="53">
        <f t="shared" si="16"/>
        <v>6</v>
      </c>
      <c r="AF119" s="53">
        <f>IFERROR(__xludf.DUMMYFUNCTION("IFERROR(N119+IF(S119&gt;=1.2,1,0)+IF(U119&gt;=1,1,0)+IF(Z119&gt;0,1,0)+IF(AND(W119&gt;=-20,W119&lt;=0),1,0)+IF(IFERROR(GOOGLEFINANCE(A119,""eps""),0)&gt;0,1,0),"""")"),4.0)</f>
        <v>4</v>
      </c>
      <c r="AG119" s="53" t="str">
        <f t="shared" si="17"/>
        <v>REVERSE TRADE</v>
      </c>
    </row>
    <row r="120" ht="15.0" customHeight="1">
      <c r="A120" s="43" t="s">
        <v>277</v>
      </c>
      <c r="B120" s="44">
        <f>IFERROR(__xludf.DUMMYFUNCTION("GOOGLEFINANCE(A120,""price"")"),2010.0)</f>
        <v>2010</v>
      </c>
      <c r="C120" s="45">
        <f>IFERROR(__xludf.DUMMYFUNCTION("AVERAGE(QUERY(SORT(GOOGLEFINANCE(A120,""price"",TODAY()-150,TODAY()),1,0),""select Col2 limit 50""))"),2109.336)</f>
        <v>2109.336</v>
      </c>
      <c r="D120" s="45">
        <f>IFERROR(__xludf.DUMMYFUNCTION("AVERAGE(QUERY(SORT(GOOGLEFINANCE(A120,""price"",TODAY()-300,TODAY()),1,0),""select Col2 limit 100""))"),2164.0509999999995)</f>
        <v>2164.051</v>
      </c>
      <c r="E120" s="45">
        <f>IFERROR(__xludf.DUMMYFUNCTION("AVERAGE(QUERY(SORT(GOOGLEFINANCE(A120,""price"",TODAY()-500,TODAY()),1,0),""select Col2 limit 200""))"),2328.0924999999997)</f>
        <v>2328.0925</v>
      </c>
      <c r="F120" s="46" t="str">
        <f t="shared" si="1"/>
        <v>In Bear Run</v>
      </c>
      <c r="G120" s="47">
        <f t="shared" si="2"/>
        <v>-13.66322429</v>
      </c>
      <c r="H120" s="48" t="str">
        <f t="shared" si="3"/>
        <v>Inverted ✗</v>
      </c>
      <c r="I120" s="48">
        <f t="shared" si="4"/>
        <v>0</v>
      </c>
      <c r="J120" s="48">
        <f t="shared" si="5"/>
        <v>0</v>
      </c>
      <c r="K120" s="49" t="str">
        <f>IFERROR(__xludf.DUMMYFUNCTION("IFERROR(IF(A120="""",""ENTER STOCK"",LET(stock,A120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20" s="48">
        <f t="shared" si="6"/>
        <v>0</v>
      </c>
      <c r="M120" s="48">
        <f t="shared" si="7"/>
        <v>1</v>
      </c>
      <c r="N120" s="50">
        <f t="shared" si="8"/>
        <v>1</v>
      </c>
      <c r="O120" s="51" t="s">
        <v>255</v>
      </c>
      <c r="P120" s="46" t="str">
        <f t="shared" si="9"/>
        <v>REVERSE TRADE</v>
      </c>
      <c r="Q120" s="52"/>
      <c r="R120" s="53">
        <f t="shared" si="10"/>
        <v>15</v>
      </c>
      <c r="S120" s="53">
        <f>IFERROR(__xludf.DUMMYFUNCTION("IFERROR(ROUND(GOOGLEFINANCE(A120,""volume"")/GOOGLEFINANCE(A120,""volumeavg""),2),"""")"),1.04)</f>
        <v>1.04</v>
      </c>
      <c r="T120" s="53" t="str">
        <f t="shared" si="11"/>
        <v>LOW VOL</v>
      </c>
      <c r="U120" s="53">
        <f>IFERROR(__xludf.DUMMYFUNCTION("IFERROR(
  LET(
    sd, GOOGLEFINANCE(A120,""close"",TODAY()-100,TODAY()),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"""")"),1.13)</f>
        <v>1.13</v>
      </c>
      <c r="V120" s="53" t="str">
        <f t="shared" si="12"/>
        <v>MEDIUM</v>
      </c>
      <c r="W120" s="53">
        <f>IFERROR(__xludf.DUMMYFUNCTION("IFERROR(ROUND((B120/GOOGLEFINANCE(A120,""high52"")-1)*100,1),"""")"),-26.0)</f>
        <v>-26</v>
      </c>
      <c r="X120" s="53">
        <f>IFERROR(__xludf.DUMMYFUNCTION("IFERROR(ROUND((B120-GOOGLEFINANCE(A120,""low52""))/(GOOGLEFINANCE(A120,""high52"")-GOOGLEFINANCE(A120,""low52""))*100,1),"""")"),12.4)</f>
        <v>12.4</v>
      </c>
      <c r="Y120" s="53" t="str">
        <f t="shared" si="13"/>
        <v>MID</v>
      </c>
      <c r="Z120" s="53">
        <f>IFERROR(__xludf.DUMMYFUNCTION("IFERROR(ROUND(((B120 / INDEX(GOOGLEFINANCE(TRIM(A120), ""price"", TODAY()-34, TODAY()), 2, 2)) - (GOOGLEFINANCE(""NIFTY_50"") / INDEX(GOOGLEFINANCE(""NIFTY_50"", ""price"", TODAY()-34, TODAY()), 2, 2))) * 100, 2), ""Check History"")"),9.99)</f>
        <v>9.99</v>
      </c>
      <c r="AA120" s="53" t="str">
        <f t="shared" si="14"/>
        <v>STRONG RS</v>
      </c>
      <c r="AB120" s="53">
        <f>IFERROR(__xludf.DUMMYFUNCTION("IFERROR(LET(
  p, QUERY(GOOGLEFINANCE(TRIM(A120),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Loading"")"),44.0)</f>
        <v>44</v>
      </c>
      <c r="AC120" s="53" t="str">
        <f t="shared" si="15"/>
        <v>WEAK MOM</v>
      </c>
      <c r="AD120" s="53" t="str">
        <f>IFERROR(__xludf.DUMMYFUNCTION("IFERROR(IF(GOOGLEFINANCE(A120,""eps"")&gt;0,""EPS+"",""EPS-""),"""")"),"EPS+")</f>
        <v>EPS+</v>
      </c>
      <c r="AE120" s="53">
        <f t="shared" si="16"/>
        <v>5</v>
      </c>
      <c r="AF120" s="53">
        <f>IFERROR(__xludf.DUMMYFUNCTION("IFERROR(N120+IF(S120&gt;=1.2,1,0)+IF(U120&gt;=1,1,0)+IF(Z120&gt;0,1,0)+IF(AND(W120&gt;=-20,W120&lt;=0),1,0)+IF(IFERROR(GOOGLEFINANCE(A120,""eps""),0)&gt;0,1,0),"""")"),4.0)</f>
        <v>4</v>
      </c>
      <c r="AG120" s="53" t="str">
        <f t="shared" si="17"/>
        <v>REVERSE TRADE</v>
      </c>
    </row>
    <row r="121" ht="15.0" customHeight="1">
      <c r="A121" s="43" t="s">
        <v>278</v>
      </c>
      <c r="B121" s="44">
        <f>IFERROR(__xludf.DUMMYFUNCTION("GOOGLEFINANCE(A121,""price"")"),726.3)</f>
        <v>726.3</v>
      </c>
      <c r="C121" s="45">
        <f>IFERROR(__xludf.DUMMYFUNCTION("AVERAGE(QUERY(SORT(GOOGLEFINANCE(A121,""price"",TODAY()-150,TODAY()),1,0),""select Col2 limit 50""))"),825.8790000000001)</f>
        <v>825.879</v>
      </c>
      <c r="D121" s="45">
        <f>IFERROR(__xludf.DUMMYFUNCTION("AVERAGE(QUERY(SORT(GOOGLEFINANCE(A121,""price"",TODAY()-300,TODAY()),1,0),""select Col2 limit 100""))"),849.85)</f>
        <v>849.85</v>
      </c>
      <c r="E121" s="45">
        <f>IFERROR(__xludf.DUMMYFUNCTION("AVERAGE(QUERY(SORT(GOOGLEFINANCE(A121,""price"",TODAY()-500,TODAY()),1,0),""select Col2 limit 200""))"),878.5300000000002)</f>
        <v>878.53</v>
      </c>
      <c r="F121" s="46" t="str">
        <f t="shared" si="1"/>
        <v>In Bear Run</v>
      </c>
      <c r="G121" s="47">
        <f t="shared" si="2"/>
        <v>-17.32780895</v>
      </c>
      <c r="H121" s="48" t="str">
        <f t="shared" si="3"/>
        <v>Inverted ✗</v>
      </c>
      <c r="I121" s="48">
        <f t="shared" si="4"/>
        <v>0</v>
      </c>
      <c r="J121" s="48">
        <f t="shared" si="5"/>
        <v>0</v>
      </c>
      <c r="K121" s="49" t="str">
        <f>IFERROR(__xludf.DUMMYFUNCTION("IFERROR(IF(A121="""",""ENTER STOCK"",LET(stock,A121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21" s="48">
        <f t="shared" si="6"/>
        <v>0</v>
      </c>
      <c r="M121" s="48">
        <f t="shared" si="7"/>
        <v>1</v>
      </c>
      <c r="N121" s="50">
        <f t="shared" si="8"/>
        <v>1</v>
      </c>
      <c r="O121" s="51" t="s">
        <v>147</v>
      </c>
      <c r="P121" s="46" t="str">
        <f t="shared" si="9"/>
        <v>REVERSE TRADE</v>
      </c>
      <c r="Q121" s="52"/>
      <c r="R121" s="53">
        <f t="shared" si="10"/>
        <v>15</v>
      </c>
      <c r="S121" s="53">
        <f>IFERROR(__xludf.DUMMYFUNCTION("IFERROR(ROUND(GOOGLEFINANCE(A121,""volume"")/GOOGLEFINANCE(A121,""volumeavg""),2),"""")"),2.93)</f>
        <v>2.93</v>
      </c>
      <c r="T121" s="53" t="str">
        <f t="shared" si="11"/>
        <v>HIGH VOL</v>
      </c>
      <c r="U121" s="53">
        <f>IFERROR(__xludf.DUMMYFUNCTION("IFERROR(
  LET(
    sd, GOOGLEFINANCE(A121,""close"",TODAY()-100,TODAY()),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"""")"),1.33)</f>
        <v>1.33</v>
      </c>
      <c r="V121" s="53" t="str">
        <f t="shared" si="12"/>
        <v>FAST</v>
      </c>
      <c r="W121" s="53">
        <f>IFERROR(__xludf.DUMMYFUNCTION("IFERROR(ROUND((B121/GOOGLEFINANCE(A121,""high52"")-1)*100,1),"""")"),-25.9)</f>
        <v>-25.9</v>
      </c>
      <c r="X121" s="53">
        <f>IFERROR(__xludf.DUMMYFUNCTION("IFERROR(ROUND((B121-GOOGLEFINANCE(A121,""low52""))/(GOOGLEFINANCE(A121,""high52"")-GOOGLEFINANCE(A121,""low52""))*100,1),"""")"),1.4)</f>
        <v>1.4</v>
      </c>
      <c r="Y121" s="53" t="str">
        <f t="shared" si="13"/>
        <v>MID</v>
      </c>
      <c r="Z121" s="53">
        <f>IFERROR(__xludf.DUMMYFUNCTION("IFERROR(ROUND(((B121 / INDEX(GOOGLEFINANCE(TRIM(A121), ""price"", TODAY()-34, TODAY()), 2, 2)) - (GOOGLEFINANCE(""NIFTY_50"") / INDEX(GOOGLEFINANCE(""NIFTY_50"", ""price"", TODAY()-34, TODAY()), 2, 2))) * 100, 2), ""Check History"")"),-5.49)</f>
        <v>-5.49</v>
      </c>
      <c r="AA121" s="53" t="str">
        <f t="shared" si="14"/>
        <v>WEAK RS</v>
      </c>
      <c r="AB121" s="53">
        <f>IFERROR(__xludf.DUMMYFUNCTION("IFERROR(LET(
  p, QUERY(GOOGLEFINANCE(TRIM(A121),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Loading"")"),33.5)</f>
        <v>33.5</v>
      </c>
      <c r="AC121" s="53" t="str">
        <f t="shared" si="15"/>
        <v>WEAK MOM</v>
      </c>
      <c r="AD121" s="53" t="str">
        <f>IFERROR(__xludf.DUMMYFUNCTION("IFERROR(IF(GOOGLEFINANCE(A121,""eps"")&gt;0,""EPS+"",""EPS-""),"""")"),"EPS+")</f>
        <v>EPS+</v>
      </c>
      <c r="AE121" s="53">
        <f t="shared" si="16"/>
        <v>6</v>
      </c>
      <c r="AF121" s="53">
        <f>IFERROR(__xludf.DUMMYFUNCTION("IFERROR(N121+IF(S121&gt;=1.2,1,0)+IF(U121&gt;=1,1,0)+IF(Z121&gt;0,1,0)+IF(AND(W121&gt;=-20,W121&lt;=0),1,0)+IF(IFERROR(GOOGLEFINANCE(A121,""eps""),0)&gt;0,1,0),"""")"),4.0)</f>
        <v>4</v>
      </c>
      <c r="AG121" s="53" t="str">
        <f t="shared" si="17"/>
        <v>REVERSE TRADE</v>
      </c>
    </row>
    <row r="122" ht="15.0" customHeight="1">
      <c r="A122" s="43" t="s">
        <v>279</v>
      </c>
      <c r="B122" s="44">
        <f>IFERROR(__xludf.DUMMYFUNCTION("GOOGLEFINANCE(A122,""price"")"),2057.0)</f>
        <v>2057</v>
      </c>
      <c r="C122" s="45">
        <f>IFERROR(__xludf.DUMMYFUNCTION("AVERAGE(QUERY(SORT(GOOGLEFINANCE(A122,""price"",TODAY()-150,TODAY()),1,0),""select Col2 limit 50""))"),2288.136)</f>
        <v>2288.136</v>
      </c>
      <c r="D122" s="45">
        <f>IFERROR(__xludf.DUMMYFUNCTION("AVERAGE(QUERY(SORT(GOOGLEFINANCE(A122,""price"",TODAY()-300,TODAY()),1,0),""select Col2 limit 100""))"),2331.416000000001)</f>
        <v>2331.416</v>
      </c>
      <c r="E122" s="45">
        <f>IFERROR(__xludf.DUMMYFUNCTION("AVERAGE(QUERY(SORT(GOOGLEFINANCE(A122,""price"",TODAY()-500,TODAY()),1,0),""select Col2 limit 200""))"),2414.502000000001)</f>
        <v>2414.502</v>
      </c>
      <c r="F122" s="46" t="str">
        <f t="shared" si="1"/>
        <v>In Bear Run</v>
      </c>
      <c r="G122" s="47">
        <f t="shared" si="2"/>
        <v>-14.8064487</v>
      </c>
      <c r="H122" s="48" t="str">
        <f t="shared" si="3"/>
        <v>Inverted ✗</v>
      </c>
      <c r="I122" s="48">
        <f t="shared" si="4"/>
        <v>0</v>
      </c>
      <c r="J122" s="48">
        <f t="shared" si="5"/>
        <v>0</v>
      </c>
      <c r="K122" s="49" t="str">
        <f>IFERROR(__xludf.DUMMYFUNCTION("IFERROR(IF(A122="""",""ENTER STOCK"",LET(stock,A122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22" s="48">
        <f t="shared" si="6"/>
        <v>0</v>
      </c>
      <c r="M122" s="48">
        <f t="shared" si="7"/>
        <v>1</v>
      </c>
      <c r="N122" s="50">
        <f t="shared" si="8"/>
        <v>1</v>
      </c>
      <c r="O122" s="51" t="s">
        <v>131</v>
      </c>
      <c r="P122" s="46" t="str">
        <f t="shared" si="9"/>
        <v>REVERSE TRADE</v>
      </c>
      <c r="Q122" s="52"/>
      <c r="R122" s="53">
        <f t="shared" si="10"/>
        <v>15</v>
      </c>
      <c r="S122" s="53">
        <f>IFERROR(__xludf.DUMMYFUNCTION("IFERROR(ROUND(GOOGLEFINANCE(A122,""volume"")/GOOGLEFINANCE(A122,""volumeavg""),2),"""")"),1.45)</f>
        <v>1.45</v>
      </c>
      <c r="T122" s="53" t="str">
        <f t="shared" si="11"/>
        <v>OK VOL</v>
      </c>
      <c r="U122" s="53">
        <f>IFERROR(__xludf.DUMMYFUNCTION("IFERROR(
  LET(
    sd, GOOGLEFINANCE(A122,""close"",TODAY()-100,TODAY()),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"""")"),0.72)</f>
        <v>0.72</v>
      </c>
      <c r="V122" s="53" t="str">
        <f t="shared" si="12"/>
        <v>SLOW</v>
      </c>
      <c r="W122" s="53">
        <f>IFERROR(__xludf.DUMMYFUNCTION("IFERROR(ROUND((B122/GOOGLEFINANCE(A122,""high52"")-1)*100,1),"""")"),-24.2)</f>
        <v>-24.2</v>
      </c>
      <c r="X122" s="53">
        <f>IFERROR(__xludf.DUMMYFUNCTION("IFERROR(ROUND((B122-GOOGLEFINANCE(A122,""low52""))/(GOOGLEFINANCE(A122,""high52"")-GOOGLEFINANCE(A122,""low52""))*100,1),"""")"),3.5)</f>
        <v>3.5</v>
      </c>
      <c r="Y122" s="53" t="str">
        <f t="shared" si="13"/>
        <v>MID</v>
      </c>
      <c r="Z122" s="53">
        <f>IFERROR(__xludf.DUMMYFUNCTION("IFERROR(ROUND(((B122 / INDEX(GOOGLEFINANCE(TRIM(A122), ""price"", TODAY()-34, TODAY()), 2, 2)) - (GOOGLEFINANCE(""NIFTY_50"") / INDEX(GOOGLEFINANCE(""NIFTY_50"", ""price"", TODAY()-34, TODAY()), 2, 2))) * 100, 2), ""Check History"")"),-0.62)</f>
        <v>-0.62</v>
      </c>
      <c r="AA122" s="53" t="str">
        <f t="shared" si="14"/>
        <v>WEAK RS</v>
      </c>
      <c r="AB122" s="53">
        <f>IFERROR(__xludf.DUMMYFUNCTION("IFERROR(LET(
  p, QUERY(GOOGLEFINANCE(TRIM(A122),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Loading"")"),46.2)</f>
        <v>46.2</v>
      </c>
      <c r="AC122" s="53" t="str">
        <f t="shared" si="15"/>
        <v>IDEAL ENTRY</v>
      </c>
      <c r="AD122" s="53" t="str">
        <f>IFERROR(__xludf.DUMMYFUNCTION("IFERROR(IF(GOOGLEFINANCE(A122,""eps"")&gt;0,""EPS+"",""EPS-""),"""")"),"EPS+")</f>
        <v>EPS+</v>
      </c>
      <c r="AE122" s="53">
        <f t="shared" si="16"/>
        <v>3</v>
      </c>
      <c r="AF122" s="53">
        <f>IFERROR(__xludf.DUMMYFUNCTION("IFERROR(N122+IF(S122&gt;=1.2,1,0)+IF(U122&gt;=1,1,0)+IF(Z122&gt;0,1,0)+IF(AND(W122&gt;=-20,W122&lt;=0),1,0)+IF(IFERROR(GOOGLEFINANCE(A122,""eps""),0)&gt;0,1,0),"""")"),3.0)</f>
        <v>3</v>
      </c>
      <c r="AG122" s="53" t="str">
        <f t="shared" si="17"/>
        <v>REVERSE TRADE</v>
      </c>
    </row>
    <row r="123" ht="15.0" customHeight="1">
      <c r="A123" s="43" t="s">
        <v>280</v>
      </c>
      <c r="B123" s="44">
        <f>IFERROR(__xludf.DUMMYFUNCTION("GOOGLEFINANCE(A123,""price"")"),21.75)</f>
        <v>21.75</v>
      </c>
      <c r="C123" s="45">
        <f>IFERROR(__xludf.DUMMYFUNCTION("AVERAGE(QUERY(SORT(GOOGLEFINANCE(A123,""price"",TODAY()-150,TODAY()),1,0),""select Col2 limit 50""))"),20.761000000000003)</f>
        <v>20.761</v>
      </c>
      <c r="D123" s="45">
        <f>IFERROR(__xludf.DUMMYFUNCTION("AVERAGE(QUERY(SORT(GOOGLEFINANCE(A123,""price"",TODAY()-300,TODAY()),1,0),""select Col2 limit 100""))"),21.041800000000002)</f>
        <v>21.0418</v>
      </c>
      <c r="E123" s="45">
        <f>IFERROR(__xludf.DUMMYFUNCTION("AVERAGE(QUERY(SORT(GOOGLEFINANCE(A123,""price"",TODAY()-500,TODAY()),1,0),""select Col2 limit 200""))"),21.872800000000005)</f>
        <v>21.8728</v>
      </c>
      <c r="F123" s="46" t="str">
        <f t="shared" si="1"/>
        <v>Unconfirmed</v>
      </c>
      <c r="G123" s="47">
        <f t="shared" si="2"/>
        <v>-0.5614278922</v>
      </c>
      <c r="H123" s="48" t="str">
        <f t="shared" si="3"/>
        <v>Inverted ✗</v>
      </c>
      <c r="I123" s="48">
        <f t="shared" si="4"/>
        <v>0</v>
      </c>
      <c r="J123" s="48">
        <f t="shared" si="5"/>
        <v>0</v>
      </c>
      <c r="K123" s="49" t="str">
        <f>IFERROR(__xludf.DUMMYFUNCTION("IFERROR(IF(A123="""",""ENTER STOCK"",LET(stock,A123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23" s="48">
        <f t="shared" si="6"/>
        <v>0</v>
      </c>
      <c r="M123" s="48">
        <f t="shared" si="7"/>
        <v>1</v>
      </c>
      <c r="N123" s="50">
        <f t="shared" si="8"/>
        <v>1</v>
      </c>
      <c r="O123" s="51" t="s">
        <v>262</v>
      </c>
      <c r="P123" s="46" t="str">
        <f t="shared" si="9"/>
        <v>WAIT</v>
      </c>
      <c r="Q123" s="52"/>
      <c r="R123" s="53">
        <f t="shared" si="10"/>
        <v>15</v>
      </c>
      <c r="S123" s="53">
        <f>IFERROR(__xludf.DUMMYFUNCTION("IFERROR(ROUND(GOOGLEFINANCE(A123,""volume"")/GOOGLEFINANCE(A123,""volumeavg""),2),"""")"),13.94)</f>
        <v>13.94</v>
      </c>
      <c r="T123" s="53" t="str">
        <f t="shared" si="11"/>
        <v>HIGH VOL</v>
      </c>
      <c r="U123" s="53">
        <f>IFERROR(__xludf.DUMMYFUNCTION("IFERROR(
  LET(
    sd, GOOGLEFINANCE(A123,""close"",TODAY()-100,TODAY()),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"""")"),0.42)</f>
        <v>0.42</v>
      </c>
      <c r="V123" s="53" t="str">
        <f t="shared" si="12"/>
        <v>SLOW</v>
      </c>
      <c r="W123" s="53">
        <f>IFERROR(__xludf.DUMMYFUNCTION("IFERROR(ROUND((B123/GOOGLEFINANCE(A123,""high52"")-1)*100,1),"""")"),-19.9)</f>
        <v>-19.9</v>
      </c>
      <c r="X123" s="53">
        <f>IFERROR(__xludf.DUMMYFUNCTION("IFERROR(ROUND((B123-GOOGLEFINANCE(A123,""low52""))/(GOOGLEFINANCE(A123,""high52"")-GOOGLEFINANCE(A123,""low52""))*100,1),"""")"),32.5)</f>
        <v>32.5</v>
      </c>
      <c r="Y123" s="53" t="str">
        <f t="shared" si="13"/>
        <v>UPPER</v>
      </c>
      <c r="Z123" s="53">
        <f>IFERROR(__xludf.DUMMYFUNCTION("IFERROR(ROUND(((B123 / INDEX(GOOGLEFINANCE(TRIM(A123), ""price"", TODAY()-34, TODAY()), 2, 2)) - (GOOGLEFINANCE(""NIFTY_50"") / INDEX(GOOGLEFINANCE(""NIFTY_50"", ""price"", TODAY()-34, TODAY()), 2, 2))) * 100, 2), ""Check History"")"),20.48)</f>
        <v>20.48</v>
      </c>
      <c r="AA123" s="53" t="str">
        <f t="shared" si="14"/>
        <v>STRONG RS</v>
      </c>
      <c r="AB123" s="53">
        <f>IFERROR(__xludf.DUMMYFUNCTION("IFERROR(LET(
  p, QUERY(GOOGLEFINANCE(TRIM(A123),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Loading"")"),63.2)</f>
        <v>63.2</v>
      </c>
      <c r="AC123" s="53" t="str">
        <f t="shared" si="15"/>
        <v>IDEAL ENTRY</v>
      </c>
      <c r="AD123" s="53" t="str">
        <f>IFERROR(__xludf.DUMMYFUNCTION("IFERROR(IF(GOOGLEFINANCE(A123,""eps"")&gt;0,""EPS+"",""EPS-""),"""")"),"EPS+")</f>
        <v>EPS+</v>
      </c>
      <c r="AE123" s="53">
        <f t="shared" si="16"/>
        <v>5</v>
      </c>
      <c r="AF123" s="53">
        <f>IFERROR(__xludf.DUMMYFUNCTION("IFERROR(N123+IF(S123&gt;=1.2,1,0)+IF(U123&gt;=1,1,0)+IF(Z123&gt;0,1,0)+IF(AND(W123&gt;=-20,W123&lt;=0),1,0)+IF(IFERROR(GOOGLEFINANCE(A123,""eps""),0)&gt;0,1,0),"""")"),5.0)</f>
        <v>5</v>
      </c>
      <c r="AG123" s="53" t="str">
        <f t="shared" si="17"/>
        <v>WAIT</v>
      </c>
    </row>
    <row r="124" ht="15.0" customHeight="1">
      <c r="A124" s="43" t="s">
        <v>281</v>
      </c>
      <c r="B124" s="44">
        <f>IFERROR(__xludf.DUMMYFUNCTION("GOOGLEFINANCE(A124,""price"")"),1211.8)</f>
        <v>1211.8</v>
      </c>
      <c r="C124" s="45">
        <f>IFERROR(__xludf.DUMMYFUNCTION("AVERAGE(QUERY(SORT(GOOGLEFINANCE(A124,""price"",TODAY()-150,TODAY()),1,0),""select Col2 limit 50""))"),1348.3)</f>
        <v>1348.3</v>
      </c>
      <c r="D124" s="45">
        <f>IFERROR(__xludf.DUMMYFUNCTION("AVERAGE(QUERY(SORT(GOOGLEFINANCE(A124,""price"",TODAY()-300,TODAY()),1,0),""select Col2 limit 100""))"),1360.0229999999997)</f>
        <v>1360.023</v>
      </c>
      <c r="E124" s="45">
        <f>IFERROR(__xludf.DUMMYFUNCTION("AVERAGE(QUERY(SORT(GOOGLEFINANCE(A124,""price"",TODAY()-500,TODAY()),1,0),""select Col2 limit 200""))"),1388.3674999999994)</f>
        <v>1388.3675</v>
      </c>
      <c r="F124" s="46" t="str">
        <f t="shared" si="1"/>
        <v>In Bear Run</v>
      </c>
      <c r="G124" s="47">
        <f t="shared" si="2"/>
        <v>-12.7176342</v>
      </c>
      <c r="H124" s="48" t="str">
        <f t="shared" si="3"/>
        <v>Inverted ✗</v>
      </c>
      <c r="I124" s="48">
        <f t="shared" si="4"/>
        <v>0</v>
      </c>
      <c r="J124" s="48">
        <f t="shared" si="5"/>
        <v>0</v>
      </c>
      <c r="K124" s="49" t="str">
        <f>IFERROR(__xludf.DUMMYFUNCTION("IFERROR(IF(A124="""",""ENTER STOCK"",LET(stock,A124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24" s="48">
        <f t="shared" si="6"/>
        <v>0</v>
      </c>
      <c r="M124" s="48">
        <f t="shared" si="7"/>
        <v>1</v>
      </c>
      <c r="N124" s="50">
        <f t="shared" si="8"/>
        <v>1</v>
      </c>
      <c r="O124" s="51" t="s">
        <v>236</v>
      </c>
      <c r="P124" s="46" t="str">
        <f t="shared" si="9"/>
        <v>REVERSE TRADE</v>
      </c>
      <c r="Q124" s="52"/>
      <c r="R124" s="53">
        <f t="shared" si="10"/>
        <v>15</v>
      </c>
      <c r="S124" s="53">
        <f>IFERROR(__xludf.DUMMYFUNCTION("IFERROR(ROUND(GOOGLEFINANCE(A124,""volume"")/GOOGLEFINANCE(A124,""volumeavg""),2),"""")"),1.55)</f>
        <v>1.55</v>
      </c>
      <c r="T124" s="53" t="str">
        <f t="shared" si="11"/>
        <v>HIGH VOL</v>
      </c>
      <c r="U124" s="53">
        <f>IFERROR(__xludf.DUMMYFUNCTION("IFERROR(
  LET(
    sd, GOOGLEFINANCE(A124,""close"",TODAY()-100,TODAY()),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"""")"),0.88)</f>
        <v>0.88</v>
      </c>
      <c r="V124" s="53" t="str">
        <f t="shared" si="12"/>
        <v>SLOW</v>
      </c>
      <c r="W124" s="53">
        <f>IFERROR(__xludf.DUMMYFUNCTION("IFERROR(ROUND((B124/GOOGLEFINANCE(A124,""high52"")-1)*100,1),"""")"),-19.2)</f>
        <v>-19.2</v>
      </c>
      <c r="X124" s="53">
        <f>IFERROR(__xludf.DUMMYFUNCTION("IFERROR(ROUND((B124-GOOGLEFINANCE(A124,""low52""))/(GOOGLEFINANCE(A124,""high52"")-GOOGLEFINANCE(A124,""low52""))*100,1),"""")"),3.8)</f>
        <v>3.8</v>
      </c>
      <c r="Y124" s="53" t="str">
        <f t="shared" si="13"/>
        <v>UPPER</v>
      </c>
      <c r="Z124" s="53">
        <f>IFERROR(__xludf.DUMMYFUNCTION("IFERROR(ROUND(((B124 / INDEX(GOOGLEFINANCE(TRIM(A124), ""price"", TODAY()-34, TODAY()), 2, 2)) - (GOOGLEFINANCE(""NIFTY_50"") / INDEX(GOOGLEFINANCE(""NIFTY_50"", ""price"", TODAY()-34, TODAY()), 2, 2))) * 100, 2), ""Check History"")"),-0.33)</f>
        <v>-0.33</v>
      </c>
      <c r="AA124" s="53" t="str">
        <f t="shared" si="14"/>
        <v>WEAK RS</v>
      </c>
      <c r="AB124" s="53">
        <f>IFERROR(__xludf.DUMMYFUNCTION("IFERROR(LET(
  p, QUERY(GOOGLEFINANCE(TRIM(A124),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Loading"")"),44.1)</f>
        <v>44.1</v>
      </c>
      <c r="AC124" s="53" t="str">
        <f t="shared" si="15"/>
        <v>WEAK MOM</v>
      </c>
      <c r="AD124" s="53" t="str">
        <f>IFERROR(__xludf.DUMMYFUNCTION("IFERROR(IF(GOOGLEFINANCE(A124,""eps"")&gt;0,""EPS+"",""EPS-""),"""")"),"EPS+")</f>
        <v>EPS+</v>
      </c>
      <c r="AE124" s="53">
        <f t="shared" si="16"/>
        <v>4</v>
      </c>
      <c r="AF124" s="53">
        <f>IFERROR(__xludf.DUMMYFUNCTION("IFERROR(N124+IF(S124&gt;=1.2,1,0)+IF(U124&gt;=1,1,0)+IF(Z124&gt;0,1,0)+IF(AND(W124&gt;=-20,W124&lt;=0),1,0)+IF(IFERROR(GOOGLEFINANCE(A124,""eps""),0)&gt;0,1,0),"""")"),4.0)</f>
        <v>4</v>
      </c>
      <c r="AG124" s="53" t="str">
        <f t="shared" si="17"/>
        <v>REVERSE TRADE</v>
      </c>
    </row>
    <row r="125" ht="15.0" customHeight="1">
      <c r="A125" s="43" t="s">
        <v>282</v>
      </c>
      <c r="B125" s="44">
        <f>IFERROR(__xludf.DUMMYFUNCTION("GOOGLEFINANCE(A125,""price"")"),2213.6)</f>
        <v>2213.6</v>
      </c>
      <c r="C125" s="45">
        <f>IFERROR(__xludf.DUMMYFUNCTION("AVERAGE(QUERY(SORT(GOOGLEFINANCE(A125,""price"",TODAY()-150,TODAY()),1,0),""select Col2 limit 50""))"),2454.1380000000004)</f>
        <v>2454.138</v>
      </c>
      <c r="D125" s="45">
        <f>IFERROR(__xludf.DUMMYFUNCTION("AVERAGE(QUERY(SORT(GOOGLEFINANCE(A125,""price"",TODAY()-300,TODAY()),1,0),""select Col2 limit 100""))"),2560.7440000000015)</f>
        <v>2560.744</v>
      </c>
      <c r="E125" s="45">
        <f>IFERROR(__xludf.DUMMYFUNCTION("AVERAGE(QUERY(SORT(GOOGLEFINANCE(A125,""price"",TODAY()-500,TODAY()),1,0),""select Col2 limit 200""))"),2651.279500000002)</f>
        <v>2651.2795</v>
      </c>
      <c r="F125" s="46" t="str">
        <f t="shared" si="1"/>
        <v>In Bear Run</v>
      </c>
      <c r="G125" s="47">
        <f t="shared" si="2"/>
        <v>-16.50823687</v>
      </c>
      <c r="H125" s="48" t="str">
        <f t="shared" si="3"/>
        <v>Inverted ✗</v>
      </c>
      <c r="I125" s="48">
        <f t="shared" si="4"/>
        <v>0</v>
      </c>
      <c r="J125" s="48">
        <f t="shared" si="5"/>
        <v>0</v>
      </c>
      <c r="K125" s="49" t="str">
        <f>IFERROR(__xludf.DUMMYFUNCTION("IFERROR(IF(A125="""",""ENTER STOCK"",LET(stock,A125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25" s="48">
        <f t="shared" si="6"/>
        <v>0</v>
      </c>
      <c r="M125" s="48">
        <f t="shared" si="7"/>
        <v>1</v>
      </c>
      <c r="N125" s="50">
        <f t="shared" si="8"/>
        <v>1</v>
      </c>
      <c r="O125" s="51" t="s">
        <v>198</v>
      </c>
      <c r="P125" s="46" t="str">
        <f t="shared" si="9"/>
        <v>REVERSE TRADE</v>
      </c>
      <c r="Q125" s="52"/>
      <c r="R125" s="53">
        <f t="shared" si="10"/>
        <v>15</v>
      </c>
      <c r="S125" s="53">
        <f>IFERROR(__xludf.DUMMYFUNCTION("IFERROR(ROUND(GOOGLEFINANCE(A125,""volume"")/GOOGLEFINANCE(A125,""volumeavg""),2),"""")"),0.76)</f>
        <v>0.76</v>
      </c>
      <c r="T125" s="53" t="str">
        <f t="shared" si="11"/>
        <v>LOW VOL</v>
      </c>
      <c r="U125" s="53">
        <f>IFERROR(__xludf.DUMMYFUNCTION("IFERROR(
  LET(
    sd, GOOGLEFINANCE(A125,""close"",TODAY()-100,TODAY()),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"""")"),0.29)</f>
        <v>0.29</v>
      </c>
      <c r="V125" s="53" t="str">
        <f t="shared" si="12"/>
        <v>SLOW</v>
      </c>
      <c r="W125" s="53">
        <f>IFERROR(__xludf.DUMMYFUNCTION("IFERROR(ROUND((B125/GOOGLEFINANCE(A125,""high52"")-1)*100,1),"""")"),-28.1)</f>
        <v>-28.1</v>
      </c>
      <c r="X125" s="53">
        <f>IFERROR(__xludf.DUMMYFUNCTION("IFERROR(ROUND((B125-GOOGLEFINANCE(A125,""low52""))/(GOOGLEFINANCE(A125,""high52"")-GOOGLEFINANCE(A125,""low52""))*100,1),"""")"),37.2)</f>
        <v>37.2</v>
      </c>
      <c r="Y125" s="53" t="str">
        <f t="shared" si="13"/>
        <v>MID</v>
      </c>
      <c r="Z125" s="53">
        <f>IFERROR(__xludf.DUMMYFUNCTION("IFERROR(ROUND(((B125 / INDEX(GOOGLEFINANCE(TRIM(A125), ""price"", TODAY()-34, TODAY()), 2, 2)) - (GOOGLEFINANCE(""NIFTY_50"") / INDEX(GOOGLEFINANCE(""NIFTY_50"", ""price"", TODAY()-34, TODAY()), 2, 2))) * 100, 2), ""Check History"")"),-5.39)</f>
        <v>-5.39</v>
      </c>
      <c r="AA125" s="53" t="str">
        <f t="shared" si="14"/>
        <v>WEAK RS</v>
      </c>
      <c r="AB125" s="53">
        <f>IFERROR(__xludf.DUMMYFUNCTION("IFERROR(LET(
  p, QUERY(GOOGLEFINANCE(TRIM(A125),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Loading"")"),40.7)</f>
        <v>40.7</v>
      </c>
      <c r="AC125" s="53" t="str">
        <f t="shared" si="15"/>
        <v>WEAK MOM</v>
      </c>
      <c r="AD125" s="53" t="str">
        <f>IFERROR(__xludf.DUMMYFUNCTION("IFERROR(IF(GOOGLEFINANCE(A125,""eps"")&gt;0,""EPS+"",""EPS-""),"""")"),"EPS+")</f>
        <v>EPS+</v>
      </c>
      <c r="AE125" s="53">
        <f t="shared" si="16"/>
        <v>0</v>
      </c>
      <c r="AF125" s="53">
        <f>IFERROR(__xludf.DUMMYFUNCTION("IFERROR(N125+IF(S125&gt;=1.2,1,0)+IF(U125&gt;=1,1,0)+IF(Z125&gt;0,1,0)+IF(AND(W125&gt;=-20,W125&lt;=0),1,0)+IF(IFERROR(GOOGLEFINANCE(A125,""eps""),0)&gt;0,1,0),"""")"),2.0)</f>
        <v>2</v>
      </c>
      <c r="AG125" s="53" t="str">
        <f t="shared" si="17"/>
        <v>REVERSE TRADE</v>
      </c>
    </row>
    <row r="126" ht="15.0" customHeight="1">
      <c r="A126" s="43" t="s">
        <v>283</v>
      </c>
      <c r="B126" s="44">
        <f>IFERROR(__xludf.DUMMYFUNCTION("GOOGLEFINANCE(A126,""price"")"),128800.0)</f>
        <v>128800</v>
      </c>
      <c r="C126" s="45">
        <f>IFERROR(__xludf.DUMMYFUNCTION("AVERAGE(QUERY(SORT(GOOGLEFINANCE(A126,""price"",TODAY()-150,TODAY()),1,0),""select Col2 limit 50""))"),139044.1)</f>
        <v>139044.1</v>
      </c>
      <c r="D126" s="45">
        <f>IFERROR(__xludf.DUMMYFUNCTION("AVERAGE(QUERY(SORT(GOOGLEFINANCE(A126,""price"",TODAY()-300,TODAY()),1,0),""select Col2 limit 100""))"),146146.15)</f>
        <v>146146.15</v>
      </c>
      <c r="E126" s="45">
        <f>IFERROR(__xludf.DUMMYFUNCTION("AVERAGE(QUERY(SORT(GOOGLEFINANCE(A126,""price"",TODAY()-500,TODAY()),1,0),""select Col2 limit 200""))"),147022.875)</f>
        <v>147022.875</v>
      </c>
      <c r="F126" s="46" t="str">
        <f t="shared" si="1"/>
        <v>In Bear Run</v>
      </c>
      <c r="G126" s="47">
        <f t="shared" si="2"/>
        <v>-12.39458486</v>
      </c>
      <c r="H126" s="48" t="str">
        <f t="shared" si="3"/>
        <v>Inverted ✗</v>
      </c>
      <c r="I126" s="48">
        <f t="shared" si="4"/>
        <v>0</v>
      </c>
      <c r="J126" s="48">
        <f t="shared" si="5"/>
        <v>0</v>
      </c>
      <c r="K126" s="49" t="str">
        <f>IFERROR(__xludf.DUMMYFUNCTION("IFERROR(IF(A126="""",""ENTER STOCK"",LET(stock,A126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26" s="48">
        <f t="shared" si="6"/>
        <v>0</v>
      </c>
      <c r="M126" s="48">
        <f t="shared" si="7"/>
        <v>1</v>
      </c>
      <c r="N126" s="50">
        <f t="shared" si="8"/>
        <v>1</v>
      </c>
      <c r="O126" s="51" t="s">
        <v>198</v>
      </c>
      <c r="P126" s="46" t="str">
        <f t="shared" si="9"/>
        <v>REVERSE TRADE</v>
      </c>
      <c r="Q126" s="52"/>
      <c r="R126" s="53">
        <f t="shared" si="10"/>
        <v>15</v>
      </c>
      <c r="S126" s="53">
        <f>IFERROR(__xludf.DUMMYFUNCTION("IFERROR(ROUND(GOOGLEFINANCE(A126,""volume"")/GOOGLEFINANCE(A126,""volumeavg""),2),"""")"),2.71)</f>
        <v>2.71</v>
      </c>
      <c r="T126" s="53" t="str">
        <f t="shared" si="11"/>
        <v>HIGH VOL</v>
      </c>
      <c r="U126" s="53">
        <f>IFERROR(__xludf.DUMMYFUNCTION("IFERROR(
  LET(
    sd, GOOGLEFINANCE(A126,""close"",TODAY()-100,TODAY()),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"""")"),0.76)</f>
        <v>0.76</v>
      </c>
      <c r="V126" s="53" t="str">
        <f t="shared" si="12"/>
        <v>SLOW</v>
      </c>
      <c r="W126" s="53">
        <f>IFERROR(__xludf.DUMMYFUNCTION("IFERROR(ROUND((B126/GOOGLEFINANCE(A126,""high52"")-1)*100,1),"""")"),-21.3)</f>
        <v>-21.3</v>
      </c>
      <c r="X126" s="53">
        <f>IFERROR(__xludf.DUMMYFUNCTION("IFERROR(ROUND((B126-GOOGLEFINANCE(A126,""low52""))/(GOOGLEFINANCE(A126,""high52"")-GOOGLEFINANCE(A126,""low52""))*100,1),"""")"),37.4)</f>
        <v>37.4</v>
      </c>
      <c r="Y126" s="53" t="str">
        <f t="shared" si="13"/>
        <v>MID</v>
      </c>
      <c r="Z126" s="53">
        <f>IFERROR(__xludf.DUMMYFUNCTION("IFERROR(ROUND(((B126 / INDEX(GOOGLEFINANCE(TRIM(A126), ""price"", TODAY()-34, TODAY()), 2, 2)) - (GOOGLEFINANCE(""NIFTY_50"") / INDEX(GOOGLEFINANCE(""NIFTY_50"", ""price"", TODAY()-34, TODAY()), 2, 2))) * 100, 2), ""Check History"")"),1.64)</f>
        <v>1.64</v>
      </c>
      <c r="AA126" s="53" t="str">
        <f t="shared" si="14"/>
        <v>MILD RS</v>
      </c>
      <c r="AB126" s="53">
        <f>IFERROR(__xludf.DUMMYFUNCTION("IFERROR(LET(
  p, QUERY(GOOGLEFINANCE(TRIM(A126),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Loading"")"),45.4)</f>
        <v>45.4</v>
      </c>
      <c r="AC126" s="53" t="str">
        <f t="shared" si="15"/>
        <v>IDEAL ENTRY</v>
      </c>
      <c r="AD126" s="53" t="str">
        <f>IFERROR(__xludf.DUMMYFUNCTION("IFERROR(IF(GOOGLEFINANCE(A126,""eps"")&gt;0,""EPS+"",""EPS-""),"""")"),"EPS+")</f>
        <v>EPS+</v>
      </c>
      <c r="AE126" s="53">
        <f t="shared" si="16"/>
        <v>5</v>
      </c>
      <c r="AF126" s="53">
        <f>IFERROR(__xludf.DUMMYFUNCTION("IFERROR(N126+IF(S126&gt;=1.2,1,0)+IF(U126&gt;=1,1,0)+IF(Z126&gt;0,1,0)+IF(AND(W126&gt;=-20,W126&lt;=0),1,0)+IF(IFERROR(GOOGLEFINANCE(A126,""eps""),0)&gt;0,1,0),"""")"),4.0)</f>
        <v>4</v>
      </c>
      <c r="AG126" s="53" t="str">
        <f t="shared" si="17"/>
        <v>REVERSE TRADE</v>
      </c>
    </row>
    <row r="127" ht="15.0" customHeight="1">
      <c r="A127" s="43" t="s">
        <v>284</v>
      </c>
      <c r="B127" s="44">
        <f>IFERROR(__xludf.DUMMYFUNCTION("GOOGLEFINANCE(A127,""price"")"),2211.2)</f>
        <v>2211.2</v>
      </c>
      <c r="C127" s="45">
        <f>IFERROR(__xludf.DUMMYFUNCTION("AVERAGE(QUERY(SORT(GOOGLEFINANCE(A127,""price"",TODAY()-150,TODAY()),1,0),""select Col2 limit 50""))"),2574.824)</f>
        <v>2574.824</v>
      </c>
      <c r="D127" s="45">
        <f>IFERROR(__xludf.DUMMYFUNCTION("AVERAGE(QUERY(SORT(GOOGLEFINANCE(A127,""price"",TODAY()-300,TODAY()),1,0),""select Col2 limit 100""))"),2612.4780000000014)</f>
        <v>2612.478</v>
      </c>
      <c r="E127" s="45">
        <f>IFERROR(__xludf.DUMMYFUNCTION("AVERAGE(QUERY(SORT(GOOGLEFINANCE(A127,""price"",TODAY()-500,TODAY()),1,0),""select Col2 limit 200""))"),2678.4977500000005)</f>
        <v>2678.49775</v>
      </c>
      <c r="F127" s="46" t="str">
        <f t="shared" si="1"/>
        <v>In Bear Run</v>
      </c>
      <c r="G127" s="47">
        <f t="shared" si="2"/>
        <v>-17.44626256</v>
      </c>
      <c r="H127" s="48" t="str">
        <f t="shared" si="3"/>
        <v>Inverted ✗</v>
      </c>
      <c r="I127" s="48">
        <f t="shared" si="4"/>
        <v>0</v>
      </c>
      <c r="J127" s="48">
        <f t="shared" si="5"/>
        <v>0</v>
      </c>
      <c r="K127" s="49" t="str">
        <f>IFERROR(__xludf.DUMMYFUNCTION("IFERROR(IF(A127="""",""ENTER STOCK"",LET(stock,A127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27" s="48">
        <f t="shared" si="6"/>
        <v>0</v>
      </c>
      <c r="M127" s="48">
        <f t="shared" si="7"/>
        <v>1</v>
      </c>
      <c r="N127" s="50">
        <f t="shared" si="8"/>
        <v>1</v>
      </c>
      <c r="O127" s="51" t="s">
        <v>173</v>
      </c>
      <c r="P127" s="46" t="str">
        <f t="shared" si="9"/>
        <v>REVERSE TRADE</v>
      </c>
      <c r="Q127" s="52"/>
      <c r="R127" s="53">
        <f t="shared" si="10"/>
        <v>15</v>
      </c>
      <c r="S127" s="53">
        <f>IFERROR(__xludf.DUMMYFUNCTION("IFERROR(ROUND(GOOGLEFINANCE(A127,""volume"")/GOOGLEFINANCE(A127,""volumeavg""),2),"""")"),2.1)</f>
        <v>2.1</v>
      </c>
      <c r="T127" s="53" t="str">
        <f t="shared" si="11"/>
        <v>HIGH VOL</v>
      </c>
      <c r="U127" s="53">
        <f>IFERROR(__xludf.DUMMYFUNCTION("IFERROR(
  LET(
    sd, GOOGLEFINANCE(A127,""close"",TODAY()-100,TODAY()),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"""")"),1.44)</f>
        <v>1.44</v>
      </c>
      <c r="V127" s="53" t="str">
        <f t="shared" si="12"/>
        <v>FAST</v>
      </c>
      <c r="W127" s="53">
        <f>IFERROR(__xludf.DUMMYFUNCTION("IFERROR(ROUND((B127/GOOGLEFINANCE(A127,""high52"")-1)*100,1),"""")"),-25.5)</f>
        <v>-25.5</v>
      </c>
      <c r="X127" s="53">
        <f>IFERROR(__xludf.DUMMYFUNCTION("IFERROR(ROUND((B127-GOOGLEFINANCE(A127,""low52""))/(GOOGLEFINANCE(A127,""high52"")-GOOGLEFINANCE(A127,""low52""))*100,1),"""")"),36.1)</f>
        <v>36.1</v>
      </c>
      <c r="Y127" s="53" t="str">
        <f t="shared" si="13"/>
        <v>MID</v>
      </c>
      <c r="Z127" s="53">
        <f>IFERROR(__xludf.DUMMYFUNCTION("IFERROR(ROUND(((B127 / INDEX(GOOGLEFINANCE(TRIM(A127), ""price"", TODAY()-34, TODAY()), 2, 2)) - (GOOGLEFINANCE(""NIFTY_50"") / INDEX(GOOGLEFINANCE(""NIFTY_50"", ""price"", TODAY()-34, TODAY()), 2, 2))) * 100, 2), ""Check History"")"),-5.37)</f>
        <v>-5.37</v>
      </c>
      <c r="AA127" s="53" t="str">
        <f t="shared" si="14"/>
        <v>WEAK RS</v>
      </c>
      <c r="AB127" s="53">
        <f>IFERROR(__xludf.DUMMYFUNCTION("IFERROR(LET(
  p, QUERY(GOOGLEFINANCE(TRIM(A127),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Loading"")"),50.0)</f>
        <v>50</v>
      </c>
      <c r="AC127" s="53" t="str">
        <f t="shared" si="15"/>
        <v>IDEAL ENTRY</v>
      </c>
      <c r="AD127" s="53" t="str">
        <f>IFERROR(__xludf.DUMMYFUNCTION("IFERROR(IF(GOOGLEFINANCE(A127,""eps"")&gt;0,""EPS+"",""EPS-""),"""")"),"EPS+")</f>
        <v>EPS+</v>
      </c>
      <c r="AE127" s="53">
        <f t="shared" si="16"/>
        <v>6</v>
      </c>
      <c r="AF127" s="53">
        <f>IFERROR(__xludf.DUMMYFUNCTION("IFERROR(N127+IF(S127&gt;=1.2,1,0)+IF(U127&gt;=1,1,0)+IF(Z127&gt;0,1,0)+IF(AND(W127&gt;=-20,W127&lt;=0),1,0)+IF(IFERROR(GOOGLEFINANCE(A127,""eps""),0)&gt;0,1,0),"""")"),4.0)</f>
        <v>4</v>
      </c>
      <c r="AG127" s="53" t="str">
        <f t="shared" si="17"/>
        <v>REVERSE TRADE</v>
      </c>
    </row>
    <row r="128" ht="15.0" customHeight="1">
      <c r="A128" s="43" t="s">
        <v>285</v>
      </c>
      <c r="B128" s="44">
        <f>IFERROR(__xludf.DUMMYFUNCTION("GOOGLEFINANCE(A128,""price"")"),2510.0)</f>
        <v>2510</v>
      </c>
      <c r="C128" s="45">
        <f>IFERROR(__xludf.DUMMYFUNCTION("AVERAGE(QUERY(SORT(GOOGLEFINANCE(A128,""price"",TODAY()-150,TODAY()),1,0),""select Col2 limit 50""))"),2494.32)</f>
        <v>2494.32</v>
      </c>
      <c r="D128" s="45">
        <f>IFERROR(__xludf.DUMMYFUNCTION("AVERAGE(QUERY(SORT(GOOGLEFINANCE(A128,""price"",TODAY()-300,TODAY()),1,0),""select Col2 limit 100""))"),2618.897)</f>
        <v>2618.897</v>
      </c>
      <c r="E128" s="45">
        <f>IFERROR(__xludf.DUMMYFUNCTION("AVERAGE(QUERY(SORT(GOOGLEFINANCE(A128,""price"",TODAY()-500,TODAY()),1,0),""select Col2 limit 200""))"),2834.4190000000003)</f>
        <v>2834.419</v>
      </c>
      <c r="F128" s="46" t="str">
        <f t="shared" si="1"/>
        <v>Unconfirmed</v>
      </c>
      <c r="G128" s="47">
        <f t="shared" si="2"/>
        <v>-11.44569663</v>
      </c>
      <c r="H128" s="48" t="str">
        <f t="shared" si="3"/>
        <v>Inverted ✗</v>
      </c>
      <c r="I128" s="48">
        <f t="shared" si="4"/>
        <v>0</v>
      </c>
      <c r="J128" s="48">
        <f t="shared" si="5"/>
        <v>0</v>
      </c>
      <c r="K128" s="49" t="str">
        <f>IFERROR(__xludf.DUMMYFUNCTION("IFERROR(IF(A128="""",""ENTER STOCK"",LET(stock,A128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28" s="48">
        <f t="shared" si="6"/>
        <v>0</v>
      </c>
      <c r="M128" s="48">
        <f t="shared" si="7"/>
        <v>1</v>
      </c>
      <c r="N128" s="50">
        <f t="shared" si="8"/>
        <v>1</v>
      </c>
      <c r="O128" s="51" t="s">
        <v>198</v>
      </c>
      <c r="P128" s="46" t="str">
        <f t="shared" si="9"/>
        <v>WAIT</v>
      </c>
      <c r="Q128" s="52"/>
      <c r="R128" s="53">
        <f t="shared" si="10"/>
        <v>15</v>
      </c>
      <c r="S128" s="53">
        <f>IFERROR(__xludf.DUMMYFUNCTION("IFERROR(ROUND(GOOGLEFINANCE(A128,""volume"")/GOOGLEFINANCE(A128,""volumeavg""),2),"""")"),0.97)</f>
        <v>0.97</v>
      </c>
      <c r="T128" s="53" t="str">
        <f t="shared" si="11"/>
        <v>LOW VOL</v>
      </c>
      <c r="U128" s="53">
        <f>IFERROR(__xludf.DUMMYFUNCTION("IFERROR(
  LET(
    sd, GOOGLEFINANCE(A128,""close"",TODAY()-100,TODAY()),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"""")"),1.4)</f>
        <v>1.4</v>
      </c>
      <c r="V128" s="53" t="str">
        <f t="shared" si="12"/>
        <v>FAST</v>
      </c>
      <c r="W128" s="53">
        <f>IFERROR(__xludf.DUMMYFUNCTION("IFERROR(ROUND((B128/GOOGLEFINANCE(A128,""high52"")-1)*100,1),"""")"),-26.6)</f>
        <v>-26.6</v>
      </c>
      <c r="X128" s="53">
        <f>IFERROR(__xludf.DUMMYFUNCTION("IFERROR(ROUND((B128-GOOGLEFINANCE(A128,""low52""))/(GOOGLEFINANCE(A128,""high52"")-GOOGLEFINANCE(A128,""low52""))*100,1),"""")"),27.5)</f>
        <v>27.5</v>
      </c>
      <c r="Y128" s="53" t="str">
        <f t="shared" si="13"/>
        <v>MID</v>
      </c>
      <c r="Z128" s="53">
        <f>IFERROR(__xludf.DUMMYFUNCTION("IFERROR(ROUND(((B128 / INDEX(GOOGLEFINANCE(TRIM(A128), ""price"", TODAY()-34, TODAY()), 2, 2)) - (GOOGLEFINANCE(""NIFTY_50"") / INDEX(GOOGLEFINANCE(""NIFTY_50"", ""price"", TODAY()-34, TODAY()), 2, 2))) * 100, 2), ""Check History"")"),10.11)</f>
        <v>10.11</v>
      </c>
      <c r="AA128" s="53" t="str">
        <f t="shared" si="14"/>
        <v>STRONG RS</v>
      </c>
      <c r="AB128" s="53">
        <f>IFERROR(__xludf.DUMMYFUNCTION("IFERROR(LET(
  p, QUERY(GOOGLEFINANCE(TRIM(A128),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Loading"")"),52.0)</f>
        <v>52</v>
      </c>
      <c r="AC128" s="53" t="str">
        <f t="shared" si="15"/>
        <v>IDEAL ENTRY</v>
      </c>
      <c r="AD128" s="53" t="str">
        <f>IFERROR(__xludf.DUMMYFUNCTION("IFERROR(IF(GOOGLEFINANCE(A128,""eps"")&gt;0,""EPS+"",""EPS-""),"""")"),"EPS+")</f>
        <v>EPS+</v>
      </c>
      <c r="AE128" s="53">
        <f t="shared" si="16"/>
        <v>5</v>
      </c>
      <c r="AF128" s="53">
        <f>IFERROR(__xludf.DUMMYFUNCTION("IFERROR(N128+IF(S128&gt;=1.2,1,0)+IF(U128&gt;=1,1,0)+IF(Z128&gt;0,1,0)+IF(AND(W128&gt;=-20,W128&lt;=0),1,0)+IF(IFERROR(GOOGLEFINANCE(A128,""eps""),0)&gt;0,1,0),"""")"),4.0)</f>
        <v>4</v>
      </c>
      <c r="AG128" s="53" t="str">
        <f t="shared" si="17"/>
        <v>WAIT</v>
      </c>
    </row>
    <row r="129" ht="15.0" customHeight="1">
      <c r="A129" s="43" t="s">
        <v>286</v>
      </c>
      <c r="B129" s="44">
        <f>IFERROR(__xludf.DUMMYFUNCTION("GOOGLEFINANCE(A129,""price"")"),12250.0)</f>
        <v>12250</v>
      </c>
      <c r="C129" s="45">
        <f>IFERROR(__xludf.DUMMYFUNCTION("AVERAGE(QUERY(SORT(GOOGLEFINANCE(A129,""price"",TODAY()-150,TODAY()),1,0),""select Col2 limit 50""))"),14417.58)</f>
        <v>14417.58</v>
      </c>
      <c r="D129" s="45">
        <f>IFERROR(__xludf.DUMMYFUNCTION("AVERAGE(QUERY(SORT(GOOGLEFINANCE(A129,""price"",TODAY()-300,TODAY()),1,0),""select Col2 limit 100""))"),15314.68)</f>
        <v>15314.68</v>
      </c>
      <c r="E129" s="45">
        <f>IFERROR(__xludf.DUMMYFUNCTION("AVERAGE(QUERY(SORT(GOOGLEFINANCE(A129,""price"",TODAY()-500,TODAY()),1,0),""select Col2 limit 200""))"),14732.295)</f>
        <v>14732.295</v>
      </c>
      <c r="F129" s="46" t="str">
        <f t="shared" si="1"/>
        <v>In Bear Run</v>
      </c>
      <c r="G129" s="47">
        <f t="shared" si="2"/>
        <v>-16.84934357</v>
      </c>
      <c r="H129" s="48" t="str">
        <f t="shared" si="3"/>
        <v>Inverted ✗</v>
      </c>
      <c r="I129" s="48">
        <f t="shared" si="4"/>
        <v>0</v>
      </c>
      <c r="J129" s="48">
        <f t="shared" si="5"/>
        <v>0</v>
      </c>
      <c r="K129" s="49" t="str">
        <f>IFERROR(__xludf.DUMMYFUNCTION("IFERROR(IF(A129="""",""ENTER STOCK"",LET(stock,A129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29" s="48">
        <f t="shared" si="6"/>
        <v>0</v>
      </c>
      <c r="M129" s="48">
        <f t="shared" si="7"/>
        <v>1</v>
      </c>
      <c r="N129" s="50">
        <f t="shared" si="8"/>
        <v>1</v>
      </c>
      <c r="O129" s="51" t="s">
        <v>271</v>
      </c>
      <c r="P129" s="46" t="str">
        <f t="shared" si="9"/>
        <v>REVERSE TRADE</v>
      </c>
      <c r="Q129" s="52"/>
      <c r="R129" s="53">
        <f t="shared" si="10"/>
        <v>15</v>
      </c>
      <c r="S129" s="53">
        <f>IFERROR(__xludf.DUMMYFUNCTION("IFERROR(ROUND(GOOGLEFINANCE(A129,""volume"")/GOOGLEFINANCE(A129,""volumeavg""),2),"""")"),1.29)</f>
        <v>1.29</v>
      </c>
      <c r="T129" s="53" t="str">
        <f t="shared" si="11"/>
        <v>OK VOL</v>
      </c>
      <c r="U129" s="53">
        <f>IFERROR(__xludf.DUMMYFUNCTION("IFERROR(
  LET(
    sd, GOOGLEFINANCE(A129,""close"",TODAY()-100,TODAY()),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"""")"),1.08)</f>
        <v>1.08</v>
      </c>
      <c r="V129" s="53" t="str">
        <f t="shared" si="12"/>
        <v>MEDIUM</v>
      </c>
      <c r="W129" s="53">
        <f>IFERROR(__xludf.DUMMYFUNCTION("IFERROR(ROUND((B129/GOOGLEFINANCE(A129,""high52"")-1)*100,1),"""")"),-29.5)</f>
        <v>-29.5</v>
      </c>
      <c r="X129" s="53">
        <f>IFERROR(__xludf.DUMMYFUNCTION("IFERROR(ROUND((B129-GOOGLEFINANCE(A129,""low52""))/(GOOGLEFINANCE(A129,""high52"")-GOOGLEFINANCE(A129,""low52""))*100,1),"""")"),18.9)</f>
        <v>18.9</v>
      </c>
      <c r="Y129" s="53" t="str">
        <f t="shared" si="13"/>
        <v>MID</v>
      </c>
      <c r="Z129" s="53">
        <f>IFERROR(__xludf.DUMMYFUNCTION("IFERROR(ROUND(((B129 / INDEX(GOOGLEFINANCE(TRIM(A129), ""price"", TODAY()-34, TODAY()), 2, 2)) - (GOOGLEFINANCE(""NIFTY_50"") / INDEX(GOOGLEFINANCE(""NIFTY_50"", ""price"", TODAY()-34, TODAY()), 2, 2))) * 100, 2), ""Check History"")"),-5.76)</f>
        <v>-5.76</v>
      </c>
      <c r="AA129" s="53" t="str">
        <f t="shared" si="14"/>
        <v>WEAK RS</v>
      </c>
      <c r="AB129" s="53">
        <f>IFERROR(__xludf.DUMMYFUNCTION("IFERROR(LET(
  p, QUERY(GOOGLEFINANCE(TRIM(A129),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Loading"")"),33.1)</f>
        <v>33.1</v>
      </c>
      <c r="AC129" s="53" t="str">
        <f t="shared" si="15"/>
        <v>WEAK MOM</v>
      </c>
      <c r="AD129" s="53" t="str">
        <f>IFERROR(__xludf.DUMMYFUNCTION("IFERROR(IF(GOOGLEFINANCE(A129,""eps"")&gt;0,""EPS+"",""EPS-""),"""")"),"EPS+")</f>
        <v>EPS+</v>
      </c>
      <c r="AE129" s="53">
        <f t="shared" si="16"/>
        <v>4</v>
      </c>
      <c r="AF129" s="53">
        <f>IFERROR(__xludf.DUMMYFUNCTION("IFERROR(N129+IF(S129&gt;=1.2,1,0)+IF(U129&gt;=1,1,0)+IF(Z129&gt;0,1,0)+IF(AND(W129&gt;=-20,W129&lt;=0),1,0)+IF(IFERROR(GOOGLEFINANCE(A129,""eps""),0)&gt;0,1,0),"""")"),4.0)</f>
        <v>4</v>
      </c>
      <c r="AG129" s="53" t="str">
        <f t="shared" si="17"/>
        <v>REVERSE TRADE</v>
      </c>
    </row>
    <row r="130" ht="15.0" customHeight="1">
      <c r="A130" s="43" t="s">
        <v>287</v>
      </c>
      <c r="B130" s="44">
        <f>IFERROR(__xludf.DUMMYFUNCTION("GOOGLEFINANCE(A130,""price"")"),1290.0)</f>
        <v>1290</v>
      </c>
      <c r="C130" s="45">
        <f>IFERROR(__xludf.DUMMYFUNCTION("AVERAGE(QUERY(SORT(GOOGLEFINANCE(A130,""price"",TODAY()-150,TODAY()),1,0),""select Col2 limit 50""))"),1432.236)</f>
        <v>1432.236</v>
      </c>
      <c r="D130" s="45">
        <f>IFERROR(__xludf.DUMMYFUNCTION("AVERAGE(QUERY(SORT(GOOGLEFINANCE(A130,""price"",TODAY()-300,TODAY()),1,0),""select Col2 limit 100""))"),1452.1270000000002)</f>
        <v>1452.127</v>
      </c>
      <c r="E130" s="45">
        <f>IFERROR(__xludf.DUMMYFUNCTION("AVERAGE(QUERY(SORT(GOOGLEFINANCE(A130,""price"",TODAY()-500,TODAY()),1,0),""select Col2 limit 200""))"),1481.3515)</f>
        <v>1481.3515</v>
      </c>
      <c r="F130" s="46" t="str">
        <f t="shared" si="1"/>
        <v>In Bear Run</v>
      </c>
      <c r="G130" s="47">
        <f t="shared" si="2"/>
        <v>-12.91735959</v>
      </c>
      <c r="H130" s="48" t="str">
        <f t="shared" si="3"/>
        <v>Inverted ✗</v>
      </c>
      <c r="I130" s="48">
        <f t="shared" si="4"/>
        <v>0</v>
      </c>
      <c r="J130" s="48">
        <f t="shared" si="5"/>
        <v>0</v>
      </c>
      <c r="K130" s="49" t="str">
        <f>IFERROR(__xludf.DUMMYFUNCTION("IFERROR(IF(A130="""",""ENTER STOCK"",LET(stock,A130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30" s="48">
        <f t="shared" si="6"/>
        <v>0</v>
      </c>
      <c r="M130" s="48">
        <f t="shared" si="7"/>
        <v>1</v>
      </c>
      <c r="N130" s="50">
        <f t="shared" si="8"/>
        <v>1</v>
      </c>
      <c r="O130" s="51" t="s">
        <v>137</v>
      </c>
      <c r="P130" s="46" t="str">
        <f t="shared" si="9"/>
        <v>REVERSE TRADE</v>
      </c>
      <c r="Q130" s="52"/>
      <c r="R130" s="53">
        <f t="shared" si="10"/>
        <v>15</v>
      </c>
      <c r="S130" s="53">
        <f>IFERROR(__xludf.DUMMYFUNCTION("IFERROR(ROUND(GOOGLEFINANCE(A130,""volume"")/GOOGLEFINANCE(A130,""volumeavg""),2),"""")"),1.71)</f>
        <v>1.71</v>
      </c>
      <c r="T130" s="53" t="str">
        <f t="shared" si="11"/>
        <v>HIGH VOL</v>
      </c>
      <c r="U130" s="53">
        <f>IFERROR(__xludf.DUMMYFUNCTION("IFERROR(
  LET(
    sd, GOOGLEFINANCE(A130,""close"",TODAY()-100,TODAY()),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"""")"),1.2)</f>
        <v>1.2</v>
      </c>
      <c r="V130" s="53" t="str">
        <f t="shared" si="12"/>
        <v>FAST</v>
      </c>
      <c r="W130" s="53">
        <f>IFERROR(__xludf.DUMMYFUNCTION("IFERROR(ROUND((B130/GOOGLEFINANCE(A130,""high52"")-1)*100,1),"""")"),-18.1)</f>
        <v>-18.1</v>
      </c>
      <c r="X130" s="53">
        <f>IFERROR(__xludf.DUMMYFUNCTION("IFERROR(ROUND((B130-GOOGLEFINANCE(A130,""low52""))/(GOOGLEFINANCE(A130,""high52"")-GOOGLEFINANCE(A130,""low52""))*100,1),"""")"),4.3)</f>
        <v>4.3</v>
      </c>
      <c r="Y130" s="53" t="str">
        <f t="shared" si="13"/>
        <v>UPPER</v>
      </c>
      <c r="Z130" s="53">
        <f>IFERROR(__xludf.DUMMYFUNCTION("IFERROR(ROUND(((B130 / INDEX(GOOGLEFINANCE(TRIM(A130), ""price"", TODAY()-34, TODAY()), 2, 2)) - (GOOGLEFINANCE(""NIFTY_50"") / INDEX(GOOGLEFINANCE(""NIFTY_50"", ""price"", TODAY()-34, TODAY()), 2, 2))) * 100, 2), ""Check History"")"),-0.7)</f>
        <v>-0.7</v>
      </c>
      <c r="AA130" s="53" t="str">
        <f t="shared" si="14"/>
        <v>WEAK RS</v>
      </c>
      <c r="AB130" s="53">
        <f>IFERROR(__xludf.DUMMYFUNCTION("IFERROR(LET(
  p, QUERY(GOOGLEFINANCE(TRIM(A130),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Loading"")"),38.3)</f>
        <v>38.3</v>
      </c>
      <c r="AC130" s="53" t="str">
        <f t="shared" si="15"/>
        <v>WEAK MOM</v>
      </c>
      <c r="AD130" s="53" t="str">
        <f>IFERROR(__xludf.DUMMYFUNCTION("IFERROR(IF(GOOGLEFINANCE(A130,""eps"")&gt;0,""EPS+"",""EPS-""),"""")"),"EPS+")</f>
        <v>EPS+</v>
      </c>
      <c r="AE130" s="53">
        <f t="shared" si="16"/>
        <v>6</v>
      </c>
      <c r="AF130" s="53">
        <f>IFERROR(__xludf.DUMMYFUNCTION("IFERROR(N130+IF(S130&gt;=1.2,1,0)+IF(U130&gt;=1,1,0)+IF(Z130&gt;0,1,0)+IF(AND(W130&gt;=-20,W130&lt;=0),1,0)+IF(IFERROR(GOOGLEFINANCE(A130,""eps""),0)&gt;0,1,0),"""")"),5.0)</f>
        <v>5</v>
      </c>
      <c r="AG130" s="53" t="str">
        <f t="shared" si="17"/>
        <v>REVERSE TRADE</v>
      </c>
    </row>
    <row r="131" ht="15.0" customHeight="1">
      <c r="A131" s="43" t="s">
        <v>288</v>
      </c>
      <c r="B131" s="44">
        <f>IFERROR(__xludf.DUMMYFUNCTION("GOOGLEFINANCE(A131,""price"")"),410.0)</f>
        <v>410</v>
      </c>
      <c r="C131" s="45">
        <f>IFERROR(__xludf.DUMMYFUNCTION("AVERAGE(QUERY(SORT(GOOGLEFINANCE(A131,""price"",TODAY()-150,TODAY()),1,0),""select Col2 limit 50""))"),490.399)</f>
        <v>490.399</v>
      </c>
      <c r="D131" s="45">
        <f>IFERROR(__xludf.DUMMYFUNCTION("AVERAGE(QUERY(SORT(GOOGLEFINANCE(A131,""price"",TODAY()-300,TODAY()),1,0),""select Col2 limit 100""))"),500.283)</f>
        <v>500.283</v>
      </c>
      <c r="E131" s="45">
        <f>IFERROR(__xludf.DUMMYFUNCTION("AVERAGE(QUERY(SORT(GOOGLEFINANCE(A131,""price"",TODAY()-500,TODAY()),1,0),""select Col2 limit 200""))"),504.75700000000035)</f>
        <v>504.757</v>
      </c>
      <c r="F131" s="46" t="str">
        <f t="shared" si="1"/>
        <v>In Bear Run</v>
      </c>
      <c r="G131" s="47">
        <f t="shared" si="2"/>
        <v>-18.77279562</v>
      </c>
      <c r="H131" s="48" t="str">
        <f t="shared" si="3"/>
        <v>Inverted ✗</v>
      </c>
      <c r="I131" s="48">
        <f t="shared" si="4"/>
        <v>0</v>
      </c>
      <c r="J131" s="48">
        <f t="shared" si="5"/>
        <v>0</v>
      </c>
      <c r="K131" s="49" t="str">
        <f>IFERROR(__xludf.DUMMYFUNCTION("IFERROR(IF(A131="""",""ENTER STOCK"",LET(stock,A131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31" s="48">
        <f t="shared" si="6"/>
        <v>0</v>
      </c>
      <c r="M131" s="48">
        <f t="shared" si="7"/>
        <v>1</v>
      </c>
      <c r="N131" s="50">
        <f t="shared" si="8"/>
        <v>1</v>
      </c>
      <c r="O131" s="51" t="s">
        <v>131</v>
      </c>
      <c r="P131" s="46" t="str">
        <f t="shared" si="9"/>
        <v>REVERSE TRADE</v>
      </c>
      <c r="Q131" s="52"/>
      <c r="R131" s="53">
        <f t="shared" si="10"/>
        <v>15</v>
      </c>
      <c r="S131" s="53">
        <f>IFERROR(__xludf.DUMMYFUNCTION("IFERROR(ROUND(GOOGLEFINANCE(A131,""volume"")/GOOGLEFINANCE(A131,""volumeavg""),2),"""")"),1.48)</f>
        <v>1.48</v>
      </c>
      <c r="T131" s="53" t="str">
        <f t="shared" si="11"/>
        <v>OK VOL</v>
      </c>
      <c r="U131" s="53">
        <f>IFERROR(__xludf.DUMMYFUNCTION("IFERROR(
  LET(
    sd, GOOGLEFINANCE(A131,""close"",TODAY()-100,TODAY()),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"""")"),1.08)</f>
        <v>1.08</v>
      </c>
      <c r="V131" s="53" t="str">
        <f t="shared" si="12"/>
        <v>MEDIUM</v>
      </c>
      <c r="W131" s="53">
        <f>IFERROR(__xludf.DUMMYFUNCTION("IFERROR(ROUND((B131/GOOGLEFINANCE(A131,""high52"")-1)*100,1),"""")"),-28.9)</f>
        <v>-28.9</v>
      </c>
      <c r="X131" s="53">
        <f>IFERROR(__xludf.DUMMYFUNCTION("IFERROR(ROUND((B131-GOOGLEFINANCE(A131,""low52""))/(GOOGLEFINANCE(A131,""high52"")-GOOGLEFINANCE(A131,""low52""))*100,1),"""")"),1.2)</f>
        <v>1.2</v>
      </c>
      <c r="Y131" s="53" t="str">
        <f t="shared" si="13"/>
        <v>MID</v>
      </c>
      <c r="Z131" s="53">
        <f>IFERROR(__xludf.DUMMYFUNCTION("IFERROR(ROUND(((B131 / INDEX(GOOGLEFINANCE(TRIM(A131), ""price"", TODAY()-34, TODAY()), 2, 2)) - (GOOGLEFINANCE(""NIFTY_50"") / INDEX(GOOGLEFINANCE(""NIFTY_50"", ""price"", TODAY()-34, TODAY()), 2, 2))) * 100, 2), ""Check History"")"),-8.69)</f>
        <v>-8.69</v>
      </c>
      <c r="AA131" s="53" t="str">
        <f t="shared" si="14"/>
        <v>WEAK RS</v>
      </c>
      <c r="AB131" s="53">
        <f>IFERROR(__xludf.DUMMYFUNCTION("IFERROR(LET(
  p, QUERY(GOOGLEFINANCE(TRIM(A131),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Loading"")"),40.3)</f>
        <v>40.3</v>
      </c>
      <c r="AC131" s="53" t="str">
        <f t="shared" si="15"/>
        <v>WEAK MOM</v>
      </c>
      <c r="AD131" s="53" t="str">
        <f>IFERROR(__xludf.DUMMYFUNCTION("IFERROR(IF(GOOGLEFINANCE(A131,""eps"")&gt;0,""EPS+"",""EPS-""),"""")"),"EPS+")</f>
        <v>EPS+</v>
      </c>
      <c r="AE131" s="53">
        <f t="shared" si="16"/>
        <v>4</v>
      </c>
      <c r="AF131" s="53">
        <f>IFERROR(__xludf.DUMMYFUNCTION("IFERROR(N131+IF(S131&gt;=1.2,1,0)+IF(U131&gt;=1,1,0)+IF(Z131&gt;0,1,0)+IF(AND(W131&gt;=-20,W131&lt;=0),1,0)+IF(IFERROR(GOOGLEFINANCE(A131,""eps""),0)&gt;0,1,0),"""")"),4.0)</f>
        <v>4</v>
      </c>
      <c r="AG131" s="53" t="str">
        <f t="shared" si="17"/>
        <v>REVERSE TRADE</v>
      </c>
    </row>
    <row r="132" ht="15.0" customHeight="1">
      <c r="A132" s="43" t="s">
        <v>289</v>
      </c>
      <c r="B132" s="44">
        <f>IFERROR(__xludf.DUMMYFUNCTION("GOOGLEFINANCE(A132,""price"")"),17.28)</f>
        <v>17.28</v>
      </c>
      <c r="C132" s="45">
        <f>IFERROR(__xludf.DUMMYFUNCTION("AVERAGE(QUERY(SORT(GOOGLEFINANCE(A132,""price"",TODAY()-150,TODAY()),1,0),""select Col2 limit 50""))"),20.4624)</f>
        <v>20.4624</v>
      </c>
      <c r="D132" s="45">
        <f>IFERROR(__xludf.DUMMYFUNCTION("AVERAGE(QUERY(SORT(GOOGLEFINANCE(A132,""price"",TODAY()-300,TODAY()),1,0),""select Col2 limit 100""))"),21.410999999999998)</f>
        <v>21.411</v>
      </c>
      <c r="E132" s="45">
        <f>IFERROR(__xludf.DUMMYFUNCTION("AVERAGE(QUERY(SORT(GOOGLEFINANCE(A132,""price"",TODAY()-500,TODAY()),1,0),""select Col2 limit 200""))"),20.972599999999996)</f>
        <v>20.9726</v>
      </c>
      <c r="F132" s="46" t="str">
        <f t="shared" si="1"/>
        <v>In Bear Run</v>
      </c>
      <c r="G132" s="47">
        <f t="shared" si="2"/>
        <v>-17.60678218</v>
      </c>
      <c r="H132" s="48" t="str">
        <f t="shared" si="3"/>
        <v>Inverted ✗</v>
      </c>
      <c r="I132" s="48">
        <f t="shared" si="4"/>
        <v>0</v>
      </c>
      <c r="J132" s="48">
        <f t="shared" si="5"/>
        <v>0</v>
      </c>
      <c r="K132" s="49" t="str">
        <f>IFERROR(__xludf.DUMMYFUNCTION("IFERROR(IF(A132="""",""ENTER STOCK"",LET(stock,A132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32" s="48">
        <f t="shared" si="6"/>
        <v>0</v>
      </c>
      <c r="M132" s="48">
        <f t="shared" si="7"/>
        <v>1</v>
      </c>
      <c r="N132" s="50">
        <f t="shared" si="8"/>
        <v>1</v>
      </c>
      <c r="O132" s="51" t="s">
        <v>236</v>
      </c>
      <c r="P132" s="46" t="str">
        <f t="shared" si="9"/>
        <v>REVERSE TRADE</v>
      </c>
      <c r="Q132" s="52"/>
      <c r="R132" s="53">
        <f t="shared" si="10"/>
        <v>15</v>
      </c>
      <c r="S132" s="53">
        <f>IFERROR(__xludf.DUMMYFUNCTION("IFERROR(ROUND(GOOGLEFINANCE(A132,""volume"")/GOOGLEFINANCE(A132,""volumeavg""),2),"""")"),2.03)</f>
        <v>2.03</v>
      </c>
      <c r="T132" s="53" t="str">
        <f t="shared" si="11"/>
        <v>HIGH VOL</v>
      </c>
      <c r="U132" s="53">
        <f>IFERROR(__xludf.DUMMYFUNCTION("IFERROR(
  LET(
    sd, GOOGLEFINANCE(A132,""close"",TODAY()-100,TODAY()),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"""")"),1.21)</f>
        <v>1.21</v>
      </c>
      <c r="V132" s="53" t="str">
        <f t="shared" si="12"/>
        <v>FAST</v>
      </c>
      <c r="W132" s="53">
        <f>IFERROR(__xludf.DUMMYFUNCTION("IFERROR(ROUND((B132/GOOGLEFINANCE(A132,""high52"")-1)*100,1),"""")"),-28.9)</f>
        <v>-28.9</v>
      </c>
      <c r="X132" s="53">
        <f>IFERROR(__xludf.DUMMYFUNCTION("IFERROR(ROUND((B132-GOOGLEFINANCE(A132,""low52""))/(GOOGLEFINANCE(A132,""high52"")-GOOGLEFINANCE(A132,""low52""))*100,1),"""")"),13.8)</f>
        <v>13.8</v>
      </c>
      <c r="Y132" s="53" t="str">
        <f t="shared" si="13"/>
        <v>MID</v>
      </c>
      <c r="Z132" s="53">
        <f>IFERROR(__xludf.DUMMYFUNCTION("IFERROR(ROUND(((B132 / INDEX(GOOGLEFINANCE(TRIM(A132), ""price"", TODAY()-34, TODAY()), 2, 2)) - (GOOGLEFINANCE(""NIFTY_50"") / INDEX(GOOGLEFINANCE(""NIFTY_50"", ""price"", TODAY()-34, TODAY()), 2, 2))) * 100, 2), ""Check History"")"),-4.84)</f>
        <v>-4.84</v>
      </c>
      <c r="AA132" s="53" t="str">
        <f t="shared" si="14"/>
        <v>WEAK RS</v>
      </c>
      <c r="AB132" s="53">
        <f>IFERROR(__xludf.DUMMYFUNCTION("IFERROR(LET(
  p, QUERY(GOOGLEFINANCE(TRIM(A132),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Loading"")"),35.4)</f>
        <v>35.4</v>
      </c>
      <c r="AC132" s="53" t="str">
        <f t="shared" si="15"/>
        <v>WEAK MOM</v>
      </c>
      <c r="AD132" s="53" t="str">
        <f>IFERROR(__xludf.DUMMYFUNCTION("IFERROR(IF(GOOGLEFINANCE(A132,""eps"")&gt;0,""EPS+"",""EPS-""),"""")"),"EPS+")</f>
        <v>EPS+</v>
      </c>
      <c r="AE132" s="53">
        <f t="shared" si="16"/>
        <v>6</v>
      </c>
      <c r="AF132" s="53">
        <f>IFERROR(__xludf.DUMMYFUNCTION("IFERROR(N132+IF(S132&gt;=1.2,1,0)+IF(U132&gt;=1,1,0)+IF(Z132&gt;0,1,0)+IF(AND(W132&gt;=-20,W132&lt;=0),1,0)+IF(IFERROR(GOOGLEFINANCE(A132,""eps""),0)&gt;0,1,0),"""")"),4.0)</f>
        <v>4</v>
      </c>
      <c r="AG132" s="53" t="str">
        <f t="shared" si="17"/>
        <v>REVERSE TRADE</v>
      </c>
    </row>
    <row r="133" ht="15.0" customHeight="1">
      <c r="A133" s="43" t="s">
        <v>290</v>
      </c>
      <c r="B133" s="44">
        <f>IFERROR(__xludf.DUMMYFUNCTION("GOOGLEFINANCE(A133,""price"")"),384.0)</f>
        <v>384</v>
      </c>
      <c r="C133" s="45">
        <f>IFERROR(__xludf.DUMMYFUNCTION("AVERAGE(QUERY(SORT(GOOGLEFINANCE(A133,""price"",TODAY()-150,TODAY()),1,0),""select Col2 limit 50""))"),445.129)</f>
        <v>445.129</v>
      </c>
      <c r="D133" s="45">
        <f>IFERROR(__xludf.DUMMYFUNCTION("AVERAGE(QUERY(SORT(GOOGLEFINANCE(A133,""price"",TODAY()-300,TODAY()),1,0),""select Col2 limit 100""))"),460.29450000000014)</f>
        <v>460.2945</v>
      </c>
      <c r="E133" s="45">
        <f>IFERROR(__xludf.DUMMYFUNCTION("AVERAGE(QUERY(SORT(GOOGLEFINANCE(A133,""price"",TODAY()-500,TODAY()),1,0),""select Col2 limit 200""))"),467.52475000000015)</f>
        <v>467.52475</v>
      </c>
      <c r="F133" s="46" t="str">
        <f t="shared" si="1"/>
        <v>In Bear Run</v>
      </c>
      <c r="G133" s="47">
        <f t="shared" si="2"/>
        <v>-17.86531087</v>
      </c>
      <c r="H133" s="48" t="str">
        <f t="shared" si="3"/>
        <v>Inverted ✗</v>
      </c>
      <c r="I133" s="48">
        <f t="shared" si="4"/>
        <v>0</v>
      </c>
      <c r="J133" s="48">
        <f t="shared" si="5"/>
        <v>0</v>
      </c>
      <c r="K133" s="49" t="str">
        <f>IFERROR(__xludf.DUMMYFUNCTION("IFERROR(IF(A133="""",""ENTER STOCK"",LET(stock,A133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33" s="48">
        <f t="shared" si="6"/>
        <v>0</v>
      </c>
      <c r="M133" s="48">
        <f t="shared" si="7"/>
        <v>1</v>
      </c>
      <c r="N133" s="50">
        <f t="shared" si="8"/>
        <v>1</v>
      </c>
      <c r="O133" s="51" t="s">
        <v>131</v>
      </c>
      <c r="P133" s="46" t="str">
        <f t="shared" si="9"/>
        <v>REVERSE TRADE</v>
      </c>
      <c r="Q133" s="52"/>
      <c r="R133" s="53">
        <f t="shared" si="10"/>
        <v>15</v>
      </c>
      <c r="S133" s="53">
        <f>IFERROR(__xludf.DUMMYFUNCTION("IFERROR(ROUND(GOOGLEFINANCE(A133,""volume"")/GOOGLEFINANCE(A133,""volumeavg""),2),"""")"),2.0)</f>
        <v>2</v>
      </c>
      <c r="T133" s="53" t="str">
        <f t="shared" si="11"/>
        <v>HIGH VOL</v>
      </c>
      <c r="U133" s="53">
        <f>IFERROR(__xludf.DUMMYFUNCTION("IFERROR(
  LET(
    sd, GOOGLEFINANCE(A133,""close"",TODAY()-100,TODAY()),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"""")"),1.04)</f>
        <v>1.04</v>
      </c>
      <c r="V133" s="53" t="str">
        <f t="shared" si="12"/>
        <v>MEDIUM</v>
      </c>
      <c r="W133" s="53">
        <f>IFERROR(__xludf.DUMMYFUNCTION("IFERROR(ROUND((B133/GOOGLEFINANCE(A133,""high52"")-1)*100,1),"""")"),-32.5)</f>
        <v>-32.5</v>
      </c>
      <c r="X133" s="53">
        <f>IFERROR(__xludf.DUMMYFUNCTION("IFERROR(ROUND((B133-GOOGLEFINANCE(A133,""low52""))/(GOOGLEFINANCE(A133,""high52"")-GOOGLEFINANCE(A133,""low52""))*100,1),"""")"),1.6)</f>
        <v>1.6</v>
      </c>
      <c r="Y133" s="53" t="str">
        <f t="shared" si="13"/>
        <v>MID</v>
      </c>
      <c r="Z133" s="53">
        <f>IFERROR(__xludf.DUMMYFUNCTION("IFERROR(ROUND(((B133 / INDEX(GOOGLEFINANCE(TRIM(A133), ""price"", TODAY()-34, TODAY()), 2, 2)) - (GOOGLEFINANCE(""NIFTY_50"") / INDEX(GOOGLEFINANCE(""NIFTY_50"", ""price"", TODAY()-34, TODAY()), 2, 2))) * 100, 2), ""Check History"")"),-4.19)</f>
        <v>-4.19</v>
      </c>
      <c r="AA133" s="53" t="str">
        <f t="shared" si="14"/>
        <v>WEAK RS</v>
      </c>
      <c r="AB133" s="53">
        <f>IFERROR(__xludf.DUMMYFUNCTION("IFERROR(LET(
  p, QUERY(GOOGLEFINANCE(TRIM(A133),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Loading"")"),49.2)</f>
        <v>49.2</v>
      </c>
      <c r="AC133" s="53" t="str">
        <f t="shared" si="15"/>
        <v>IDEAL ENTRY</v>
      </c>
      <c r="AD133" s="53" t="str">
        <f>IFERROR(__xludf.DUMMYFUNCTION("IFERROR(IF(GOOGLEFINANCE(A133,""eps"")&gt;0,""EPS+"",""EPS-""),"""")"),"EPS+")</f>
        <v>EPS+</v>
      </c>
      <c r="AE133" s="53">
        <f t="shared" si="16"/>
        <v>5</v>
      </c>
      <c r="AF133" s="53">
        <f>IFERROR(__xludf.DUMMYFUNCTION("IFERROR(N133+IF(S133&gt;=1.2,1,0)+IF(U133&gt;=1,1,0)+IF(Z133&gt;0,1,0)+IF(AND(W133&gt;=-20,W133&lt;=0),1,0)+IF(IFERROR(GOOGLEFINANCE(A133,""eps""),0)&gt;0,1,0),"""")"),4.0)</f>
        <v>4</v>
      </c>
      <c r="AG133" s="53" t="str">
        <f t="shared" si="17"/>
        <v>REVERSE TRADE</v>
      </c>
    </row>
    <row r="134" ht="15.0" customHeight="1">
      <c r="A134" s="43" t="s">
        <v>291</v>
      </c>
      <c r="B134" s="44">
        <f>IFERROR(__xludf.DUMMYFUNCTION("GOOGLEFINANCE(A134,""price"")"),2963.9)</f>
        <v>2963.9</v>
      </c>
      <c r="C134" s="45">
        <f>IFERROR(__xludf.DUMMYFUNCTION("AVERAGE(QUERY(SORT(GOOGLEFINANCE(A134,""price"",TODAY()-150,TODAY()),1,0),""select Col2 limit 50""))"),3375.534)</f>
        <v>3375.534</v>
      </c>
      <c r="D134" s="45">
        <f>IFERROR(__xludf.DUMMYFUNCTION("AVERAGE(QUERY(SORT(GOOGLEFINANCE(A134,""price"",TODAY()-300,TODAY()),1,0),""select Col2 limit 100""))"),3528.011)</f>
        <v>3528.011</v>
      </c>
      <c r="E134" s="45">
        <f>IFERROR(__xludf.DUMMYFUNCTION("AVERAGE(QUERY(SORT(GOOGLEFINANCE(A134,""price"",TODAY()-500,TODAY()),1,0),""select Col2 limit 200""))"),3430.147499999998)</f>
        <v>3430.1475</v>
      </c>
      <c r="F134" s="46" t="str">
        <f t="shared" si="1"/>
        <v>In Bear Run</v>
      </c>
      <c r="G134" s="47">
        <f t="shared" si="2"/>
        <v>-13.59263705</v>
      </c>
      <c r="H134" s="48" t="str">
        <f t="shared" si="3"/>
        <v>Inverted ✗</v>
      </c>
      <c r="I134" s="48">
        <f t="shared" si="4"/>
        <v>0</v>
      </c>
      <c r="J134" s="48">
        <f t="shared" si="5"/>
        <v>0</v>
      </c>
      <c r="K134" s="49" t="str">
        <f>IFERROR(__xludf.DUMMYFUNCTION("IFERROR(IF(A134="""",""ENTER STOCK"",LET(stock,A134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34" s="48">
        <f t="shared" si="6"/>
        <v>0</v>
      </c>
      <c r="M134" s="48">
        <f t="shared" si="7"/>
        <v>1</v>
      </c>
      <c r="N134" s="50">
        <f t="shared" si="8"/>
        <v>1</v>
      </c>
      <c r="O134" s="51" t="s">
        <v>271</v>
      </c>
      <c r="P134" s="46" t="str">
        <f t="shared" si="9"/>
        <v>REVERSE TRADE</v>
      </c>
      <c r="Q134" s="52"/>
      <c r="R134" s="53">
        <f t="shared" si="10"/>
        <v>15</v>
      </c>
      <c r="S134" s="53">
        <f>IFERROR(__xludf.DUMMYFUNCTION("IFERROR(ROUND(GOOGLEFINANCE(A134,""volume"")/GOOGLEFINANCE(A134,""volumeavg""),2),"""")"),1.74)</f>
        <v>1.74</v>
      </c>
      <c r="T134" s="53" t="str">
        <f t="shared" si="11"/>
        <v>HIGH VOL</v>
      </c>
      <c r="U134" s="53">
        <f>IFERROR(__xludf.DUMMYFUNCTION("IFERROR(
  LET(
    sd, GOOGLEFINANCE(A134,""close"",TODAY()-100,TODAY()),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"""")"),1.53)</f>
        <v>1.53</v>
      </c>
      <c r="V134" s="53" t="str">
        <f t="shared" si="12"/>
        <v>FAST</v>
      </c>
      <c r="W134" s="53">
        <f>IFERROR(__xludf.DUMMYFUNCTION("IFERROR(ROUND((B134/GOOGLEFINANCE(A134,""high52"")-1)*100,1),"""")"),-22.8)</f>
        <v>-22.8</v>
      </c>
      <c r="X134" s="53">
        <f>IFERROR(__xludf.DUMMYFUNCTION("IFERROR(ROUND((B134-GOOGLEFINANCE(A134,""low52""))/(GOOGLEFINANCE(A134,""high52"")-GOOGLEFINANCE(A134,""low52""))*100,1),"""")"),38.1)</f>
        <v>38.1</v>
      </c>
      <c r="Y134" s="53" t="str">
        <f t="shared" si="13"/>
        <v>MID</v>
      </c>
      <c r="Z134" s="53">
        <f>IFERROR(__xludf.DUMMYFUNCTION("IFERROR(ROUND(((B134 / INDEX(GOOGLEFINANCE(TRIM(A134), ""price"", TODAY()-34, TODAY()), 2, 2)) - (GOOGLEFINANCE(""NIFTY_50"") / INDEX(GOOGLEFINANCE(""NIFTY_50"", ""price"", TODAY()-34, TODAY()), 2, 2))) * 100, 2), ""Check History"")"),-1.5)</f>
        <v>-1.5</v>
      </c>
      <c r="AA134" s="53" t="str">
        <f t="shared" si="14"/>
        <v>WEAK RS</v>
      </c>
      <c r="AB134" s="53">
        <f>IFERROR(__xludf.DUMMYFUNCTION("IFERROR(LET(
  p, QUERY(GOOGLEFINANCE(TRIM(A134),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Loading"")"),41.7)</f>
        <v>41.7</v>
      </c>
      <c r="AC134" s="53" t="str">
        <f t="shared" si="15"/>
        <v>WEAK MOM</v>
      </c>
      <c r="AD134" s="53" t="str">
        <f>IFERROR(__xludf.DUMMYFUNCTION("IFERROR(IF(GOOGLEFINANCE(A134,""eps"")&gt;0,""EPS+"",""EPS-""),"""")"),"EPS+")</f>
        <v>EPS+</v>
      </c>
      <c r="AE134" s="53">
        <f t="shared" si="16"/>
        <v>6</v>
      </c>
      <c r="AF134" s="53">
        <f>IFERROR(__xludf.DUMMYFUNCTION("IFERROR(N134+IF(S134&gt;=1.2,1,0)+IF(U134&gt;=1,1,0)+IF(Z134&gt;0,1,0)+IF(AND(W134&gt;=-20,W134&lt;=0),1,0)+IF(IFERROR(GOOGLEFINANCE(A134,""eps""),0)&gt;0,1,0),"""")"),4.0)</f>
        <v>4</v>
      </c>
      <c r="AG134" s="53" t="str">
        <f t="shared" si="17"/>
        <v>REVERSE TRADE</v>
      </c>
    </row>
    <row r="135" ht="15.0" customHeight="1">
      <c r="A135" s="43" t="s">
        <v>292</v>
      </c>
      <c r="B135" s="44">
        <f>IFERROR(__xludf.DUMMYFUNCTION("GOOGLEFINANCE(A135,""price"")"),935.0)</f>
        <v>935</v>
      </c>
      <c r="C135" s="45">
        <f>IFERROR(__xludf.DUMMYFUNCTION("AVERAGE(QUERY(SORT(GOOGLEFINANCE(A135,""price"",TODAY()-150,TODAY()),1,0),""select Col2 limit 50""))"),1093.8080000000002)</f>
        <v>1093.808</v>
      </c>
      <c r="D135" s="45">
        <f>IFERROR(__xludf.DUMMYFUNCTION("AVERAGE(QUERY(SORT(GOOGLEFINANCE(A135,""price"",TODAY()-300,TODAY()),1,0),""select Col2 limit 100""))"),1115.939)</f>
        <v>1115.939</v>
      </c>
      <c r="E135" s="45">
        <f>IFERROR(__xludf.DUMMYFUNCTION("AVERAGE(QUERY(SORT(GOOGLEFINANCE(A135,""price"",TODAY()-500,TODAY()),1,0),""select Col2 limit 200""))"),1111.6222500000001)</f>
        <v>1111.62225</v>
      </c>
      <c r="F135" s="46" t="str">
        <f t="shared" si="1"/>
        <v>In Bear Run</v>
      </c>
      <c r="G135" s="47">
        <f t="shared" si="2"/>
        <v>-15.8886933</v>
      </c>
      <c r="H135" s="48" t="str">
        <f t="shared" si="3"/>
        <v>Inverted ✗</v>
      </c>
      <c r="I135" s="48">
        <f t="shared" si="4"/>
        <v>0</v>
      </c>
      <c r="J135" s="48">
        <f t="shared" si="5"/>
        <v>0</v>
      </c>
      <c r="K135" s="49" t="str">
        <f>IFERROR(__xludf.DUMMYFUNCTION("IFERROR(IF(A135="""",""ENTER STOCK"",LET(stock,A135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35" s="48">
        <f t="shared" si="6"/>
        <v>0</v>
      </c>
      <c r="M135" s="48">
        <f t="shared" si="7"/>
        <v>1</v>
      </c>
      <c r="N135" s="50">
        <f t="shared" si="8"/>
        <v>1</v>
      </c>
      <c r="O135" s="51" t="s">
        <v>173</v>
      </c>
      <c r="P135" s="46" t="str">
        <f t="shared" si="9"/>
        <v>REVERSE TRADE</v>
      </c>
      <c r="Q135" s="52"/>
      <c r="R135" s="53">
        <f t="shared" si="10"/>
        <v>15</v>
      </c>
      <c r="S135" s="53">
        <f>IFERROR(__xludf.DUMMYFUNCTION("IFERROR(ROUND(GOOGLEFINANCE(A135,""volume"")/GOOGLEFINANCE(A135,""volumeavg""),2),"""")"),1.94)</f>
        <v>1.94</v>
      </c>
      <c r="T135" s="53" t="str">
        <f t="shared" si="11"/>
        <v>HIGH VOL</v>
      </c>
      <c r="U135" s="53">
        <f>IFERROR(__xludf.DUMMYFUNCTION("IFERROR(
  LET(
    sd, GOOGLEFINANCE(A135,""close"",TODAY()-100,TODAY()),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"""")"),1.28)</f>
        <v>1.28</v>
      </c>
      <c r="V135" s="53" t="str">
        <f t="shared" si="12"/>
        <v>FAST</v>
      </c>
      <c r="W135" s="53">
        <f>IFERROR(__xludf.DUMMYFUNCTION("IFERROR(ROUND((B135/GOOGLEFINANCE(A135,""high52"")-1)*100,1),"""")"),-26.6)</f>
        <v>-26.6</v>
      </c>
      <c r="X135" s="53">
        <f>IFERROR(__xludf.DUMMYFUNCTION("IFERROR(ROUND((B135-GOOGLEFINANCE(A135,""low52""))/(GOOGLEFINANCE(A135,""high52"")-GOOGLEFINANCE(A135,""low52""))*100,1),"""")"),29.9)</f>
        <v>29.9</v>
      </c>
      <c r="Y135" s="53" t="str">
        <f t="shared" si="13"/>
        <v>MID</v>
      </c>
      <c r="Z135" s="53">
        <f>IFERROR(__xludf.DUMMYFUNCTION("IFERROR(ROUND(((B135 / INDEX(GOOGLEFINANCE(TRIM(A135), ""price"", TODAY()-34, TODAY()), 2, 2)) - (GOOGLEFINANCE(""NIFTY_50"") / INDEX(GOOGLEFINANCE(""NIFTY_50"", ""price"", TODAY()-34, TODAY()), 2, 2))) * 100, 2), ""Check History"")"),-3.86)</f>
        <v>-3.86</v>
      </c>
      <c r="AA135" s="53" t="str">
        <f t="shared" si="14"/>
        <v>WEAK RS</v>
      </c>
      <c r="AB135" s="53">
        <f>IFERROR(__xludf.DUMMYFUNCTION("IFERROR(LET(
  p, QUERY(GOOGLEFINANCE(TRIM(A135),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Loading"")"),39.8)</f>
        <v>39.8</v>
      </c>
      <c r="AC135" s="53" t="str">
        <f t="shared" si="15"/>
        <v>WEAK MOM</v>
      </c>
      <c r="AD135" s="53" t="str">
        <f>IFERROR(__xludf.DUMMYFUNCTION("IFERROR(IF(GOOGLEFINANCE(A135,""eps"")&gt;0,""EPS+"",""EPS-""),"""")"),"EPS+")</f>
        <v>EPS+</v>
      </c>
      <c r="AE135" s="53">
        <f t="shared" si="16"/>
        <v>6</v>
      </c>
      <c r="AF135" s="53">
        <f>IFERROR(__xludf.DUMMYFUNCTION("IFERROR(N135+IF(S135&gt;=1.2,1,0)+IF(U135&gt;=1,1,0)+IF(Z135&gt;0,1,0)+IF(AND(W135&gt;=-20,W135&lt;=0),1,0)+IF(IFERROR(GOOGLEFINANCE(A135,""eps""),0)&gt;0,1,0),"""")"),4.0)</f>
        <v>4</v>
      </c>
      <c r="AG135" s="53" t="str">
        <f t="shared" si="17"/>
        <v>REVERSE TRADE</v>
      </c>
    </row>
    <row r="136" ht="15.0" customHeight="1">
      <c r="A136" s="43" t="s">
        <v>293</v>
      </c>
      <c r="B136" s="44">
        <f>IFERROR(__xludf.DUMMYFUNCTION("GOOGLEFINANCE(A136,""price"")"),353.0)</f>
        <v>353</v>
      </c>
      <c r="C136" s="45">
        <f>IFERROR(__xludf.DUMMYFUNCTION("AVERAGE(QUERY(SORT(GOOGLEFINANCE(A136,""price"",TODAY()-150,TODAY()),1,0),""select Col2 limit 50""))"),404.7380000000001)</f>
        <v>404.738</v>
      </c>
      <c r="D136" s="45">
        <f>IFERROR(__xludf.DUMMYFUNCTION("AVERAGE(QUERY(SORT(GOOGLEFINANCE(A136,""price"",TODAY()-300,TODAY()),1,0),""select Col2 limit 100""))"),415.74940000000015)</f>
        <v>415.7494</v>
      </c>
      <c r="E136" s="45">
        <f>IFERROR(__xludf.DUMMYFUNCTION("AVERAGE(QUERY(SORT(GOOGLEFINANCE(A136,""price"",TODAY()-500,TODAY()),1,0),""select Col2 limit 200""))"),416.2716000000002)</f>
        <v>416.2716</v>
      </c>
      <c r="F136" s="46" t="str">
        <f t="shared" si="1"/>
        <v>In Bear Run</v>
      </c>
      <c r="G136" s="47">
        <f t="shared" si="2"/>
        <v>-15.19959565</v>
      </c>
      <c r="H136" s="48" t="str">
        <f t="shared" si="3"/>
        <v>Inverted ✗</v>
      </c>
      <c r="I136" s="48">
        <f t="shared" si="4"/>
        <v>0</v>
      </c>
      <c r="J136" s="48">
        <f t="shared" si="5"/>
        <v>0</v>
      </c>
      <c r="K136" s="49" t="str">
        <f>IFERROR(__xludf.DUMMYFUNCTION("IFERROR(IF(A136="""",""ENTER STOCK"",LET(stock,A136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36" s="48">
        <f t="shared" si="6"/>
        <v>0</v>
      </c>
      <c r="M136" s="48">
        <f t="shared" si="7"/>
        <v>1</v>
      </c>
      <c r="N136" s="50">
        <f t="shared" si="8"/>
        <v>1</v>
      </c>
      <c r="O136" s="51" t="s">
        <v>236</v>
      </c>
      <c r="P136" s="46" t="str">
        <f t="shared" si="9"/>
        <v>REVERSE TRADE</v>
      </c>
      <c r="Q136" s="52"/>
      <c r="R136" s="53">
        <f t="shared" si="10"/>
        <v>15</v>
      </c>
      <c r="S136" s="53">
        <f>IFERROR(__xludf.DUMMYFUNCTION("IFERROR(ROUND(GOOGLEFINANCE(A136,""volume"")/GOOGLEFINANCE(A136,""volumeavg""),2),"""")"),2.38)</f>
        <v>2.38</v>
      </c>
      <c r="T136" s="53" t="str">
        <f t="shared" si="11"/>
        <v>HIGH VOL</v>
      </c>
      <c r="U136" s="53">
        <f>IFERROR(__xludf.DUMMYFUNCTION("IFERROR(
  LET(
    sd, GOOGLEFINANCE(A136,""close"",TODAY()-100,TODAY()),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"""")"),1.01)</f>
        <v>1.01</v>
      </c>
      <c r="V136" s="53" t="str">
        <f t="shared" si="12"/>
        <v>MEDIUM</v>
      </c>
      <c r="W136" s="53">
        <f>IFERROR(__xludf.DUMMYFUNCTION("IFERROR(ROUND((B136/GOOGLEFINANCE(A136,""high52"")-1)*100,1),"""")"),-23.3)</f>
        <v>-23.3</v>
      </c>
      <c r="X136" s="53">
        <f>IFERROR(__xludf.DUMMYFUNCTION("IFERROR(ROUND((B136-GOOGLEFINANCE(A136,""low52""))/(GOOGLEFINANCE(A136,""high52"")-GOOGLEFINANCE(A136,""low52""))*100,1),"""")"),1.2)</f>
        <v>1.2</v>
      </c>
      <c r="Y136" s="53" t="str">
        <f t="shared" si="13"/>
        <v>MID</v>
      </c>
      <c r="Z136" s="53">
        <f>IFERROR(__xludf.DUMMYFUNCTION("IFERROR(ROUND(((B136 / INDEX(GOOGLEFINANCE(TRIM(A136), ""price"", TODAY()-34, TODAY()), 2, 2)) - (GOOGLEFINANCE(""NIFTY_50"") / INDEX(GOOGLEFINANCE(""NIFTY_50"", ""price"", TODAY()-34, TODAY()), 2, 2))) * 100, 2), ""Check History"")"),-5.3)</f>
        <v>-5.3</v>
      </c>
      <c r="AA136" s="53" t="str">
        <f t="shared" si="14"/>
        <v>WEAK RS</v>
      </c>
      <c r="AB136" s="53">
        <f>IFERROR(__xludf.DUMMYFUNCTION("IFERROR(LET(
  p, QUERY(GOOGLEFINANCE(TRIM(A136),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Loading"")"),38.3)</f>
        <v>38.3</v>
      </c>
      <c r="AC136" s="53" t="str">
        <f t="shared" si="15"/>
        <v>WEAK MOM</v>
      </c>
      <c r="AD136" s="53" t="str">
        <f>IFERROR(__xludf.DUMMYFUNCTION("IFERROR(IF(GOOGLEFINANCE(A136,""eps"")&gt;0,""EPS+"",""EPS-""),"""")"),"EPS+")</f>
        <v>EPS+</v>
      </c>
      <c r="AE136" s="53">
        <f t="shared" si="16"/>
        <v>5</v>
      </c>
      <c r="AF136" s="53">
        <f>IFERROR(__xludf.DUMMYFUNCTION("IFERROR(N136+IF(S136&gt;=1.2,1,0)+IF(U136&gt;=1,1,0)+IF(Z136&gt;0,1,0)+IF(AND(W136&gt;=-20,W136&lt;=0),1,0)+IF(IFERROR(GOOGLEFINANCE(A136,""eps""),0)&gt;0,1,0),"""")"),4.0)</f>
        <v>4</v>
      </c>
      <c r="AG136" s="53" t="str">
        <f t="shared" si="17"/>
        <v>REVERSE TRADE</v>
      </c>
    </row>
    <row r="137" ht="15.0" customHeight="1">
      <c r="A137" s="43" t="s">
        <v>294</v>
      </c>
      <c r="B137" s="44">
        <f>IFERROR(__xludf.DUMMYFUNCTION("GOOGLEFINANCE(A137,""price"")"),472.0)</f>
        <v>472</v>
      </c>
      <c r="C137" s="45">
        <f>IFERROR(__xludf.DUMMYFUNCTION("AVERAGE(QUERY(SORT(GOOGLEFINANCE(A137,""price"",TODAY()-150,TODAY()),1,0),""select Col2 limit 50""))"),484.05499999999995)</f>
        <v>484.055</v>
      </c>
      <c r="D137" s="45">
        <f>IFERROR(__xludf.DUMMYFUNCTION("AVERAGE(QUERY(SORT(GOOGLEFINANCE(A137,""price"",TODAY()-300,TODAY()),1,0),""select Col2 limit 100""))"),488.93399999999997)</f>
        <v>488.934</v>
      </c>
      <c r="E137" s="45">
        <f>IFERROR(__xludf.DUMMYFUNCTION("AVERAGE(QUERY(SORT(GOOGLEFINANCE(A137,""price"",TODAY()-500,TODAY()),1,0),""select Col2 limit 200""))"),507.0122500000002)</f>
        <v>507.01225</v>
      </c>
      <c r="F137" s="46" t="str">
        <f t="shared" si="1"/>
        <v>In Bear Run</v>
      </c>
      <c r="G137" s="47">
        <f t="shared" si="2"/>
        <v>-6.905602379</v>
      </c>
      <c r="H137" s="48" t="str">
        <f t="shared" si="3"/>
        <v>Inverted ✗</v>
      </c>
      <c r="I137" s="48">
        <f t="shared" si="4"/>
        <v>0</v>
      </c>
      <c r="J137" s="48">
        <f t="shared" si="5"/>
        <v>0</v>
      </c>
      <c r="K137" s="49" t="str">
        <f>IFERROR(__xludf.DUMMYFUNCTION("IFERROR(IF(A137="""",""ENTER STOCK"",LET(stock,A137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37" s="48">
        <f t="shared" si="6"/>
        <v>0</v>
      </c>
      <c r="M137" s="48">
        <f t="shared" si="7"/>
        <v>1</v>
      </c>
      <c r="N137" s="50">
        <f t="shared" si="8"/>
        <v>1</v>
      </c>
      <c r="O137" s="51" t="s">
        <v>295</v>
      </c>
      <c r="P137" s="46" t="str">
        <f t="shared" si="9"/>
        <v>REVERSE TRADE</v>
      </c>
      <c r="Q137" s="52"/>
      <c r="R137" s="53">
        <f t="shared" si="10"/>
        <v>15</v>
      </c>
      <c r="S137" s="53">
        <f>IFERROR(__xludf.DUMMYFUNCTION("IFERROR(ROUND(GOOGLEFINANCE(A137,""volume"")/GOOGLEFINANCE(A137,""volumeavg""),2),"""")"),1.28)</f>
        <v>1.28</v>
      </c>
      <c r="T137" s="53" t="str">
        <f t="shared" si="11"/>
        <v>OK VOL</v>
      </c>
      <c r="U137" s="53">
        <f>IFERROR(__xludf.DUMMYFUNCTION("IFERROR(
  LET(
    sd, GOOGLEFINANCE(A137,""close"",TODAY()-100,TODAY()),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"""")"),0.4)</f>
        <v>0.4</v>
      </c>
      <c r="V137" s="53" t="str">
        <f t="shared" si="12"/>
        <v>SLOW</v>
      </c>
      <c r="W137" s="53">
        <f>IFERROR(__xludf.DUMMYFUNCTION("IFERROR(ROUND((B137/GOOGLEFINANCE(A137,""high52"")-1)*100,1),"""")"),-15.3)</f>
        <v>-15.3</v>
      </c>
      <c r="X137" s="53">
        <f>IFERROR(__xludf.DUMMYFUNCTION("IFERROR(ROUND((B137-GOOGLEFINANCE(A137,""low52""))/(GOOGLEFINANCE(A137,""high52"")-GOOGLEFINANCE(A137,""low52""))*100,1),"""")"),34.1)</f>
        <v>34.1</v>
      </c>
      <c r="Y137" s="53" t="str">
        <f t="shared" si="13"/>
        <v>UPPER</v>
      </c>
      <c r="Z137" s="53">
        <f>IFERROR(__xludf.DUMMYFUNCTION("IFERROR(ROUND(((B137 / INDEX(GOOGLEFINANCE(TRIM(A137), ""price"", TODAY()-34, TODAY()), 2, 2)) - (GOOGLEFINANCE(""NIFTY_50"") / INDEX(GOOGLEFINANCE(""NIFTY_50"", ""price"", TODAY()-34, TODAY()), 2, 2))) * 100, 2), ""Check History"")"),8.44)</f>
        <v>8.44</v>
      </c>
      <c r="AA137" s="53" t="str">
        <f t="shared" si="14"/>
        <v>STRONG RS</v>
      </c>
      <c r="AB137" s="53">
        <f>IFERROR(__xludf.DUMMYFUNCTION("IFERROR(LET(
  p, QUERY(GOOGLEFINANCE(TRIM(A137),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Loading"")"),47.0)</f>
        <v>47</v>
      </c>
      <c r="AC137" s="53" t="str">
        <f t="shared" si="15"/>
        <v>IDEAL ENTRY</v>
      </c>
      <c r="AD137" s="53" t="str">
        <f>IFERROR(__xludf.DUMMYFUNCTION("IFERROR(IF(GOOGLEFINANCE(A137,""eps"")&gt;0,""EPS+"",""EPS-""),"""")"),"EPS+")</f>
        <v>EPS+</v>
      </c>
      <c r="AE137" s="53">
        <f t="shared" si="16"/>
        <v>4</v>
      </c>
      <c r="AF137" s="53">
        <f>IFERROR(__xludf.DUMMYFUNCTION("IFERROR(N137+IF(S137&gt;=1.2,1,0)+IF(U137&gt;=1,1,0)+IF(Z137&gt;0,1,0)+IF(AND(W137&gt;=-20,W137&lt;=0),1,0)+IF(IFERROR(GOOGLEFINANCE(A137,""eps""),0)&gt;0,1,0),"""")"),5.0)</f>
        <v>5</v>
      </c>
      <c r="AG137" s="53" t="str">
        <f t="shared" si="17"/>
        <v>REVERSE TRADE</v>
      </c>
    </row>
    <row r="138" ht="15.0" customHeight="1">
      <c r="A138" s="43" t="s">
        <v>296</v>
      </c>
      <c r="B138" s="44">
        <f>IFERROR(__xludf.DUMMYFUNCTION("GOOGLEFINANCE(A138,""price"")"),4000.0)</f>
        <v>4000</v>
      </c>
      <c r="C138" s="45">
        <f>IFERROR(__xludf.DUMMYFUNCTION("AVERAGE(QUERY(SORT(GOOGLEFINANCE(A138,""price"",TODAY()-150,TODAY()),1,0),""select Col2 limit 50""))"),3831.216000000001)</f>
        <v>3831.216</v>
      </c>
      <c r="D138" s="45">
        <f>IFERROR(__xludf.DUMMYFUNCTION("AVERAGE(QUERY(SORT(GOOGLEFINANCE(A138,""price"",TODAY()-300,TODAY()),1,0),""select Col2 limit 100""))"),3868.8879999999995)</f>
        <v>3868.888</v>
      </c>
      <c r="E138" s="45">
        <f>IFERROR(__xludf.DUMMYFUNCTION("AVERAGE(QUERY(SORT(GOOGLEFINANCE(A138,""price"",TODAY()-500,TODAY()),1,0),""select Col2 limit 200""))"),4111.3600000000015)</f>
        <v>4111.36</v>
      </c>
      <c r="F138" s="46" t="str">
        <f t="shared" si="1"/>
        <v>Unconfirmed</v>
      </c>
      <c r="G138" s="47">
        <f t="shared" si="2"/>
        <v>-2.708592777</v>
      </c>
      <c r="H138" s="48" t="str">
        <f t="shared" si="3"/>
        <v>Inverted ✗</v>
      </c>
      <c r="I138" s="48">
        <f t="shared" si="4"/>
        <v>0</v>
      </c>
      <c r="J138" s="48">
        <f t="shared" si="5"/>
        <v>0</v>
      </c>
      <c r="K138" s="49" t="str">
        <f>IFERROR(__xludf.DUMMYFUNCTION("IFERROR(IF(A138="""",""ENTER STOCK"",LET(stock,A138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38" s="48">
        <f t="shared" si="6"/>
        <v>0</v>
      </c>
      <c r="M138" s="48">
        <f t="shared" si="7"/>
        <v>1</v>
      </c>
      <c r="N138" s="50">
        <f t="shared" si="8"/>
        <v>1</v>
      </c>
      <c r="O138" s="51" t="s">
        <v>145</v>
      </c>
      <c r="P138" s="46" t="str">
        <f t="shared" si="9"/>
        <v>WAIT</v>
      </c>
      <c r="Q138" s="52"/>
      <c r="R138" s="53">
        <f t="shared" si="10"/>
        <v>15</v>
      </c>
      <c r="S138" s="53">
        <f>IFERROR(__xludf.DUMMYFUNCTION("IFERROR(ROUND(GOOGLEFINANCE(A138,""volume"")/GOOGLEFINANCE(A138,""volumeavg""),2),"""")"),3.97)</f>
        <v>3.97</v>
      </c>
      <c r="T138" s="53" t="str">
        <f t="shared" si="11"/>
        <v>HIGH VOL</v>
      </c>
      <c r="U138" s="53">
        <f>IFERROR(__xludf.DUMMYFUNCTION("IFERROR(
  LET(
    sd, GOOGLEFINANCE(A138,""close"",TODAY()-100,TODAY()),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"""")"),0.66)</f>
        <v>0.66</v>
      </c>
      <c r="V138" s="53" t="str">
        <f t="shared" si="12"/>
        <v>SLOW</v>
      </c>
      <c r="W138" s="53">
        <f>IFERROR(__xludf.DUMMYFUNCTION("IFERROR(ROUND((B138/GOOGLEFINANCE(A138,""high52"")-1)*100,1),"""")"),-19.2)</f>
        <v>-19.2</v>
      </c>
      <c r="X138" s="53">
        <f>IFERROR(__xludf.DUMMYFUNCTION("IFERROR(ROUND((B138-GOOGLEFINANCE(A138,""low52""))/(GOOGLEFINANCE(A138,""high52"")-GOOGLEFINANCE(A138,""low52""))*100,1),"""")"),33.2)</f>
        <v>33.2</v>
      </c>
      <c r="Y138" s="53" t="str">
        <f t="shared" si="13"/>
        <v>UPPER</v>
      </c>
      <c r="Z138" s="53">
        <f>IFERROR(__xludf.DUMMYFUNCTION("IFERROR(ROUND(((B138 / INDEX(GOOGLEFINANCE(TRIM(A138), ""price"", TODAY()-34, TODAY()), 2, 2)) - (GOOGLEFINANCE(""NIFTY_50"") / INDEX(GOOGLEFINANCE(""NIFTY_50"", ""price"", TODAY()-34, TODAY()), 2, 2))) * 100, 2), ""Check History"")"),16.08)</f>
        <v>16.08</v>
      </c>
      <c r="AA138" s="53" t="str">
        <f t="shared" si="14"/>
        <v>STRONG RS</v>
      </c>
      <c r="AB138" s="53">
        <f>IFERROR(__xludf.DUMMYFUNCTION("IFERROR(LET(
  p, QUERY(GOOGLEFINANCE(TRIM(A138),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Loading"")"),63.7)</f>
        <v>63.7</v>
      </c>
      <c r="AC138" s="53" t="str">
        <f t="shared" si="15"/>
        <v>IDEAL ENTRY</v>
      </c>
      <c r="AD138" s="53" t="str">
        <f>IFERROR(__xludf.DUMMYFUNCTION("IFERROR(IF(GOOGLEFINANCE(A138,""eps"")&gt;0,""EPS+"",""EPS-""),"""")"),"EPS+")</f>
        <v>EPS+</v>
      </c>
      <c r="AE138" s="53">
        <f t="shared" si="16"/>
        <v>6</v>
      </c>
      <c r="AF138" s="53">
        <f>IFERROR(__xludf.DUMMYFUNCTION("IFERROR(N138+IF(S138&gt;=1.2,1,0)+IF(U138&gt;=1,1,0)+IF(Z138&gt;0,1,0)+IF(AND(W138&gt;=-20,W138&lt;=0),1,0)+IF(IFERROR(GOOGLEFINANCE(A138,""eps""),0)&gt;0,1,0),"""")"),5.0)</f>
        <v>5</v>
      </c>
      <c r="AG138" s="53" t="str">
        <f t="shared" si="17"/>
        <v>WAIT</v>
      </c>
    </row>
    <row r="139" ht="15.0" customHeight="1">
      <c r="A139" s="43" t="s">
        <v>297</v>
      </c>
      <c r="B139" s="44">
        <f>IFERROR(__xludf.DUMMYFUNCTION("GOOGLEFINANCE(A139,""price"")"),878.9)</f>
        <v>878.9</v>
      </c>
      <c r="C139" s="45">
        <f>IFERROR(__xludf.DUMMYFUNCTION("AVERAGE(QUERY(SORT(GOOGLEFINANCE(A139,""price"",TODAY()-150,TODAY()),1,0),""select Col2 limit 50""))"),898.4760000000002)</f>
        <v>898.476</v>
      </c>
      <c r="D139" s="45">
        <f>IFERROR(__xludf.DUMMYFUNCTION("AVERAGE(QUERY(SORT(GOOGLEFINANCE(A139,""price"",TODAY()-300,TODAY()),1,0),""select Col2 limit 100""))"),913.0094999999998)</f>
        <v>913.0095</v>
      </c>
      <c r="E139" s="45">
        <f>IFERROR(__xludf.DUMMYFUNCTION("AVERAGE(QUERY(SORT(GOOGLEFINANCE(A139,""price"",TODAY()-500,TODAY()),1,0),""select Col2 limit 200""))"),951.0334999999997)</f>
        <v>951.0335</v>
      </c>
      <c r="F139" s="46" t="str">
        <f t="shared" si="1"/>
        <v>In Bear Run</v>
      </c>
      <c r="G139" s="47">
        <f t="shared" si="2"/>
        <v>-7.584748592</v>
      </c>
      <c r="H139" s="48" t="str">
        <f t="shared" si="3"/>
        <v>Inverted ✗</v>
      </c>
      <c r="I139" s="48">
        <f t="shared" si="4"/>
        <v>0</v>
      </c>
      <c r="J139" s="48">
        <f t="shared" si="5"/>
        <v>0</v>
      </c>
      <c r="K139" s="49" t="str">
        <f>IFERROR(__xludf.DUMMYFUNCTION("IFERROR(IF(A139="""",""ENTER STOCK"",LET(stock,A139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39" s="48">
        <f t="shared" si="6"/>
        <v>0</v>
      </c>
      <c r="M139" s="48">
        <f t="shared" si="7"/>
        <v>1</v>
      </c>
      <c r="N139" s="50">
        <f t="shared" si="8"/>
        <v>1</v>
      </c>
      <c r="O139" s="51" t="s">
        <v>255</v>
      </c>
      <c r="P139" s="46" t="str">
        <f t="shared" si="9"/>
        <v>REVERSE TRADE</v>
      </c>
      <c r="Q139" s="52"/>
      <c r="R139" s="53">
        <f t="shared" si="10"/>
        <v>15</v>
      </c>
      <c r="S139" s="53">
        <f>IFERROR(__xludf.DUMMYFUNCTION("IFERROR(ROUND(GOOGLEFINANCE(A139,""volume"")/GOOGLEFINANCE(A139,""volumeavg""),2),"""")"),2.0)</f>
        <v>2</v>
      </c>
      <c r="T139" s="53" t="str">
        <f t="shared" si="11"/>
        <v>HIGH VOL</v>
      </c>
      <c r="U139" s="53">
        <f>IFERROR(__xludf.DUMMYFUNCTION("IFERROR(
  LET(
    sd, GOOGLEFINANCE(A139,""close"",TODAY()-100,TODAY()),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"""")"),0.89)</f>
        <v>0.89</v>
      </c>
      <c r="V139" s="53" t="str">
        <f t="shared" si="12"/>
        <v>SLOW</v>
      </c>
      <c r="W139" s="53">
        <f>IFERROR(__xludf.DUMMYFUNCTION("IFERROR(ROUND((B139/GOOGLEFINANCE(A139,""high52"")-1)*100,1),"""")"),-17.0)</f>
        <v>-17</v>
      </c>
      <c r="X139" s="53">
        <f>IFERROR(__xludf.DUMMYFUNCTION("IFERROR(ROUND((B139-GOOGLEFINANCE(A139,""low52""))/(GOOGLEFINANCE(A139,""high52"")-GOOGLEFINANCE(A139,""low52""))*100,1),"""")"),31.8)</f>
        <v>31.8</v>
      </c>
      <c r="Y139" s="53" t="str">
        <f t="shared" si="13"/>
        <v>UPPER</v>
      </c>
      <c r="Z139" s="53">
        <f>IFERROR(__xludf.DUMMYFUNCTION("IFERROR(ROUND(((B139 / INDEX(GOOGLEFINANCE(TRIM(A139), ""price"", TODAY()-34, TODAY()), 2, 2)) - (GOOGLEFINANCE(""NIFTY_50"") / INDEX(GOOGLEFINANCE(""NIFTY_50"", ""price"", TODAY()-34, TODAY()), 2, 2))) * 100, 2), ""Check History"")"),9.41)</f>
        <v>9.41</v>
      </c>
      <c r="AA139" s="53" t="str">
        <f t="shared" si="14"/>
        <v>STRONG RS</v>
      </c>
      <c r="AB139" s="53">
        <f>IFERROR(__xludf.DUMMYFUNCTION("IFERROR(LET(
  p, QUERY(GOOGLEFINANCE(TRIM(A139),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Loading"")"),48.0)</f>
        <v>48</v>
      </c>
      <c r="AC139" s="53" t="str">
        <f t="shared" si="15"/>
        <v>IDEAL ENTRY</v>
      </c>
      <c r="AD139" s="53" t="str">
        <f>IFERROR(__xludf.DUMMYFUNCTION("IFERROR(IF(GOOGLEFINANCE(A139,""eps"")&gt;0,""EPS+"",""EPS-""),"""")"),"EPS+")</f>
        <v>EPS+</v>
      </c>
      <c r="AE139" s="53">
        <f t="shared" si="16"/>
        <v>6</v>
      </c>
      <c r="AF139" s="53">
        <f>IFERROR(__xludf.DUMMYFUNCTION("IFERROR(N139+IF(S139&gt;=1.2,1,0)+IF(U139&gt;=1,1,0)+IF(Z139&gt;0,1,0)+IF(AND(W139&gt;=-20,W139&lt;=0),1,0)+IF(IFERROR(GOOGLEFINANCE(A139,""eps""),0)&gt;0,1,0),"""")"),5.0)</f>
        <v>5</v>
      </c>
      <c r="AG139" s="53" t="str">
        <f t="shared" si="17"/>
        <v>REVERSE TRADE</v>
      </c>
    </row>
    <row r="140" ht="15.0" customHeight="1">
      <c r="A140" s="43" t="s">
        <v>298</v>
      </c>
      <c r="B140" s="44">
        <f>IFERROR(__xludf.DUMMYFUNCTION("GOOGLEFINANCE(A140,""price"")"),1789.2)</f>
        <v>1789.2</v>
      </c>
      <c r="C140" s="45">
        <f>IFERROR(__xludf.DUMMYFUNCTION("AVERAGE(QUERY(SORT(GOOGLEFINANCE(A140,""price"",TODAY()-150,TODAY()),1,0),""select Col2 limit 50""))"),1931.6139999999994)</f>
        <v>1931.614</v>
      </c>
      <c r="D140" s="45">
        <f>IFERROR(__xludf.DUMMYFUNCTION("AVERAGE(QUERY(SORT(GOOGLEFINANCE(A140,""price"",TODAY()-300,TODAY()),1,0),""select Col2 limit 100""))"),2013.9569999999999)</f>
        <v>2013.957</v>
      </c>
      <c r="E140" s="45">
        <f>IFERROR(__xludf.DUMMYFUNCTION("AVERAGE(QUERY(SORT(GOOGLEFINANCE(A140,""price"",TODAY()-500,TODAY()),1,0),""select Col2 limit 200""))"),1975.0945000000002)</f>
        <v>1975.0945</v>
      </c>
      <c r="F140" s="46" t="str">
        <f t="shared" si="1"/>
        <v>In Bear Run</v>
      </c>
      <c r="G140" s="47">
        <f t="shared" si="2"/>
        <v>-9.411929404</v>
      </c>
      <c r="H140" s="48" t="str">
        <f t="shared" si="3"/>
        <v>Inverted ✗</v>
      </c>
      <c r="I140" s="48">
        <f t="shared" si="4"/>
        <v>0</v>
      </c>
      <c r="J140" s="48">
        <f t="shared" si="5"/>
        <v>0</v>
      </c>
      <c r="K140" s="49" t="str">
        <f>IFERROR(__xludf.DUMMYFUNCTION("IFERROR(IF(A140="""",""ENTER STOCK"",LET(stock,A140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40" s="48">
        <f t="shared" si="6"/>
        <v>0</v>
      </c>
      <c r="M140" s="48">
        <f t="shared" si="7"/>
        <v>1</v>
      </c>
      <c r="N140" s="50">
        <f t="shared" si="8"/>
        <v>1</v>
      </c>
      <c r="O140" s="51" t="s">
        <v>230</v>
      </c>
      <c r="P140" s="46" t="str">
        <f t="shared" si="9"/>
        <v>REVERSE TRADE</v>
      </c>
      <c r="Q140" s="52"/>
      <c r="R140" s="53">
        <f t="shared" si="10"/>
        <v>15</v>
      </c>
      <c r="S140" s="53">
        <f>IFERROR(__xludf.DUMMYFUNCTION("IFERROR(ROUND(GOOGLEFINANCE(A140,""volume"")/GOOGLEFINANCE(A140,""volumeavg""),2),"""")"),1.6)</f>
        <v>1.6</v>
      </c>
      <c r="T140" s="53" t="str">
        <f t="shared" si="11"/>
        <v>HIGH VOL</v>
      </c>
      <c r="U140" s="53">
        <f>IFERROR(__xludf.DUMMYFUNCTION("IFERROR(
  LET(
    sd, GOOGLEFINANCE(A140,""close"",TODAY()-100,TODAY()),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"""")"),0.6)</f>
        <v>0.6</v>
      </c>
      <c r="V140" s="53" t="str">
        <f t="shared" si="12"/>
        <v>SLOW</v>
      </c>
      <c r="W140" s="53">
        <f>IFERROR(__xludf.DUMMYFUNCTION("IFERROR(ROUND((B140/GOOGLEFINANCE(A140,""high52"")-1)*100,1),"""")"),-17.7)</f>
        <v>-17.7</v>
      </c>
      <c r="X140" s="53">
        <f>IFERROR(__xludf.DUMMYFUNCTION("IFERROR(ROUND((B140-GOOGLEFINANCE(A140,""low52""))/(GOOGLEFINANCE(A140,""high52"")-GOOGLEFINANCE(A140,""low52""))*100,1),"""")"),23.7)</f>
        <v>23.7</v>
      </c>
      <c r="Y140" s="53" t="str">
        <f t="shared" si="13"/>
        <v>UPPER</v>
      </c>
      <c r="Z140" s="53">
        <f>IFERROR(__xludf.DUMMYFUNCTION("IFERROR(ROUND(((B140 / INDEX(GOOGLEFINANCE(TRIM(A140), ""price"", TODAY()-34, TODAY()), 2, 2)) - (GOOGLEFINANCE(""NIFTY_50"") / INDEX(GOOGLEFINANCE(""NIFTY_50"", ""price"", TODAY()-34, TODAY()), 2, 2))) * 100, 2), ""Check History"")"),4.35)</f>
        <v>4.35</v>
      </c>
      <c r="AA140" s="53" t="str">
        <f t="shared" si="14"/>
        <v>MILD RS</v>
      </c>
      <c r="AB140" s="53">
        <f>IFERROR(__xludf.DUMMYFUNCTION("IFERROR(LET(
  p, QUERY(GOOGLEFINANCE(TRIM(A140),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Loading"")"),38.2)</f>
        <v>38.2</v>
      </c>
      <c r="AC140" s="53" t="str">
        <f t="shared" si="15"/>
        <v>WEAK MOM</v>
      </c>
      <c r="AD140" s="53" t="str">
        <f>IFERROR(__xludf.DUMMYFUNCTION("IFERROR(IF(GOOGLEFINANCE(A140,""eps"")&gt;0,""EPS+"",""EPS-""),"""")"),"EPS+")</f>
        <v>EPS+</v>
      </c>
      <c r="AE140" s="53">
        <f t="shared" si="16"/>
        <v>5</v>
      </c>
      <c r="AF140" s="53">
        <f>IFERROR(__xludf.DUMMYFUNCTION("IFERROR(N140+IF(S140&gt;=1.2,1,0)+IF(U140&gt;=1,1,0)+IF(Z140&gt;0,1,0)+IF(AND(W140&gt;=-20,W140&lt;=0),1,0)+IF(IFERROR(GOOGLEFINANCE(A140,""eps""),0)&gt;0,1,0),"""")"),5.0)</f>
        <v>5</v>
      </c>
      <c r="AG140" s="53" t="str">
        <f t="shared" si="17"/>
        <v>REVERSE TRADE</v>
      </c>
    </row>
    <row r="141" ht="15.0" customHeight="1">
      <c r="A141" s="43" t="s">
        <v>299</v>
      </c>
      <c r="B141" s="44">
        <f>IFERROR(__xludf.DUMMYFUNCTION("GOOGLEFINANCE(A141,""price"")"),511.05)</f>
        <v>511.05</v>
      </c>
      <c r="C141" s="45">
        <f>IFERROR(__xludf.DUMMYFUNCTION("AVERAGE(QUERY(SORT(GOOGLEFINANCE(A141,""price"",TODAY()-150,TODAY()),1,0),""select Col2 limit 50""))"),624.1809999999998)</f>
        <v>624.181</v>
      </c>
      <c r="D141" s="45">
        <f>IFERROR(__xludf.DUMMYFUNCTION("AVERAGE(QUERY(SORT(GOOGLEFINANCE(A141,""price"",TODAY()-300,TODAY()),1,0),""select Col2 limit 100""))"),631.4014999999998)</f>
        <v>631.4015</v>
      </c>
      <c r="E141" s="45">
        <f>IFERROR(__xludf.DUMMYFUNCTION("AVERAGE(QUERY(SORT(GOOGLEFINANCE(A141,""price"",TODAY()-500,TODAY()),1,0),""select Col2 limit 200""))"),625.1614999999998)</f>
        <v>625.1615</v>
      </c>
      <c r="F141" s="46" t="str">
        <f t="shared" si="1"/>
        <v>In Bear Run</v>
      </c>
      <c r="G141" s="47">
        <f t="shared" si="2"/>
        <v>-18.25312339</v>
      </c>
      <c r="H141" s="48" t="str">
        <f t="shared" si="3"/>
        <v>Inverted ✗</v>
      </c>
      <c r="I141" s="48">
        <f t="shared" si="4"/>
        <v>0</v>
      </c>
      <c r="J141" s="48">
        <f t="shared" si="5"/>
        <v>0</v>
      </c>
      <c r="K141" s="49" t="str">
        <f>IFERROR(__xludf.DUMMYFUNCTION("IFERROR(IF(A141="""",""ENTER STOCK"",LET(stock,A141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41" s="48">
        <f t="shared" si="6"/>
        <v>0</v>
      </c>
      <c r="M141" s="48">
        <f t="shared" si="7"/>
        <v>1</v>
      </c>
      <c r="N141" s="50">
        <f t="shared" si="8"/>
        <v>1</v>
      </c>
      <c r="O141" s="51" t="s">
        <v>147</v>
      </c>
      <c r="P141" s="46" t="str">
        <f t="shared" si="9"/>
        <v>REVERSE TRADE</v>
      </c>
      <c r="Q141" s="52"/>
      <c r="R141" s="53">
        <f t="shared" si="10"/>
        <v>15</v>
      </c>
      <c r="S141" s="53">
        <f>IFERROR(__xludf.DUMMYFUNCTION("IFERROR(ROUND(GOOGLEFINANCE(A141,""volume"")/GOOGLEFINANCE(A141,""volumeavg""),2),"""")"),2.29)</f>
        <v>2.29</v>
      </c>
      <c r="T141" s="53" t="str">
        <f t="shared" si="11"/>
        <v>HIGH VOL</v>
      </c>
      <c r="U141" s="53">
        <f>IFERROR(__xludf.DUMMYFUNCTION("IFERROR(
  LET(
    sd, GOOGLEFINANCE(A141,""close"",TODAY()-100,TODAY()),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"""")"),0.9)</f>
        <v>0.9</v>
      </c>
      <c r="V141" s="53" t="str">
        <f t="shared" si="12"/>
        <v>MEDIUM</v>
      </c>
      <c r="W141" s="53">
        <f>IFERROR(__xludf.DUMMYFUNCTION("IFERROR(ROUND((B141/GOOGLEFINANCE(A141,""high52"")-1)*100,1),"""")"),-27.7)</f>
        <v>-27.7</v>
      </c>
      <c r="X141" s="53">
        <f>IFERROR(__xludf.DUMMYFUNCTION("IFERROR(ROUND((B141-GOOGLEFINANCE(A141,""low52""))/(GOOGLEFINANCE(A141,""high52"")-GOOGLEFINANCE(A141,""low52""))*100,1),"""")"),2.4)</f>
        <v>2.4</v>
      </c>
      <c r="Y141" s="53" t="str">
        <f t="shared" si="13"/>
        <v>MID</v>
      </c>
      <c r="Z141" s="53">
        <f>IFERROR(__xludf.DUMMYFUNCTION("IFERROR(ROUND(((B141 / INDEX(GOOGLEFINANCE(TRIM(A141), ""price"", TODAY()-34, TODAY()), 2, 2)) - (GOOGLEFINANCE(""NIFTY_50"") / INDEX(GOOGLEFINANCE(""NIFTY_50"", ""price"", TODAY()-34, TODAY()), 2, 2))) * 100, 2), ""Check History"")"),-10.57)</f>
        <v>-10.57</v>
      </c>
      <c r="AA141" s="53" t="str">
        <f t="shared" si="14"/>
        <v>WEAK RS</v>
      </c>
      <c r="AB141" s="53">
        <f>IFERROR(__xludf.DUMMYFUNCTION("IFERROR(LET(
  p, QUERY(GOOGLEFINANCE(TRIM(A141),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Loading"")"),22.9)</f>
        <v>22.9</v>
      </c>
      <c r="AC141" s="53" t="str">
        <f t="shared" si="15"/>
        <v>WEAK MOM</v>
      </c>
      <c r="AD141" s="53" t="str">
        <f>IFERROR(__xludf.DUMMYFUNCTION("IFERROR(IF(GOOGLEFINANCE(A141,""eps"")&gt;0,""EPS+"",""EPS-""),"""")"),"EPS+")</f>
        <v>EPS+</v>
      </c>
      <c r="AE141" s="53">
        <f t="shared" si="16"/>
        <v>5</v>
      </c>
      <c r="AF141" s="53">
        <f>IFERROR(__xludf.DUMMYFUNCTION("IFERROR(N141+IF(S141&gt;=1.2,1,0)+IF(U141&gt;=1,1,0)+IF(Z141&gt;0,1,0)+IF(AND(W141&gt;=-20,W141&lt;=0),1,0)+IF(IFERROR(GOOGLEFINANCE(A141,""eps""),0)&gt;0,1,0),"""")"),3.0)</f>
        <v>3</v>
      </c>
      <c r="AG141" s="53" t="str">
        <f t="shared" si="17"/>
        <v>REVERSE TRADE</v>
      </c>
    </row>
    <row r="142" ht="15.0" customHeight="1">
      <c r="A142" s="43" t="s">
        <v>300</v>
      </c>
      <c r="B142" s="44">
        <f>IFERROR(__xludf.DUMMYFUNCTION("GOOGLEFINANCE(A142,""price"")"),10800.0)</f>
        <v>10800</v>
      </c>
      <c r="C142" s="45">
        <f>IFERROR(__xludf.DUMMYFUNCTION("AVERAGE(QUERY(SORT(GOOGLEFINANCE(A142,""price"",TODAY()-150,TODAY()),1,0),""select Col2 limit 50""))"),12173.92)</f>
        <v>12173.92</v>
      </c>
      <c r="D142" s="45">
        <f>IFERROR(__xludf.DUMMYFUNCTION("AVERAGE(QUERY(SORT(GOOGLEFINANCE(A142,""price"",TODAY()-300,TODAY()),1,0),""select Col2 limit 100""))"),11960.96)</f>
        <v>11960.96</v>
      </c>
      <c r="E142" s="45">
        <f>IFERROR(__xludf.DUMMYFUNCTION("AVERAGE(QUERY(SORT(GOOGLEFINANCE(A142,""price"",TODAY()-500,TODAY()),1,0),""select Col2 limit 200""))"),12108.2)</f>
        <v>12108.2</v>
      </c>
      <c r="F142" s="46" t="str">
        <f t="shared" si="1"/>
        <v>In Bear Run</v>
      </c>
      <c r="G142" s="47">
        <f t="shared" si="2"/>
        <v>-10.80424836</v>
      </c>
      <c r="H142" s="48" t="str">
        <f t="shared" si="3"/>
        <v>Inverted ✗</v>
      </c>
      <c r="I142" s="48">
        <f t="shared" si="4"/>
        <v>0</v>
      </c>
      <c r="J142" s="48">
        <f t="shared" si="5"/>
        <v>0</v>
      </c>
      <c r="K142" s="49" t="str">
        <f>IFERROR(__xludf.DUMMYFUNCTION("IFERROR(IF(A142="""",""ENTER STOCK"",LET(stock,A142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42" s="48">
        <f t="shared" si="6"/>
        <v>0</v>
      </c>
      <c r="M142" s="48">
        <f t="shared" si="7"/>
        <v>1</v>
      </c>
      <c r="N142" s="50">
        <f t="shared" si="8"/>
        <v>1</v>
      </c>
      <c r="O142" s="51" t="s">
        <v>192</v>
      </c>
      <c r="P142" s="46" t="str">
        <f t="shared" si="9"/>
        <v>REVERSE TRADE</v>
      </c>
      <c r="Q142" s="52"/>
      <c r="R142" s="53">
        <f t="shared" si="10"/>
        <v>15</v>
      </c>
      <c r="S142" s="53">
        <f>IFERROR(__xludf.DUMMYFUNCTION("IFERROR(ROUND(GOOGLEFINANCE(A142,""volume"")/GOOGLEFINANCE(A142,""volumeavg""),2),"""")"),2.01)</f>
        <v>2.01</v>
      </c>
      <c r="T142" s="53" t="str">
        <f t="shared" si="11"/>
        <v>HIGH VOL</v>
      </c>
      <c r="U142" s="53">
        <f>IFERROR(__xludf.DUMMYFUNCTION("IFERROR(
  LET(
    sd, GOOGLEFINANCE(A142,""close"",TODAY()-100,TODAY()),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"""")"),1.5)</f>
        <v>1.5</v>
      </c>
      <c r="V142" s="53" t="str">
        <f t="shared" si="12"/>
        <v>FAST</v>
      </c>
      <c r="W142" s="53">
        <f>IFERROR(__xludf.DUMMYFUNCTION("IFERROR(ROUND((B142/GOOGLEFINANCE(A142,""high52"")-1)*100,1),"""")"),-17.6)</f>
        <v>-17.6</v>
      </c>
      <c r="X142" s="53">
        <f>IFERROR(__xludf.DUMMYFUNCTION("IFERROR(ROUND((B142-GOOGLEFINANCE(A142,""low52""))/(GOOGLEFINANCE(A142,""high52"")-GOOGLEFINANCE(A142,""low52""))*100,1),"""")"),17.1)</f>
        <v>17.1</v>
      </c>
      <c r="Y142" s="53" t="str">
        <f t="shared" si="13"/>
        <v>UPPER</v>
      </c>
      <c r="Z142" s="53">
        <f>IFERROR(__xludf.DUMMYFUNCTION("IFERROR(ROUND(((B142 / INDEX(GOOGLEFINANCE(TRIM(A142), ""price"", TODAY()-34, TODAY()), 2, 2)) - (GOOGLEFINANCE(""NIFTY_50"") / INDEX(GOOGLEFINANCE(""NIFTY_50"", ""price"", TODAY()-34, TODAY()), 2, 2))) * 100, 2), ""Check History"")"),-4.5)</f>
        <v>-4.5</v>
      </c>
      <c r="AA142" s="53" t="str">
        <f t="shared" si="14"/>
        <v>WEAK RS</v>
      </c>
      <c r="AB142" s="53">
        <f>IFERROR(__xludf.DUMMYFUNCTION("IFERROR(LET(
  p, QUERY(GOOGLEFINANCE(TRIM(A142),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Loading"")"),42.8)</f>
        <v>42.8</v>
      </c>
      <c r="AC142" s="53" t="str">
        <f t="shared" si="15"/>
        <v>WEAK MOM</v>
      </c>
      <c r="AD142" s="53" t="str">
        <f>IFERROR(__xludf.DUMMYFUNCTION("IFERROR(IF(GOOGLEFINANCE(A142,""eps"")&gt;0,""EPS+"",""EPS-""),"""")"),"EPS+")</f>
        <v>EPS+</v>
      </c>
      <c r="AE142" s="53">
        <f t="shared" si="16"/>
        <v>6</v>
      </c>
      <c r="AF142" s="53">
        <f>IFERROR(__xludf.DUMMYFUNCTION("IFERROR(N142+IF(S142&gt;=1.2,1,0)+IF(U142&gt;=1,1,0)+IF(Z142&gt;0,1,0)+IF(AND(W142&gt;=-20,W142&lt;=0),1,0)+IF(IFERROR(GOOGLEFINANCE(A142,""eps""),0)&gt;0,1,0),"""")"),5.0)</f>
        <v>5</v>
      </c>
      <c r="AG142" s="53" t="str">
        <f t="shared" si="17"/>
        <v>REVERSE TRADE</v>
      </c>
    </row>
    <row r="143" ht="15.0" customHeight="1">
      <c r="A143" s="43" t="s">
        <v>301</v>
      </c>
      <c r="B143" s="44">
        <f>IFERROR(__xludf.DUMMYFUNCTION("GOOGLEFINANCE(A143,""price"")"),2599.0)</f>
        <v>2599</v>
      </c>
      <c r="C143" s="45">
        <f>IFERROR(__xludf.DUMMYFUNCTION("AVERAGE(QUERY(SORT(GOOGLEFINANCE(A143,""price"",TODAY()-150,TODAY()),1,0),""select Col2 limit 50""))"),2675.098)</f>
        <v>2675.098</v>
      </c>
      <c r="D143" s="45">
        <f>IFERROR(__xludf.DUMMYFUNCTION("AVERAGE(QUERY(SORT(GOOGLEFINANCE(A143,""price"",TODAY()-300,TODAY()),1,0),""select Col2 limit 100""))"),2809.5329999999994)</f>
        <v>2809.533</v>
      </c>
      <c r="E143" s="45">
        <f>IFERROR(__xludf.DUMMYFUNCTION("AVERAGE(QUERY(SORT(GOOGLEFINANCE(A143,""price"",TODAY()-500,TODAY()),1,0),""select Col2 limit 200""))"),2996.0316062176166)</f>
        <v>2996.031606</v>
      </c>
      <c r="F143" s="46" t="str">
        <f t="shared" si="1"/>
        <v>In Bear Run</v>
      </c>
      <c r="G143" s="47">
        <f t="shared" si="2"/>
        <v>-13.25191648</v>
      </c>
      <c r="H143" s="48" t="str">
        <f t="shared" si="3"/>
        <v>Inverted ✗</v>
      </c>
      <c r="I143" s="48">
        <f t="shared" si="4"/>
        <v>0</v>
      </c>
      <c r="J143" s="48">
        <f t="shared" si="5"/>
        <v>0</v>
      </c>
      <c r="K143" s="49" t="str">
        <f>IFERROR(__xludf.DUMMYFUNCTION("IFERROR(IF(A143="""",""ENTER STOCK"",LET(stock,A143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43" s="48">
        <f t="shared" si="6"/>
        <v>0</v>
      </c>
      <c r="M143" s="48">
        <f t="shared" si="7"/>
        <v>1</v>
      </c>
      <c r="N143" s="50">
        <f t="shared" si="8"/>
        <v>1</v>
      </c>
      <c r="O143" s="51" t="s">
        <v>129</v>
      </c>
      <c r="P143" s="46" t="str">
        <f t="shared" si="9"/>
        <v>REVERSE TRADE</v>
      </c>
      <c r="Q143" s="52"/>
      <c r="R143" s="53">
        <f t="shared" si="10"/>
        <v>15</v>
      </c>
      <c r="S143" s="53">
        <f>IFERROR(__xludf.DUMMYFUNCTION("IFERROR(ROUND(GOOGLEFINANCE(A143,""volume"")/GOOGLEFINANCE(A143,""volumeavg""),2),"""")"),1.03)</f>
        <v>1.03</v>
      </c>
      <c r="T143" s="53" t="str">
        <f t="shared" si="11"/>
        <v>LOW VOL</v>
      </c>
      <c r="U143" s="53">
        <f>IFERROR(__xludf.DUMMYFUNCTION("IFERROR(
  LET(
    sd, GOOGLEFINANCE(A143,""close"",TODAY()-100,TODAY()),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"""")"),1.11)</f>
        <v>1.11</v>
      </c>
      <c r="V143" s="53" t="str">
        <f t="shared" si="12"/>
        <v>MEDIUM</v>
      </c>
      <c r="W143" s="53">
        <f>IFERROR(__xludf.DUMMYFUNCTION("IFERROR(ROUND((B143/GOOGLEFINANCE(A143,""high52"")-1)*100,1),"""")"),-28.3)</f>
        <v>-28.3</v>
      </c>
      <c r="X143" s="53">
        <f>IFERROR(__xludf.DUMMYFUNCTION("IFERROR(ROUND((B143-GOOGLEFINANCE(A143,""low52""))/(GOOGLEFINANCE(A143,""high52"")-GOOGLEFINANCE(A143,""low52""))*100,1),"""")"),32.1)</f>
        <v>32.1</v>
      </c>
      <c r="Y143" s="53" t="str">
        <f t="shared" si="13"/>
        <v>MID</v>
      </c>
      <c r="Z143" s="53">
        <f>IFERROR(__xludf.DUMMYFUNCTION("IFERROR(ROUND(((B143 / INDEX(GOOGLEFINANCE(TRIM(A143), ""price"", TODAY()-34, TODAY()), 2, 2)) - (GOOGLEFINANCE(""NIFTY_50"") / INDEX(GOOGLEFINANCE(""NIFTY_50"", ""price"", TODAY()-34, TODAY()), 2, 2))) * 100, 2), ""Check History"")"),1.58)</f>
        <v>1.58</v>
      </c>
      <c r="AA143" s="53" t="str">
        <f t="shared" si="14"/>
        <v>MILD RS</v>
      </c>
      <c r="AB143" s="53">
        <f>IFERROR(__xludf.DUMMYFUNCTION("IFERROR(LET(
  p, QUERY(GOOGLEFINANCE(TRIM(A143),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Loading"")"),53.2)</f>
        <v>53.2</v>
      </c>
      <c r="AC143" s="53" t="str">
        <f t="shared" si="15"/>
        <v>IDEAL ENTRY</v>
      </c>
      <c r="AD143" s="53" t="str">
        <f>IFERROR(__xludf.DUMMYFUNCTION("IFERROR(IF(GOOGLEFINANCE(A143,""eps"")&gt;0,""EPS+"",""EPS-""),"""")"),"EPS+")</f>
        <v>EPS+</v>
      </c>
      <c r="AE143" s="53">
        <f t="shared" si="16"/>
        <v>4</v>
      </c>
      <c r="AF143" s="53">
        <f>IFERROR(__xludf.DUMMYFUNCTION("IFERROR(N143+IF(S143&gt;=1.2,1,0)+IF(U143&gt;=1,1,0)+IF(Z143&gt;0,1,0)+IF(AND(W143&gt;=-20,W143&lt;=0),1,0)+IF(IFERROR(GOOGLEFINANCE(A143,""eps""),0)&gt;0,1,0),"""")"),4.0)</f>
        <v>4</v>
      </c>
      <c r="AG143" s="53" t="str">
        <f t="shared" si="17"/>
        <v>REVERSE TRADE</v>
      </c>
    </row>
    <row r="144" ht="15.0" customHeight="1">
      <c r="A144" s="43" t="s">
        <v>302</v>
      </c>
      <c r="B144" s="44">
        <f>IFERROR(__xludf.DUMMYFUNCTION("GOOGLEFINANCE(A144,""price"")"),1500.0)</f>
        <v>1500</v>
      </c>
      <c r="C144" s="45">
        <f>IFERROR(__xludf.DUMMYFUNCTION("AVERAGE(QUERY(SORT(GOOGLEFINANCE(A144,""price"",TODAY()-150,TODAY()),1,0),""select Col2 limit 50""))"),1675.6699999999996)</f>
        <v>1675.67</v>
      </c>
      <c r="D144" s="45">
        <f>IFERROR(__xludf.DUMMYFUNCTION("AVERAGE(QUERY(SORT(GOOGLEFINANCE(A144,""price"",TODAY()-300,TODAY()),1,0),""select Col2 limit 100""))"),1732.0120000000002)</f>
        <v>1732.012</v>
      </c>
      <c r="E144" s="45">
        <f>IFERROR(__xludf.DUMMYFUNCTION("AVERAGE(QUERY(SORT(GOOGLEFINANCE(A144,""price"",TODAY()-500,TODAY()),1,0),""select Col2 limit 200""))"),1646.7639999999997)</f>
        <v>1646.764</v>
      </c>
      <c r="F144" s="46" t="str">
        <f t="shared" si="1"/>
        <v>In Bear Run</v>
      </c>
      <c r="G144" s="47">
        <f t="shared" si="2"/>
        <v>-8.912266724</v>
      </c>
      <c r="H144" s="48" t="str">
        <f t="shared" si="3"/>
        <v>Inverted ✗</v>
      </c>
      <c r="I144" s="48">
        <f t="shared" si="4"/>
        <v>0</v>
      </c>
      <c r="J144" s="48">
        <f t="shared" si="5"/>
        <v>0</v>
      </c>
      <c r="K144" s="49" t="str">
        <f>IFERROR(__xludf.DUMMYFUNCTION("IFERROR(IF(A144="""",""ENTER STOCK"",LET(stock,A144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44" s="48">
        <f t="shared" si="6"/>
        <v>0</v>
      </c>
      <c r="M144" s="48">
        <f t="shared" si="7"/>
        <v>1</v>
      </c>
      <c r="N144" s="50">
        <f t="shared" si="8"/>
        <v>1</v>
      </c>
      <c r="O144" s="51" t="s">
        <v>134</v>
      </c>
      <c r="P144" s="46" t="str">
        <f t="shared" si="9"/>
        <v>REVERSE TRADE</v>
      </c>
      <c r="Q144" s="52"/>
      <c r="R144" s="53">
        <f t="shared" si="10"/>
        <v>15</v>
      </c>
      <c r="S144" s="53">
        <f>IFERROR(__xludf.DUMMYFUNCTION("IFERROR(ROUND(GOOGLEFINANCE(A144,""volume"")/GOOGLEFINANCE(A144,""volumeavg""),2),"""")"),2.93)</f>
        <v>2.93</v>
      </c>
      <c r="T144" s="53" t="str">
        <f t="shared" si="11"/>
        <v>HIGH VOL</v>
      </c>
      <c r="U144" s="53">
        <f>IFERROR(__xludf.DUMMYFUNCTION("IFERROR(
  LET(
    sd, GOOGLEFINANCE(A144,""close"",TODAY()-100,TODAY()),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"""")"),1.18)</f>
        <v>1.18</v>
      </c>
      <c r="V144" s="53" t="str">
        <f t="shared" si="12"/>
        <v>MEDIUM</v>
      </c>
      <c r="W144" s="53">
        <f>IFERROR(__xludf.DUMMYFUNCTION("IFERROR(ROUND((B144/GOOGLEFINANCE(A144,""high52"")-1)*100,1),"""")"),-24.7)</f>
        <v>-24.7</v>
      </c>
      <c r="X144" s="53">
        <f>IFERROR(__xludf.DUMMYFUNCTION("IFERROR(ROUND((B144-GOOGLEFINANCE(A144,""low52""))/(GOOGLEFINANCE(A144,""high52"")-GOOGLEFINANCE(A144,""low52""))*100,1),"""")"),16.5)</f>
        <v>16.5</v>
      </c>
      <c r="Y144" s="53" t="str">
        <f t="shared" si="13"/>
        <v>MID</v>
      </c>
      <c r="Z144" s="53">
        <f>IFERROR(__xludf.DUMMYFUNCTION("IFERROR(ROUND(((B144 / INDEX(GOOGLEFINANCE(TRIM(A144), ""price"", TODAY()-34, TODAY()), 2, 2)) - (GOOGLEFINANCE(""NIFTY_50"") / INDEX(GOOGLEFINANCE(""NIFTY_50"", ""price"", TODAY()-34, TODAY()), 2, 2))) * 100, 2), ""Check History"")"),0.79)</f>
        <v>0.79</v>
      </c>
      <c r="AA144" s="53" t="str">
        <f t="shared" si="14"/>
        <v>MILD RS</v>
      </c>
      <c r="AB144" s="53">
        <f>IFERROR(__xludf.DUMMYFUNCTION("IFERROR(LET(
  p, QUERY(GOOGLEFINANCE(TRIM(A144),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Loading"")"),42.6)</f>
        <v>42.6</v>
      </c>
      <c r="AC144" s="53" t="str">
        <f t="shared" si="15"/>
        <v>WEAK MOM</v>
      </c>
      <c r="AD144" s="53" t="str">
        <f>IFERROR(__xludf.DUMMYFUNCTION("IFERROR(IF(GOOGLEFINANCE(A144,""eps"")&gt;0,""EPS+"",""EPS-""),"""")"),"EPS+")</f>
        <v>EPS+</v>
      </c>
      <c r="AE144" s="53">
        <f t="shared" si="16"/>
        <v>6</v>
      </c>
      <c r="AF144" s="53">
        <f>IFERROR(__xludf.DUMMYFUNCTION("IFERROR(N144+IF(S144&gt;=1.2,1,0)+IF(U144&gt;=1,1,0)+IF(Z144&gt;0,1,0)+IF(AND(W144&gt;=-20,W144&lt;=0),1,0)+IF(IFERROR(GOOGLEFINANCE(A144,""eps""),0)&gt;0,1,0),"""")"),5.0)</f>
        <v>5</v>
      </c>
      <c r="AG144" s="53" t="str">
        <f t="shared" si="17"/>
        <v>REVERSE TRADE</v>
      </c>
    </row>
    <row r="145" ht="15.0" customHeight="1">
      <c r="A145" s="43" t="s">
        <v>303</v>
      </c>
      <c r="B145" s="44">
        <f>IFERROR(__xludf.DUMMYFUNCTION("GOOGLEFINANCE(A145,""price"")"),1795.0)</f>
        <v>1795</v>
      </c>
      <c r="C145" s="45">
        <f>IFERROR(__xludf.DUMMYFUNCTION("AVERAGE(QUERY(SORT(GOOGLEFINANCE(A145,""price"",TODAY()-150,TODAY()),1,0),""select Col2 limit 50""))"),2101.0)</f>
        <v>2101</v>
      </c>
      <c r="D145" s="45">
        <f>IFERROR(__xludf.DUMMYFUNCTION("AVERAGE(QUERY(SORT(GOOGLEFINANCE(A145,""price"",TODAY()-300,TODAY()),1,0),""select Col2 limit 100""))"),2118.5320000000006)</f>
        <v>2118.532</v>
      </c>
      <c r="E145" s="45">
        <f>IFERROR(__xludf.DUMMYFUNCTION("AVERAGE(QUERY(SORT(GOOGLEFINANCE(A145,""price"",TODAY()-500,TODAY()),1,0),""select Col2 limit 200""))"),2218.505)</f>
        <v>2218.505</v>
      </c>
      <c r="F145" s="46" t="str">
        <f t="shared" si="1"/>
        <v>In Bear Run</v>
      </c>
      <c r="G145" s="47">
        <f t="shared" si="2"/>
        <v>-19.08965722</v>
      </c>
      <c r="H145" s="48" t="str">
        <f t="shared" si="3"/>
        <v>Inverted ✗</v>
      </c>
      <c r="I145" s="48">
        <f t="shared" si="4"/>
        <v>0</v>
      </c>
      <c r="J145" s="48">
        <f t="shared" si="5"/>
        <v>0</v>
      </c>
      <c r="K145" s="49" t="str">
        <f>IFERROR(__xludf.DUMMYFUNCTION("IFERROR(IF(A145="""",""ENTER STOCK"",LET(stock,A145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45" s="48">
        <f t="shared" si="6"/>
        <v>0</v>
      </c>
      <c r="M145" s="48">
        <f t="shared" si="7"/>
        <v>1</v>
      </c>
      <c r="N145" s="50">
        <f t="shared" si="8"/>
        <v>1</v>
      </c>
      <c r="O145" s="51" t="s">
        <v>131</v>
      </c>
      <c r="P145" s="46" t="str">
        <f t="shared" si="9"/>
        <v>REVERSE TRADE</v>
      </c>
      <c r="Q145" s="52"/>
      <c r="R145" s="53">
        <f t="shared" si="10"/>
        <v>15</v>
      </c>
      <c r="S145" s="53">
        <f>IFERROR(__xludf.DUMMYFUNCTION("IFERROR(ROUND(GOOGLEFINANCE(A145,""volume"")/GOOGLEFINANCE(A145,""volumeavg""),2),"""")"),2.25)</f>
        <v>2.25</v>
      </c>
      <c r="T145" s="53" t="str">
        <f t="shared" si="11"/>
        <v>HIGH VOL</v>
      </c>
      <c r="U145" s="53">
        <f>IFERROR(__xludf.DUMMYFUNCTION("IFERROR(
  LET(
    sd, GOOGLEFINANCE(A145,""close"",TODAY()-100,TODAY()),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"""")"),1.0)</f>
        <v>1</v>
      </c>
      <c r="V145" s="53" t="str">
        <f t="shared" si="12"/>
        <v>MEDIUM</v>
      </c>
      <c r="W145" s="53">
        <f>IFERROR(__xludf.DUMMYFUNCTION("IFERROR(ROUND((B145/GOOGLEFINANCE(A145,""high52"")-1)*100,1),"""")"),-34.7)</f>
        <v>-34.7</v>
      </c>
      <c r="X145" s="53">
        <f>IFERROR(__xludf.DUMMYFUNCTION("IFERROR(ROUND((B145-GOOGLEFINANCE(A145,""low52""))/(GOOGLEFINANCE(A145,""high52"")-GOOGLEFINANCE(A145,""low52""))*100,1),"""")"),1.3)</f>
        <v>1.3</v>
      </c>
      <c r="Y145" s="53" t="str">
        <f t="shared" si="13"/>
        <v>MID</v>
      </c>
      <c r="Z145" s="53">
        <f>IFERROR(__xludf.DUMMYFUNCTION("IFERROR(ROUND(((B145 / INDEX(GOOGLEFINANCE(TRIM(A145), ""price"", TODAY()-34, TODAY()), 2, 2)) - (GOOGLEFINANCE(""NIFTY_50"") / INDEX(GOOGLEFINANCE(""NIFTY_50"", ""price"", TODAY()-34, TODAY()), 2, 2))) * 100, 2), ""Check History"")"),-7.57)</f>
        <v>-7.57</v>
      </c>
      <c r="AA145" s="53" t="str">
        <f t="shared" si="14"/>
        <v>WEAK RS</v>
      </c>
      <c r="AB145" s="53">
        <f>IFERROR(__xludf.DUMMYFUNCTION("IFERROR(LET(
  p, QUERY(GOOGLEFINANCE(TRIM(A145),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Loading"")"),31.8)</f>
        <v>31.8</v>
      </c>
      <c r="AC145" s="53" t="str">
        <f t="shared" si="15"/>
        <v>WEAK MOM</v>
      </c>
      <c r="AD145" s="53" t="str">
        <f>IFERROR(__xludf.DUMMYFUNCTION("IFERROR(IF(GOOGLEFINANCE(A145,""eps"")&gt;0,""EPS+"",""EPS-""),"""")"),"EPS+")</f>
        <v>EPS+</v>
      </c>
      <c r="AE145" s="53">
        <f t="shared" si="16"/>
        <v>5</v>
      </c>
      <c r="AF145" s="53">
        <f>IFERROR(__xludf.DUMMYFUNCTION("IFERROR(N145+IF(S145&gt;=1.2,1,0)+IF(U145&gt;=1,1,0)+IF(Z145&gt;0,1,0)+IF(AND(W145&gt;=-20,W145&lt;=0),1,0)+IF(IFERROR(GOOGLEFINANCE(A145,""eps""),0)&gt;0,1,0),"""")"),4.0)</f>
        <v>4</v>
      </c>
      <c r="AG145" s="53" t="str">
        <f t="shared" si="17"/>
        <v>REVERSE TRADE</v>
      </c>
    </row>
    <row r="146" ht="15.0" customHeight="1">
      <c r="A146" s="43" t="s">
        <v>304</v>
      </c>
      <c r="B146" s="44">
        <f>IFERROR(__xludf.DUMMYFUNCTION("GOOGLEFINANCE(A146,""price"")"),3250.0)</f>
        <v>3250</v>
      </c>
      <c r="C146" s="45">
        <f>IFERROR(__xludf.DUMMYFUNCTION("AVERAGE(QUERY(SORT(GOOGLEFINANCE(A146,""price"",TODAY()-150,TODAY()),1,0),""select Col2 limit 50""))"),3046.8259999999996)</f>
        <v>3046.826</v>
      </c>
      <c r="D146" s="45">
        <f>IFERROR(__xludf.DUMMYFUNCTION("AVERAGE(QUERY(SORT(GOOGLEFINANCE(A146,""price"",TODAY()-300,TODAY()),1,0),""select Col2 limit 100""))"),3010.293000000001)</f>
        <v>3010.293</v>
      </c>
      <c r="E146" s="45">
        <f>IFERROR(__xludf.DUMMYFUNCTION("AVERAGE(QUERY(SORT(GOOGLEFINANCE(A146,""price"",TODAY()-500,TODAY()),1,0),""select Col2 limit 200""))"),3200.034500000001)</f>
        <v>3200.0345</v>
      </c>
      <c r="F146" s="46" t="str">
        <f t="shared" si="1"/>
        <v>In Bull Run</v>
      </c>
      <c r="G146" s="47">
        <f t="shared" si="2"/>
        <v>1.561405041</v>
      </c>
      <c r="H146" s="48" t="str">
        <f t="shared" si="3"/>
        <v>Inverted ✗</v>
      </c>
      <c r="I146" s="48">
        <f t="shared" si="4"/>
        <v>0</v>
      </c>
      <c r="J146" s="48">
        <f t="shared" si="5"/>
        <v>2</v>
      </c>
      <c r="K146" s="49" t="str">
        <f>IFERROR(__xludf.DUMMYFUNCTION("IFERROR(IF(A146="""",""ENTER STOCK"",LET(stock,A146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46" s="48">
        <f t="shared" si="6"/>
        <v>0</v>
      </c>
      <c r="M146" s="48">
        <f t="shared" si="7"/>
        <v>1</v>
      </c>
      <c r="N146" s="50">
        <f t="shared" si="8"/>
        <v>3</v>
      </c>
      <c r="O146" s="51" t="s">
        <v>175</v>
      </c>
      <c r="P146" s="46" t="str">
        <f t="shared" si="9"/>
        <v>SKIP</v>
      </c>
      <c r="Q146" s="52"/>
      <c r="R146" s="53">
        <f t="shared" si="10"/>
        <v>15</v>
      </c>
      <c r="S146" s="53">
        <f>IFERROR(__xludf.DUMMYFUNCTION("IFERROR(ROUND(GOOGLEFINANCE(A146,""volume"")/GOOGLEFINANCE(A146,""volumeavg""),2),"""")"),3.55)</f>
        <v>3.55</v>
      </c>
      <c r="T146" s="53" t="str">
        <f t="shared" si="11"/>
        <v>HIGH VOL</v>
      </c>
      <c r="U146" s="53">
        <f>IFERROR(__xludf.DUMMYFUNCTION("IFERROR(
  LET(
    sd, GOOGLEFINANCE(A146,""close"",TODAY()-100,TODAY()),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"""")"),0.73)</f>
        <v>0.73</v>
      </c>
      <c r="V146" s="53" t="str">
        <f t="shared" si="12"/>
        <v>SLOW</v>
      </c>
      <c r="W146" s="53">
        <f>IFERROR(__xludf.DUMMYFUNCTION("IFERROR(ROUND((B146/GOOGLEFINANCE(A146,""high52"")-1)*100,1),"""")"),-20.6)</f>
        <v>-20.6</v>
      </c>
      <c r="X146" s="53">
        <f>IFERROR(__xludf.DUMMYFUNCTION("IFERROR(ROUND((B146-GOOGLEFINANCE(A146,""low52""))/(GOOGLEFINANCE(A146,""high52"")-GOOGLEFINANCE(A146,""low52""))*100,1),"""")"),37.6)</f>
        <v>37.6</v>
      </c>
      <c r="Y146" s="53" t="str">
        <f t="shared" si="13"/>
        <v>MID</v>
      </c>
      <c r="Z146" s="53">
        <f>IFERROR(__xludf.DUMMYFUNCTION("IFERROR(ROUND(((B146 / INDEX(GOOGLEFINANCE(TRIM(A146), ""price"", TODAY()-34, TODAY()), 2, 2)) - (GOOGLEFINANCE(""NIFTY_50"") / INDEX(GOOGLEFINANCE(""NIFTY_50"", ""price"", TODAY()-34, TODAY()), 2, 2))) * 100, 2), ""Check History"")"),15.4)</f>
        <v>15.4</v>
      </c>
      <c r="AA146" s="53" t="str">
        <f t="shared" si="14"/>
        <v>STRONG RS</v>
      </c>
      <c r="AB146" s="53">
        <f>IFERROR(__xludf.DUMMYFUNCTION("IFERROR(LET(
  p, QUERY(GOOGLEFINANCE(TRIM(A146),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Loading"")"),56.5)</f>
        <v>56.5</v>
      </c>
      <c r="AC146" s="53" t="str">
        <f t="shared" si="15"/>
        <v>IDEAL ENTRY</v>
      </c>
      <c r="AD146" s="53" t="str">
        <f>IFERROR(__xludf.DUMMYFUNCTION("IFERROR(IF(GOOGLEFINANCE(A146,""eps"")&gt;0,""EPS+"",""EPS-""),"""")"),"EPS+")</f>
        <v>EPS+</v>
      </c>
      <c r="AE146" s="53">
        <f t="shared" si="16"/>
        <v>6</v>
      </c>
      <c r="AF146" s="53">
        <f>IFERROR(__xludf.DUMMYFUNCTION("IFERROR(N146+IF(S146&gt;=1.2,1,0)+IF(U146&gt;=1,1,0)+IF(Z146&gt;0,1,0)+IF(AND(W146&gt;=-20,W146&lt;=0),1,0)+IF(IFERROR(GOOGLEFINANCE(A146,""eps""),0)&gt;0,1,0),"""")"),6.0)</f>
        <v>6</v>
      </c>
      <c r="AG146" s="53" t="str">
        <f t="shared" si="17"/>
        <v>WATCH</v>
      </c>
    </row>
    <row r="147" ht="15.0" customHeight="1">
      <c r="A147" s="43" t="s">
        <v>305</v>
      </c>
      <c r="B147" s="44">
        <f>IFERROR(__xludf.DUMMYFUNCTION("GOOGLEFINANCE(A147,""price"")"),1350.8)</f>
        <v>1350.8</v>
      </c>
      <c r="C147" s="45">
        <f>IFERROR(__xludf.DUMMYFUNCTION("AVERAGE(QUERY(SORT(GOOGLEFINANCE(A147,""price"",TODAY()-150,TODAY()),1,0),""select Col2 limit 50""))"),1630.6039999999996)</f>
        <v>1630.604</v>
      </c>
      <c r="D147" s="45">
        <f>IFERROR(__xludf.DUMMYFUNCTION("AVERAGE(QUERY(SORT(GOOGLEFINANCE(A147,""price"",TODAY()-300,TODAY()),1,0),""select Col2 limit 100""))"),1670.9859999999999)</f>
        <v>1670.986</v>
      </c>
      <c r="E147" s="45">
        <f>IFERROR(__xludf.DUMMYFUNCTION("AVERAGE(QUERY(SORT(GOOGLEFINANCE(A147,""price"",TODAY()-500,TODAY()),1,0),""select Col2 limit 200""))"),1616.0504999999987)</f>
        <v>1616.0505</v>
      </c>
      <c r="F147" s="46" t="str">
        <f t="shared" si="1"/>
        <v>In Bear Run</v>
      </c>
      <c r="G147" s="47">
        <f t="shared" si="2"/>
        <v>-16.41350317</v>
      </c>
      <c r="H147" s="48" t="str">
        <f t="shared" si="3"/>
        <v>Inverted ✗</v>
      </c>
      <c r="I147" s="48">
        <f t="shared" si="4"/>
        <v>0</v>
      </c>
      <c r="J147" s="48">
        <f t="shared" si="5"/>
        <v>0</v>
      </c>
      <c r="K147" s="49" t="str">
        <f>IFERROR(__xludf.DUMMYFUNCTION("IFERROR(IF(A147="""",""ENTER STOCK"",LET(stock,A147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47" s="48">
        <f t="shared" si="6"/>
        <v>0</v>
      </c>
      <c r="M147" s="48">
        <f t="shared" si="7"/>
        <v>1</v>
      </c>
      <c r="N147" s="50">
        <f t="shared" si="8"/>
        <v>1</v>
      </c>
      <c r="O147" s="51" t="s">
        <v>153</v>
      </c>
      <c r="P147" s="46" t="str">
        <f t="shared" si="9"/>
        <v>REVERSE TRADE</v>
      </c>
      <c r="Q147" s="52"/>
      <c r="R147" s="53">
        <f t="shared" si="10"/>
        <v>15</v>
      </c>
      <c r="S147" s="53">
        <f>IFERROR(__xludf.DUMMYFUNCTION("IFERROR(ROUND(GOOGLEFINANCE(A147,""volume"")/GOOGLEFINANCE(A147,""volumeavg""),2),"""")"),2.07)</f>
        <v>2.07</v>
      </c>
      <c r="T147" s="53" t="str">
        <f t="shared" si="11"/>
        <v>HIGH VOL</v>
      </c>
      <c r="U147" s="53">
        <f>IFERROR(__xludf.DUMMYFUNCTION("IFERROR(
  LET(
    sd, GOOGLEFINANCE(A147,""close"",TODAY()-100,TODAY()),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"""")"),1.56)</f>
        <v>1.56</v>
      </c>
      <c r="V147" s="53" t="str">
        <f t="shared" si="12"/>
        <v>FAST</v>
      </c>
      <c r="W147" s="53">
        <f>IFERROR(__xludf.DUMMYFUNCTION("IFERROR(ROUND((B147/GOOGLEFINANCE(A147,""high52"")-1)*100,1),"""")"),-26.2)</f>
        <v>-26.2</v>
      </c>
      <c r="X147" s="53">
        <f>IFERROR(__xludf.DUMMYFUNCTION("IFERROR(ROUND((B147-GOOGLEFINANCE(A147,""low52""))/(GOOGLEFINANCE(A147,""high52"")-GOOGLEFINANCE(A147,""low52""))*100,1),"""")"),3.2)</f>
        <v>3.2</v>
      </c>
      <c r="Y147" s="53" t="str">
        <f t="shared" si="13"/>
        <v>MID</v>
      </c>
      <c r="Z147" s="53">
        <f>IFERROR(__xludf.DUMMYFUNCTION("IFERROR(ROUND(((B147 / INDEX(GOOGLEFINANCE(TRIM(A147), ""price"", TODAY()-34, TODAY()), 2, 2)) - (GOOGLEFINANCE(""NIFTY_50"") / INDEX(GOOGLEFINANCE(""NIFTY_50"", ""price"", TODAY()-34, TODAY()), 2, 2))) * 100, 2), ""Check History"")"),-9.98)</f>
        <v>-9.98</v>
      </c>
      <c r="AA147" s="53" t="str">
        <f t="shared" si="14"/>
        <v>WEAK RS</v>
      </c>
      <c r="AB147" s="53">
        <f>IFERROR(__xludf.DUMMYFUNCTION("IFERROR(LET(
  p, QUERY(GOOGLEFINANCE(TRIM(A147),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Loading"")"),41.3)</f>
        <v>41.3</v>
      </c>
      <c r="AC147" s="53" t="str">
        <f t="shared" si="15"/>
        <v>WEAK MOM</v>
      </c>
      <c r="AD147" s="53" t="str">
        <f>IFERROR(__xludf.DUMMYFUNCTION("IFERROR(IF(GOOGLEFINANCE(A147,""eps"")&gt;0,""EPS+"",""EPS-""),"""")"),"EPS+")</f>
        <v>EPS+</v>
      </c>
      <c r="AE147" s="53">
        <f t="shared" si="16"/>
        <v>6</v>
      </c>
      <c r="AF147" s="53">
        <f>IFERROR(__xludf.DUMMYFUNCTION("IFERROR(N147+IF(S147&gt;=1.2,1,0)+IF(U147&gt;=1,1,0)+IF(Z147&gt;0,1,0)+IF(AND(W147&gt;=-20,W147&lt;=0),1,0)+IF(IFERROR(GOOGLEFINANCE(A147,""eps""),0)&gt;0,1,0),"""")"),4.0)</f>
        <v>4</v>
      </c>
      <c r="AG147" s="53" t="str">
        <f t="shared" si="17"/>
        <v>REVERSE TRADE</v>
      </c>
    </row>
    <row r="148" ht="15.0" customHeight="1">
      <c r="A148" s="43" t="s">
        <v>306</v>
      </c>
      <c r="B148" s="44">
        <f>IFERROR(__xludf.DUMMYFUNCTION("GOOGLEFINANCE(A148,""price"")"),363.75)</f>
        <v>363.75</v>
      </c>
      <c r="C148" s="45">
        <f>IFERROR(__xludf.DUMMYFUNCTION("AVERAGE(QUERY(SORT(GOOGLEFINANCE(A148,""price"",TODAY()-150,TODAY()),1,0),""select Col2 limit 50""))"),374.00999999999993)</f>
        <v>374.01</v>
      </c>
      <c r="D148" s="45">
        <f>IFERROR(__xludf.DUMMYFUNCTION("AVERAGE(QUERY(SORT(GOOGLEFINANCE(A148,""price"",TODAY()-300,TODAY()),1,0),""select Col2 limit 100""))"),376.56899999999996)</f>
        <v>376.569</v>
      </c>
      <c r="E148" s="45">
        <f>IFERROR(__xludf.DUMMYFUNCTION("AVERAGE(QUERY(SORT(GOOGLEFINANCE(A148,""price"",TODAY()-500,TODAY()),1,0),""select Col2 limit 200""))"),377.72424999999987)</f>
        <v>377.72425</v>
      </c>
      <c r="F148" s="46" t="str">
        <f t="shared" si="1"/>
        <v>In Bear Run</v>
      </c>
      <c r="G148" s="47">
        <f t="shared" si="2"/>
        <v>-3.699590376</v>
      </c>
      <c r="H148" s="48" t="str">
        <f t="shared" si="3"/>
        <v>Inverted ✗</v>
      </c>
      <c r="I148" s="48">
        <f t="shared" si="4"/>
        <v>0</v>
      </c>
      <c r="J148" s="48">
        <f t="shared" si="5"/>
        <v>0</v>
      </c>
      <c r="K148" s="49" t="str">
        <f>IFERROR(__xludf.DUMMYFUNCTION("IFERROR(IF(A148="""",""ENTER STOCK"",LET(stock,A148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48" s="48">
        <f t="shared" si="6"/>
        <v>0</v>
      </c>
      <c r="M148" s="48">
        <f t="shared" si="7"/>
        <v>1</v>
      </c>
      <c r="N148" s="50">
        <f t="shared" si="8"/>
        <v>1</v>
      </c>
      <c r="O148" s="51" t="s">
        <v>147</v>
      </c>
      <c r="P148" s="46" t="str">
        <f t="shared" si="9"/>
        <v>REVERSE TRADE</v>
      </c>
      <c r="Q148" s="52"/>
      <c r="R148" s="53">
        <f t="shared" si="10"/>
        <v>15</v>
      </c>
      <c r="S148" s="53">
        <f>IFERROR(__xludf.DUMMYFUNCTION("IFERROR(ROUND(GOOGLEFINANCE(A148,""volume"")/GOOGLEFINANCE(A148,""volumeavg""),2),"""")"),2.23)</f>
        <v>2.23</v>
      </c>
      <c r="T148" s="53" t="str">
        <f t="shared" si="11"/>
        <v>HIGH VOL</v>
      </c>
      <c r="U148" s="53">
        <f>IFERROR(__xludf.DUMMYFUNCTION("IFERROR(
  LET(
    sd, GOOGLEFINANCE(A148,""close"",TODAY()-100,TODAY()),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"""")"),0.76)</f>
        <v>0.76</v>
      </c>
      <c r="V148" s="53" t="str">
        <f t="shared" si="12"/>
        <v>SLOW</v>
      </c>
      <c r="W148" s="53">
        <f>IFERROR(__xludf.DUMMYFUNCTION("IFERROR(ROUND((B148/GOOGLEFINANCE(A148,""high52"")-1)*100,1),"""")"),-19.8)</f>
        <v>-19.8</v>
      </c>
      <c r="X148" s="53">
        <f>IFERROR(__xludf.DUMMYFUNCTION("IFERROR(ROUND((B148-GOOGLEFINANCE(A148,""low52""))/(GOOGLEFINANCE(A148,""high52"")-GOOGLEFINANCE(A148,""low52""))*100,1),"""")"),13.0)</f>
        <v>13</v>
      </c>
      <c r="Y148" s="53" t="str">
        <f t="shared" si="13"/>
        <v>UPPER</v>
      </c>
      <c r="Z148" s="53">
        <f>IFERROR(__xludf.DUMMYFUNCTION("IFERROR(ROUND(((B148 / INDEX(GOOGLEFINANCE(TRIM(A148), ""price"", TODAY()-34, TODAY()), 2, 2)) - (GOOGLEFINANCE(""NIFTY_50"") / INDEX(GOOGLEFINANCE(""NIFTY_50"", ""price"", TODAY()-34, TODAY()), 2, 2))) * 100, 2), ""Check History"")"),6.38)</f>
        <v>6.38</v>
      </c>
      <c r="AA148" s="53" t="str">
        <f t="shared" si="14"/>
        <v>STRONG RS</v>
      </c>
      <c r="AB148" s="53">
        <f>IFERROR(__xludf.DUMMYFUNCTION("IFERROR(LET(
  p, QUERY(GOOGLEFINANCE(TRIM(A148),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Loading"")"),47.7)</f>
        <v>47.7</v>
      </c>
      <c r="AC148" s="53" t="str">
        <f t="shared" si="15"/>
        <v>IDEAL ENTRY</v>
      </c>
      <c r="AD148" s="53" t="str">
        <f>IFERROR(__xludf.DUMMYFUNCTION("IFERROR(IF(GOOGLEFINANCE(A148,""eps"")&gt;0,""EPS+"",""EPS-""),"""")"),"EPS+")</f>
        <v>EPS+</v>
      </c>
      <c r="AE148" s="53">
        <f t="shared" si="16"/>
        <v>6</v>
      </c>
      <c r="AF148" s="53">
        <f>IFERROR(__xludf.DUMMYFUNCTION("IFERROR(N148+IF(S148&gt;=1.2,1,0)+IF(U148&gt;=1,1,0)+IF(Z148&gt;0,1,0)+IF(AND(W148&gt;=-20,W148&lt;=0),1,0)+IF(IFERROR(GOOGLEFINANCE(A148,""eps""),0)&gt;0,1,0),"""")"),5.0)</f>
        <v>5</v>
      </c>
      <c r="AG148" s="53" t="str">
        <f t="shared" si="17"/>
        <v>REVERSE TRADE</v>
      </c>
    </row>
    <row r="149" ht="15.0" customHeight="1">
      <c r="A149" s="43" t="s">
        <v>307</v>
      </c>
      <c r="B149" s="44">
        <f>IFERROR(__xludf.DUMMYFUNCTION("GOOGLEFINANCE(A149,""price"")"),802.0)</f>
        <v>802</v>
      </c>
      <c r="C149" s="45">
        <f>IFERROR(__xludf.DUMMYFUNCTION("AVERAGE(QUERY(SORT(GOOGLEFINANCE(A149,""price"",TODAY()-150,TODAY()),1,0),""select Col2 limit 50""))"),940.5389999999998)</f>
        <v>940.539</v>
      </c>
      <c r="D149" s="45">
        <f>IFERROR(__xludf.DUMMYFUNCTION("AVERAGE(QUERY(SORT(GOOGLEFINANCE(A149,""price"",TODAY()-300,TODAY()),1,0),""select Col2 limit 100""))"),974.7115000000001)</f>
        <v>974.7115</v>
      </c>
      <c r="E149" s="45">
        <f>IFERROR(__xludf.DUMMYFUNCTION("AVERAGE(QUERY(SORT(GOOGLEFINANCE(A149,""price"",TODAY()-500,TODAY()),1,0),""select Col2 limit 200""))"),964.4049999999997)</f>
        <v>964.405</v>
      </c>
      <c r="F149" s="46" t="str">
        <f t="shared" si="1"/>
        <v>In Bear Run</v>
      </c>
      <c r="G149" s="47">
        <f t="shared" si="2"/>
        <v>-16.83991684</v>
      </c>
      <c r="H149" s="48" t="str">
        <f t="shared" si="3"/>
        <v>Inverted ✗</v>
      </c>
      <c r="I149" s="48">
        <f t="shared" si="4"/>
        <v>0</v>
      </c>
      <c r="J149" s="48">
        <f t="shared" si="5"/>
        <v>0</v>
      </c>
      <c r="K149" s="49" t="str">
        <f>IFERROR(__xludf.DUMMYFUNCTION("IFERROR(IF(A149="""",""ENTER STOCK"",LET(stock,A149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49" s="48">
        <f t="shared" si="6"/>
        <v>0</v>
      </c>
      <c r="M149" s="48">
        <f t="shared" si="7"/>
        <v>1</v>
      </c>
      <c r="N149" s="50">
        <f t="shared" si="8"/>
        <v>1</v>
      </c>
      <c r="O149" s="51" t="s">
        <v>153</v>
      </c>
      <c r="P149" s="46" t="str">
        <f t="shared" si="9"/>
        <v>REVERSE TRADE</v>
      </c>
      <c r="Q149" s="52"/>
      <c r="R149" s="53">
        <f t="shared" si="10"/>
        <v>15</v>
      </c>
      <c r="S149" s="53">
        <f>IFERROR(__xludf.DUMMYFUNCTION("IFERROR(ROUND(GOOGLEFINANCE(A149,""volume"")/GOOGLEFINANCE(A149,""volumeavg""),2),"""")"),2.35)</f>
        <v>2.35</v>
      </c>
      <c r="T149" s="53" t="str">
        <f t="shared" si="11"/>
        <v>HIGH VOL</v>
      </c>
      <c r="U149" s="53">
        <f>IFERROR(__xludf.DUMMYFUNCTION("IFERROR(
  LET(
    sd, GOOGLEFINANCE(A149,""close"",TODAY()-100,TODAY()),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"""")"),1.49)</f>
        <v>1.49</v>
      </c>
      <c r="V149" s="53" t="str">
        <f t="shared" si="12"/>
        <v>FAST</v>
      </c>
      <c r="W149" s="53">
        <f>IFERROR(__xludf.DUMMYFUNCTION("IFERROR(ROUND((B149/GOOGLEFINANCE(A149,""high52"")-1)*100,1),"""")"),-27.3)</f>
        <v>-27.3</v>
      </c>
      <c r="X149" s="53">
        <f>IFERROR(__xludf.DUMMYFUNCTION("IFERROR(ROUND((B149-GOOGLEFINANCE(A149,""low52""))/(GOOGLEFINANCE(A149,""high52"")-GOOGLEFINANCE(A149,""low52""))*100,1),"""")"),4.5)</f>
        <v>4.5</v>
      </c>
      <c r="Y149" s="53" t="str">
        <f t="shared" si="13"/>
        <v>MID</v>
      </c>
      <c r="Z149" s="53">
        <f>IFERROR(__xludf.DUMMYFUNCTION("IFERROR(ROUND(((B149 / INDEX(GOOGLEFINANCE(TRIM(A149), ""price"", TODAY()-34, TODAY()), 2, 2)) - (GOOGLEFINANCE(""NIFTY_50"") / INDEX(GOOGLEFINANCE(""NIFTY_50"", ""price"", TODAY()-34, TODAY()), 2, 2))) * 100, 2), ""Check History"")"),-9.48)</f>
        <v>-9.48</v>
      </c>
      <c r="AA149" s="53" t="str">
        <f t="shared" si="14"/>
        <v>WEAK RS</v>
      </c>
      <c r="AB149" s="53">
        <f>IFERROR(__xludf.DUMMYFUNCTION("IFERROR(LET(
  p, QUERY(GOOGLEFINANCE(TRIM(A149),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Loading"")"),44.1)</f>
        <v>44.1</v>
      </c>
      <c r="AC149" s="53" t="str">
        <f t="shared" si="15"/>
        <v>WEAK MOM</v>
      </c>
      <c r="AD149" s="53" t="str">
        <f>IFERROR(__xludf.DUMMYFUNCTION("IFERROR(IF(GOOGLEFINANCE(A149,""eps"")&gt;0,""EPS+"",""EPS-""),"""")"),"EPS+")</f>
        <v>EPS+</v>
      </c>
      <c r="AE149" s="53">
        <f t="shared" si="16"/>
        <v>6</v>
      </c>
      <c r="AF149" s="53">
        <f>IFERROR(__xludf.DUMMYFUNCTION("IFERROR(N149+IF(S149&gt;=1.2,1,0)+IF(U149&gt;=1,1,0)+IF(Z149&gt;0,1,0)+IF(AND(W149&gt;=-20,W149&lt;=0),1,0)+IF(IFERROR(GOOGLEFINANCE(A149,""eps""),0)&gt;0,1,0),"""")"),4.0)</f>
        <v>4</v>
      </c>
      <c r="AG149" s="53" t="str">
        <f t="shared" si="17"/>
        <v>REVERSE TRADE</v>
      </c>
    </row>
    <row r="150" ht="15.0" customHeight="1">
      <c r="A150" s="43" t="s">
        <v>308</v>
      </c>
      <c r="B150" s="44">
        <f>IFERROR(__xludf.DUMMYFUNCTION("GOOGLEFINANCE(A150,""price"")"),3740.0)</f>
        <v>3740</v>
      </c>
      <c r="C150" s="45">
        <f>IFERROR(__xludf.DUMMYFUNCTION("AVERAGE(QUERY(SORT(GOOGLEFINANCE(A150,""price"",TODAY()-150,TODAY()),1,0),""select Col2 limit 50""))"),3773.765999999999)</f>
        <v>3773.766</v>
      </c>
      <c r="D150" s="45">
        <f>IFERROR(__xludf.DUMMYFUNCTION("AVERAGE(QUERY(SORT(GOOGLEFINANCE(A150,""price"",TODAY()-300,TODAY()),1,0),""select Col2 limit 100""))"),3633.1389999999983)</f>
        <v>3633.139</v>
      </c>
      <c r="E150" s="45">
        <f>IFERROR(__xludf.DUMMYFUNCTION("AVERAGE(QUERY(SORT(GOOGLEFINANCE(A150,""price"",TODAY()-500,TODAY()),1,0),""select Col2 limit 200""))"),3972.6815)</f>
        <v>3972.6815</v>
      </c>
      <c r="F150" s="46" t="str">
        <f t="shared" si="1"/>
        <v>Unconfirmed</v>
      </c>
      <c r="G150" s="47">
        <f t="shared" si="2"/>
        <v>-5.857038879</v>
      </c>
      <c r="H150" s="48" t="str">
        <f t="shared" si="3"/>
        <v>Inverted ✗</v>
      </c>
      <c r="I150" s="48">
        <f t="shared" si="4"/>
        <v>0</v>
      </c>
      <c r="J150" s="48">
        <f t="shared" si="5"/>
        <v>0</v>
      </c>
      <c r="K150" s="49" t="str">
        <f>IFERROR(__xludf.DUMMYFUNCTION("IFERROR(IF(A150="""",""ENTER STOCK"",LET(stock,A150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50" s="48">
        <f t="shared" si="6"/>
        <v>0</v>
      </c>
      <c r="M150" s="48">
        <f t="shared" si="7"/>
        <v>1</v>
      </c>
      <c r="N150" s="50">
        <f t="shared" si="8"/>
        <v>1</v>
      </c>
      <c r="O150" s="51" t="s">
        <v>309</v>
      </c>
      <c r="P150" s="46" t="str">
        <f t="shared" si="9"/>
        <v>WAIT</v>
      </c>
      <c r="Q150" s="52"/>
      <c r="R150" s="53">
        <f t="shared" si="10"/>
        <v>15</v>
      </c>
      <c r="S150" s="53">
        <f>IFERROR(__xludf.DUMMYFUNCTION("IFERROR(ROUND(GOOGLEFINANCE(A150,""volume"")/GOOGLEFINANCE(A150,""volumeavg""),2),"""")"),2.51)</f>
        <v>2.51</v>
      </c>
      <c r="T150" s="53" t="str">
        <f t="shared" si="11"/>
        <v>HIGH VOL</v>
      </c>
      <c r="U150" s="53">
        <f>IFERROR(__xludf.DUMMYFUNCTION("IFERROR(
  LET(
    sd, GOOGLEFINANCE(A150,""close"",TODAY()-100,TODAY()),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"""")"),1.11)</f>
        <v>1.11</v>
      </c>
      <c r="V150" s="53" t="str">
        <f t="shared" si="12"/>
        <v>MEDIUM</v>
      </c>
      <c r="W150" s="53">
        <f>IFERROR(__xludf.DUMMYFUNCTION("IFERROR(ROUND((B150/GOOGLEFINANCE(A150,""high52"")-1)*100,1),"""")"),-21.1)</f>
        <v>-21.1</v>
      </c>
      <c r="X150" s="53">
        <f>IFERROR(__xludf.DUMMYFUNCTION("IFERROR(ROUND((B150-GOOGLEFINANCE(A150,""low52""))/(GOOGLEFINANCE(A150,""high52"")-GOOGLEFINANCE(A150,""low52""))*100,1),"""")"),39.2)</f>
        <v>39.2</v>
      </c>
      <c r="Y150" s="53" t="str">
        <f t="shared" si="13"/>
        <v>MID</v>
      </c>
      <c r="Z150" s="53">
        <f>IFERROR(__xludf.DUMMYFUNCTION("IFERROR(ROUND(((B150 / INDEX(GOOGLEFINANCE(TRIM(A150), ""price"", TODAY()-34, TODAY()), 2, 2)) - (GOOGLEFINANCE(""NIFTY_50"") / INDEX(GOOGLEFINANCE(""NIFTY_50"", ""price"", TODAY()-34, TODAY()), 2, 2))) * 100, 2), ""Check History"")"),6.58)</f>
        <v>6.58</v>
      </c>
      <c r="AA150" s="53" t="str">
        <f t="shared" si="14"/>
        <v>STRONG RS</v>
      </c>
      <c r="AB150" s="53">
        <f>IFERROR(__xludf.DUMMYFUNCTION("IFERROR(LET(
  p, QUERY(GOOGLEFINANCE(TRIM(A150),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Loading"")"),46.6)</f>
        <v>46.6</v>
      </c>
      <c r="AC150" s="53" t="str">
        <f t="shared" si="15"/>
        <v>IDEAL ENTRY</v>
      </c>
      <c r="AD150" s="53" t="str">
        <f>IFERROR(__xludf.DUMMYFUNCTION("IFERROR(IF(GOOGLEFINANCE(A150,""eps"")&gt;0,""EPS+"",""EPS-""),"""")"),"EPS+")</f>
        <v>EPS+</v>
      </c>
      <c r="AE150" s="53">
        <f t="shared" si="16"/>
        <v>7</v>
      </c>
      <c r="AF150" s="53">
        <f>IFERROR(__xludf.DUMMYFUNCTION("IFERROR(N150+IF(S150&gt;=1.2,1,0)+IF(U150&gt;=1,1,0)+IF(Z150&gt;0,1,0)+IF(AND(W150&gt;=-20,W150&lt;=0),1,0)+IF(IFERROR(GOOGLEFINANCE(A150,""eps""),0)&gt;0,1,0),"""")"),5.0)</f>
        <v>5</v>
      </c>
      <c r="AG150" s="53" t="str">
        <f t="shared" si="17"/>
        <v>WAIT</v>
      </c>
    </row>
    <row r="151" ht="15.0" customHeight="1">
      <c r="A151" s="43" t="s">
        <v>310</v>
      </c>
      <c r="B151" s="44">
        <f>IFERROR(__xludf.DUMMYFUNCTION("GOOGLEFINANCE(A151,""price"")"),378.8)</f>
        <v>378.8</v>
      </c>
      <c r="C151" s="45">
        <f>IFERROR(__xludf.DUMMYFUNCTION("AVERAGE(QUERY(SORT(GOOGLEFINANCE(A151,""price"",TODAY()-150,TODAY()),1,0),""select Col2 limit 50""))"),375.12999999999994)</f>
        <v>375.13</v>
      </c>
      <c r="D151" s="45">
        <f>IFERROR(__xludf.DUMMYFUNCTION("AVERAGE(QUERY(SORT(GOOGLEFINANCE(A151,""price"",TODAY()-300,TODAY()),1,0),""select Col2 limit 100""))"),379.6754999999999)</f>
        <v>379.6755</v>
      </c>
      <c r="E151" s="45">
        <f>IFERROR(__xludf.DUMMYFUNCTION("AVERAGE(QUERY(SORT(GOOGLEFINANCE(A151,""price"",TODAY()-500,TODAY()),1,0),""select Col2 limit 200""))"),387.0160000000001)</f>
        <v>387.016</v>
      </c>
      <c r="F151" s="46" t="str">
        <f t="shared" si="1"/>
        <v>Unconfirmed</v>
      </c>
      <c r="G151" s="47">
        <f t="shared" si="2"/>
        <v>-2.122909647</v>
      </c>
      <c r="H151" s="48" t="str">
        <f t="shared" si="3"/>
        <v>Inverted ✗</v>
      </c>
      <c r="I151" s="48">
        <f t="shared" si="4"/>
        <v>0</v>
      </c>
      <c r="J151" s="48">
        <f t="shared" si="5"/>
        <v>0</v>
      </c>
      <c r="K151" s="49" t="str">
        <f>IFERROR(__xludf.DUMMYFUNCTION("IFERROR(IF(A151="""",""ENTER STOCK"",LET(stock,A151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FOUND"")"),"Short History")</f>
        <v>Short History</v>
      </c>
      <c r="L151" s="48">
        <f t="shared" si="6"/>
        <v>0</v>
      </c>
      <c r="M151" s="48">
        <f t="shared" si="7"/>
        <v>1</v>
      </c>
      <c r="N151" s="50">
        <f t="shared" si="8"/>
        <v>1</v>
      </c>
      <c r="O151" s="51" t="s">
        <v>295</v>
      </c>
      <c r="P151" s="46" t="str">
        <f t="shared" si="9"/>
        <v>WAIT</v>
      </c>
      <c r="Q151" s="52"/>
      <c r="R151" s="53">
        <f t="shared" si="10"/>
        <v>15</v>
      </c>
      <c r="S151" s="53">
        <f>IFERROR(__xludf.DUMMYFUNCTION("IFERROR(ROUND(GOOGLEFINANCE(A151,""volume"")/GOOGLEFINANCE(A151,""volumeavg""),2),"""")"),1.34)</f>
        <v>1.34</v>
      </c>
      <c r="T151" s="53" t="str">
        <f t="shared" si="11"/>
        <v>OK VOL</v>
      </c>
      <c r="U151" s="53">
        <f>IFERROR(__xludf.DUMMYFUNCTION("IFERROR(
  LET(
    sd, GOOGLEFINANCE(A151,""close"",TODAY()-100,TODAY()),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"""")"),0.89)</f>
        <v>0.89</v>
      </c>
      <c r="V151" s="53" t="str">
        <f t="shared" si="12"/>
        <v>SLOW</v>
      </c>
      <c r="W151" s="53">
        <f>IFERROR(__xludf.DUMMYFUNCTION("IFERROR(ROUND((B151/GOOGLEFINANCE(A151,""high52"")-1)*100,1),"""")"),-9.5)</f>
        <v>-9.5</v>
      </c>
      <c r="X151" s="53">
        <f>IFERROR(__xludf.DUMMYFUNCTION("IFERROR(ROUND((B151-GOOGLEFINANCE(A151,""low52""))/(GOOGLEFINANCE(A151,""high52"")-GOOGLEFINANCE(A151,""low52""))*100,1),"""")"),52.5)</f>
        <v>52.5</v>
      </c>
      <c r="Y151" s="53" t="str">
        <f t="shared" si="13"/>
        <v>UPPER</v>
      </c>
      <c r="Z151" s="53">
        <f>IFERROR(__xludf.DUMMYFUNCTION("IFERROR(ROUND(((B151 / INDEX(GOOGLEFINANCE(TRIM(A151), ""price"", TODAY()-34, TODAY()), 2, 2)) - (GOOGLEFINANCE(""NIFTY_50"") / INDEX(GOOGLEFINANCE(""NIFTY_50"", ""price"", TODAY()-34, TODAY()), 2, 2))) * 100, 2), ""Check History"")"),11.92)</f>
        <v>11.92</v>
      </c>
      <c r="AA151" s="53" t="str">
        <f t="shared" si="14"/>
        <v>STRONG RS</v>
      </c>
      <c r="AB151" s="53">
        <f>IFERROR(__xludf.DUMMYFUNCTION("IFERROR(LET(
  p, QUERY(GOOGLEFINANCE(TRIM(A151),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Loading"")"),60.2)</f>
        <v>60.2</v>
      </c>
      <c r="AC151" s="53" t="str">
        <f t="shared" si="15"/>
        <v>IDEAL ENTRY</v>
      </c>
      <c r="AD151" s="53" t="str">
        <f>IFERROR(__xludf.DUMMYFUNCTION("IFERROR(IF(GOOGLEFINANCE(A151,""eps"")&gt;0,""EPS+"",""EPS-""),"""")"),"EPS+")</f>
        <v>EPS+</v>
      </c>
      <c r="AE151" s="53">
        <f t="shared" si="16"/>
        <v>6</v>
      </c>
      <c r="AF151" s="53">
        <f>IFERROR(__xludf.DUMMYFUNCTION("IFERROR(N151+IF(S151&gt;=1.2,1,0)+IF(U151&gt;=1,1,0)+IF(Z151&gt;0,1,0)+IF(AND(W151&gt;=-20,W151&lt;=0),1,0)+IF(IFERROR(GOOGLEFINANCE(A151,""eps""),0)&gt;0,1,0),"""")"),5.0)</f>
        <v>5</v>
      </c>
      <c r="AG151" s="53" t="str">
        <f t="shared" si="17"/>
        <v>WAIT</v>
      </c>
    </row>
    <row r="152" ht="15.0" customHeight="1">
      <c r="A152" s="43" t="s">
        <v>311</v>
      </c>
      <c r="B152" s="44">
        <f>IFERROR(__xludf.DUMMYFUNCTION("GOOGLEFINANCE(A152,""price"")"),708.0)</f>
        <v>708</v>
      </c>
      <c r="C152" s="45">
        <f>IFERROR(__xludf.DUMMYFUNCTION("AVERAGE(QUERY(SORT(GOOGLEFINANCE(A152,""price"",TODAY()-150,TODAY()),1,0),""select Col2 limit 50""))"),763.1659999999997)</f>
        <v>763.166</v>
      </c>
      <c r="D152" s="45">
        <f>IFERROR(__xludf.DUMMYFUNCTION("AVERAGE(QUERY(SORT(GOOGLEFINANCE(A152,""price"",TODAY()-300,TODAY()),1,0),""select Col2 limit 100""))"),770.9449999999998)</f>
        <v>770.945</v>
      </c>
      <c r="E152" s="45">
        <f>IFERROR(__xludf.DUMMYFUNCTION("AVERAGE(QUERY(SORT(GOOGLEFINANCE(A152,""price"",TODAY()-500,TODAY()),1,0),""select Col2 limit 200""))"),752.9119999999997)</f>
        <v>752.912</v>
      </c>
      <c r="F152" s="46" t="str">
        <f t="shared" si="1"/>
        <v>In Bear Run</v>
      </c>
      <c r="G152" s="47">
        <f t="shared" si="2"/>
        <v>-5.965106148</v>
      </c>
      <c r="H152" s="48" t="str">
        <f t="shared" si="3"/>
        <v>Inverted ✗</v>
      </c>
      <c r="I152" s="48">
        <f t="shared" si="4"/>
        <v>0</v>
      </c>
      <c r="J152" s="48">
        <f t="shared" si="5"/>
        <v>0</v>
      </c>
      <c r="K152" s="49" t="str">
        <f>IFERROR(__xludf.DUMMYFUNCTION("IFERROR(IF(A152="""",""ENTER STOCK"",LET(stock,A152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52" s="48">
        <f t="shared" si="6"/>
        <v>0</v>
      </c>
      <c r="M152" s="48">
        <f t="shared" si="7"/>
        <v>1</v>
      </c>
      <c r="N152" s="50">
        <f t="shared" si="8"/>
        <v>1</v>
      </c>
      <c r="O152" s="51" t="s">
        <v>312</v>
      </c>
      <c r="P152" s="46" t="str">
        <f t="shared" si="9"/>
        <v>REVERSE TRADE</v>
      </c>
      <c r="Q152" s="52"/>
      <c r="R152" s="53">
        <f t="shared" si="10"/>
        <v>15</v>
      </c>
      <c r="S152" s="53">
        <f>IFERROR(__xludf.DUMMYFUNCTION("IFERROR(ROUND(GOOGLEFINANCE(A152,""volume"")/GOOGLEFINANCE(A152,""volumeavg""),2),"""")"),1.61)</f>
        <v>1.61</v>
      </c>
      <c r="T152" s="53" t="str">
        <f t="shared" si="11"/>
        <v>HIGH VOL</v>
      </c>
      <c r="U152" s="53">
        <f>IFERROR(__xludf.DUMMYFUNCTION("IFERROR(
  LET(
    sd, GOOGLEFINANCE(A152,""close"",TODAY()-100,TODAY()),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"""")"),1.42)</f>
        <v>1.42</v>
      </c>
      <c r="V152" s="53" t="str">
        <f t="shared" si="12"/>
        <v>FAST</v>
      </c>
      <c r="W152" s="53">
        <f>IFERROR(__xludf.DUMMYFUNCTION("IFERROR(ROUND((B152/GOOGLEFINANCE(A152,""high52"")-1)*100,1),"""")"),-19.9)</f>
        <v>-19.9</v>
      </c>
      <c r="X152" s="53">
        <f>IFERROR(__xludf.DUMMYFUNCTION("IFERROR(ROUND((B152-GOOGLEFINANCE(A152,""low52""))/(GOOGLEFINANCE(A152,""high52"")-GOOGLEFINANCE(A152,""low52""))*100,1),"""")"),54.6)</f>
        <v>54.6</v>
      </c>
      <c r="Y152" s="53" t="str">
        <f t="shared" si="13"/>
        <v>UPPER</v>
      </c>
      <c r="Z152" s="53">
        <f>IFERROR(__xludf.DUMMYFUNCTION("IFERROR(ROUND(((B152 / INDEX(GOOGLEFINANCE(TRIM(A152), ""price"", TODAY()-34, TODAY()), 2, 2)) - (GOOGLEFINANCE(""NIFTY_50"") / INDEX(GOOGLEFINANCE(""NIFTY_50"", ""price"", TODAY()-34, TODAY()), 2, 2))) * 100, 2), ""Check History"")"),1.37)</f>
        <v>1.37</v>
      </c>
      <c r="AA152" s="53" t="str">
        <f t="shared" si="14"/>
        <v>MILD RS</v>
      </c>
      <c r="AB152" s="53">
        <f>IFERROR(__xludf.DUMMYFUNCTION("IFERROR(LET(
  p, QUERY(GOOGLEFINANCE(TRIM(A152),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Loading"")"),36.1)</f>
        <v>36.1</v>
      </c>
      <c r="AC152" s="53" t="str">
        <f t="shared" si="15"/>
        <v>WEAK MOM</v>
      </c>
      <c r="AD152" s="53" t="str">
        <f>IFERROR(__xludf.DUMMYFUNCTION("IFERROR(IF(GOOGLEFINANCE(A152,""eps"")&gt;0,""EPS+"",""EPS-""),"""")"),"EPS+")</f>
        <v>EPS+</v>
      </c>
      <c r="AE152" s="53">
        <f t="shared" si="16"/>
        <v>8</v>
      </c>
      <c r="AF152" s="53">
        <f>IFERROR(__xludf.DUMMYFUNCTION("IFERROR(N152+IF(S152&gt;=1.2,1,0)+IF(U152&gt;=1,1,0)+IF(Z152&gt;0,1,0)+IF(AND(W152&gt;=-20,W152&lt;=0),1,0)+IF(IFERROR(GOOGLEFINANCE(A152,""eps""),0)&gt;0,1,0),"""")"),6.0)</f>
        <v>6</v>
      </c>
      <c r="AG152" s="53" t="str">
        <f t="shared" si="17"/>
        <v>REVERSE TRADE</v>
      </c>
    </row>
    <row r="153" ht="15.0" customHeight="1">
      <c r="A153" s="43" t="s">
        <v>313</v>
      </c>
      <c r="B153" s="44">
        <f>IFERROR(__xludf.DUMMYFUNCTION("GOOGLEFINANCE(A153,""price"")"),1524.0)</f>
        <v>1524</v>
      </c>
      <c r="C153" s="45">
        <f>IFERROR(__xludf.DUMMYFUNCTION("AVERAGE(QUERY(SORT(GOOGLEFINANCE(A153,""price"",TODAY()-150,TODAY()),1,0),""select Col2 limit 50""))"),1569.924000000001)</f>
        <v>1569.924</v>
      </c>
      <c r="D153" s="45">
        <f>IFERROR(__xludf.DUMMYFUNCTION("AVERAGE(QUERY(SORT(GOOGLEFINANCE(A153,""price"",TODAY()-300,TODAY()),1,0),""select Col2 limit 100""))"),1622.1560000000004)</f>
        <v>1622.156</v>
      </c>
      <c r="E153" s="45">
        <f>IFERROR(__xludf.DUMMYFUNCTION("AVERAGE(QUERY(SORT(GOOGLEFINANCE(A153,""price"",TODAY()-500,TODAY()),1,0),""select Col2 limit 200""))"),1756.2070000000003)</f>
        <v>1756.207</v>
      </c>
      <c r="F153" s="46" t="str">
        <f t="shared" si="1"/>
        <v>In Bear Run</v>
      </c>
      <c r="G153" s="47">
        <f t="shared" si="2"/>
        <v>-13.22207462</v>
      </c>
      <c r="H153" s="48" t="str">
        <f t="shared" si="3"/>
        <v>Inverted ✗</v>
      </c>
      <c r="I153" s="48">
        <f t="shared" si="4"/>
        <v>0</v>
      </c>
      <c r="J153" s="48">
        <f t="shared" si="5"/>
        <v>0</v>
      </c>
      <c r="K153" s="49" t="str">
        <f>IFERROR(__xludf.DUMMYFUNCTION("IFERROR(IF(A153="""",""ENTER STOCK"",LET(stock,A153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53" s="48">
        <f t="shared" si="6"/>
        <v>0</v>
      </c>
      <c r="M153" s="48">
        <f t="shared" si="7"/>
        <v>1</v>
      </c>
      <c r="N153" s="50">
        <f t="shared" si="8"/>
        <v>1</v>
      </c>
      <c r="O153" s="51" t="s">
        <v>131</v>
      </c>
      <c r="P153" s="46" t="str">
        <f t="shared" si="9"/>
        <v>REVERSE TRADE</v>
      </c>
      <c r="Q153" s="52"/>
      <c r="R153" s="53">
        <f t="shared" si="10"/>
        <v>15</v>
      </c>
      <c r="S153" s="53">
        <f>IFERROR(__xludf.DUMMYFUNCTION("IFERROR(ROUND(GOOGLEFINANCE(A153,""volume"")/GOOGLEFINANCE(A153,""volumeavg""),2),"""")"),2.03)</f>
        <v>2.03</v>
      </c>
      <c r="T153" s="53" t="str">
        <f t="shared" si="11"/>
        <v>HIGH VOL</v>
      </c>
      <c r="U153" s="53">
        <f>IFERROR(__xludf.DUMMYFUNCTION("IFERROR(
  LET(
    sd, GOOGLEFINANCE(A153,""close"",TODAY()-100,TODAY()),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"""")"),0.54)</f>
        <v>0.54</v>
      </c>
      <c r="V153" s="53" t="str">
        <f t="shared" si="12"/>
        <v>SLOW</v>
      </c>
      <c r="W153" s="53">
        <f>IFERROR(__xludf.DUMMYFUNCTION("IFERROR(ROUND((B153/GOOGLEFINANCE(A153,""high52"")-1)*100,1),"""")"),-33.6)</f>
        <v>-33.6</v>
      </c>
      <c r="X153" s="53">
        <f>IFERROR(__xludf.DUMMYFUNCTION("IFERROR(ROUND((B153-GOOGLEFINANCE(A153,""low52""))/(GOOGLEFINANCE(A153,""high52"")-GOOGLEFINANCE(A153,""low52""))*100,1),"""")"),13.8)</f>
        <v>13.8</v>
      </c>
      <c r="Y153" s="53" t="str">
        <f t="shared" si="13"/>
        <v>MID</v>
      </c>
      <c r="Z153" s="53">
        <f>IFERROR(__xludf.DUMMYFUNCTION("IFERROR(ROUND(((B153 / INDEX(GOOGLEFINANCE(TRIM(A153), ""price"", TODAY()-34, TODAY()), 2, 2)) - (GOOGLEFINANCE(""NIFTY_50"") / INDEX(GOOGLEFINANCE(""NIFTY_50"", ""price"", TODAY()-34, TODAY()), 2, 2))) * 100, 2), ""Check History"")"),7.45)</f>
        <v>7.45</v>
      </c>
      <c r="AA153" s="53" t="str">
        <f t="shared" si="14"/>
        <v>STRONG RS</v>
      </c>
      <c r="AB153" s="53">
        <f>IFERROR(__xludf.DUMMYFUNCTION("IFERROR(LET(
  p, QUERY(GOOGLEFINANCE(TRIM(A153),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Loading"")"),35.0)</f>
        <v>35</v>
      </c>
      <c r="AC153" s="53" t="str">
        <f t="shared" si="15"/>
        <v>WEAK MOM</v>
      </c>
      <c r="AD153" s="53" t="str">
        <f>IFERROR(__xludf.DUMMYFUNCTION("IFERROR(IF(GOOGLEFINANCE(A153,""eps"")&gt;0,""EPS+"",""EPS-""),"""")"),"EPS+")</f>
        <v>EPS+</v>
      </c>
      <c r="AE153" s="53">
        <f t="shared" si="16"/>
        <v>5</v>
      </c>
      <c r="AF153" s="53">
        <f>IFERROR(__xludf.DUMMYFUNCTION("IFERROR(N153+IF(S153&gt;=1.2,1,0)+IF(U153&gt;=1,1,0)+IF(Z153&gt;0,1,0)+IF(AND(W153&gt;=-20,W153&lt;=0),1,0)+IF(IFERROR(GOOGLEFINANCE(A153,""eps""),0)&gt;0,1,0),"""")"),4.0)</f>
        <v>4</v>
      </c>
      <c r="AG153" s="53" t="str">
        <f t="shared" si="17"/>
        <v>REVERSE TRADE</v>
      </c>
    </row>
    <row r="154" ht="15.0" customHeight="1">
      <c r="A154" s="43" t="s">
        <v>314</v>
      </c>
      <c r="B154" s="44">
        <f>IFERROR(__xludf.DUMMYFUNCTION("GOOGLEFINANCE(A154,""price"")"),2541.0)</f>
        <v>2541</v>
      </c>
      <c r="C154" s="45">
        <f>IFERROR(__xludf.DUMMYFUNCTION("AVERAGE(QUERY(SORT(GOOGLEFINANCE(A154,""price"",TODAY()-150,TODAY()),1,0),""select Col2 limit 50""))"),2774.3140000000003)</f>
        <v>2774.314</v>
      </c>
      <c r="D154" s="45">
        <f>IFERROR(__xludf.DUMMYFUNCTION("AVERAGE(QUERY(SORT(GOOGLEFINANCE(A154,""price"",TODAY()-300,TODAY()),1,0),""select Col2 limit 100""))"),2779.578)</f>
        <v>2779.578</v>
      </c>
      <c r="E154" s="45">
        <f>IFERROR(__xludf.DUMMYFUNCTION("AVERAGE(QUERY(SORT(GOOGLEFINANCE(A154,""price"",TODAY()-500,TODAY()),1,0),""select Col2 limit 200""))"),2786.110500000001)</f>
        <v>2786.1105</v>
      </c>
      <c r="F154" s="46" t="str">
        <f t="shared" si="1"/>
        <v>In Bear Run</v>
      </c>
      <c r="G154" s="47">
        <f t="shared" si="2"/>
        <v>-8.797587174</v>
      </c>
      <c r="H154" s="48" t="str">
        <f t="shared" si="3"/>
        <v>Inverted ✗</v>
      </c>
      <c r="I154" s="48">
        <f t="shared" si="4"/>
        <v>0</v>
      </c>
      <c r="J154" s="48">
        <f t="shared" si="5"/>
        <v>0</v>
      </c>
      <c r="K154" s="49" t="str">
        <f>IFERROR(__xludf.DUMMYFUNCTION("IFERROR(IF(A154="""",""ENTER STOCK"",LET(stock,A154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54" s="48">
        <f t="shared" si="6"/>
        <v>0</v>
      </c>
      <c r="M154" s="48">
        <f t="shared" si="7"/>
        <v>1</v>
      </c>
      <c r="N154" s="50">
        <f t="shared" si="8"/>
        <v>1</v>
      </c>
      <c r="O154" s="51" t="s">
        <v>225</v>
      </c>
      <c r="P154" s="46" t="str">
        <f t="shared" si="9"/>
        <v>REVERSE TRADE</v>
      </c>
      <c r="Q154" s="52"/>
      <c r="R154" s="53">
        <f t="shared" si="10"/>
        <v>15</v>
      </c>
      <c r="S154" s="53">
        <f>IFERROR(__xludf.DUMMYFUNCTION("IFERROR(ROUND(GOOGLEFINANCE(A154,""volume"")/GOOGLEFINANCE(A154,""volumeavg""),2),"""")"),1.98)</f>
        <v>1.98</v>
      </c>
      <c r="T154" s="53" t="str">
        <f t="shared" si="11"/>
        <v>HIGH VOL</v>
      </c>
      <c r="U154" s="53">
        <f>IFERROR(__xludf.DUMMYFUNCTION("IFERROR(
  LET(
    sd, GOOGLEFINANCE(A154,""close"",TODAY()-100,TODAY()),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"""")"),1.22)</f>
        <v>1.22</v>
      </c>
      <c r="V154" s="53" t="str">
        <f t="shared" si="12"/>
        <v>FAST</v>
      </c>
      <c r="W154" s="53">
        <f>IFERROR(__xludf.DUMMYFUNCTION("IFERROR(ROUND((B154/GOOGLEFINANCE(A154,""high52"")-1)*100,1),"""")"),-14.7)</f>
        <v>-14.7</v>
      </c>
      <c r="X154" s="53">
        <f>IFERROR(__xludf.DUMMYFUNCTION("IFERROR(ROUND((B154-GOOGLEFINANCE(A154,""low52""))/(GOOGLEFINANCE(A154,""high52"")-GOOGLEFINANCE(A154,""low52""))*100,1),"""")"),14.7)</f>
        <v>14.7</v>
      </c>
      <c r="Y154" s="53" t="str">
        <f t="shared" si="13"/>
        <v>UPPER</v>
      </c>
      <c r="Z154" s="53">
        <f>IFERROR(__xludf.DUMMYFUNCTION("IFERROR(ROUND(((B154 / INDEX(GOOGLEFINANCE(TRIM(A154), ""price"", TODAY()-34, TODAY()), 2, 2)) - (GOOGLEFINANCE(""NIFTY_50"") / INDEX(GOOGLEFINANCE(""NIFTY_50"", ""price"", TODAY()-34, TODAY()), 2, 2))) * 100, 2), ""Check History"")"),0.42)</f>
        <v>0.42</v>
      </c>
      <c r="AA154" s="53" t="str">
        <f t="shared" si="14"/>
        <v>MILD RS</v>
      </c>
      <c r="AB154" s="53">
        <f>IFERROR(__xludf.DUMMYFUNCTION("IFERROR(LET(
  p, QUERY(GOOGLEFINANCE(TRIM(A154),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Loading"")"),42.4)</f>
        <v>42.4</v>
      </c>
      <c r="AC154" s="53" t="str">
        <f t="shared" si="15"/>
        <v>WEAK MOM</v>
      </c>
      <c r="AD154" s="53" t="str">
        <f>IFERROR(__xludf.DUMMYFUNCTION("IFERROR(IF(GOOGLEFINANCE(A154,""eps"")&gt;0,""EPS+"",""EPS-""),"""")"),"EPS+")</f>
        <v>EPS+</v>
      </c>
      <c r="AE154" s="53">
        <f t="shared" si="16"/>
        <v>7</v>
      </c>
      <c r="AF154" s="53">
        <f>IFERROR(__xludf.DUMMYFUNCTION("IFERROR(N154+IF(S154&gt;=1.2,1,0)+IF(U154&gt;=1,1,0)+IF(Z154&gt;0,1,0)+IF(AND(W154&gt;=-20,W154&lt;=0),1,0)+IF(IFERROR(GOOGLEFINANCE(A154,""eps""),0)&gt;0,1,0),"""")"),6.0)</f>
        <v>6</v>
      </c>
      <c r="AG154" s="53" t="str">
        <f t="shared" si="17"/>
        <v>REVERSE TRADE</v>
      </c>
    </row>
    <row r="155" ht="15.0" customHeight="1">
      <c r="A155" s="43" t="s">
        <v>315</v>
      </c>
      <c r="B155" s="44">
        <f>IFERROR(__xludf.DUMMYFUNCTION("GOOGLEFINANCE(A155,""price"")"),281.35)</f>
        <v>281.35</v>
      </c>
      <c r="C155" s="45">
        <f>IFERROR(__xludf.DUMMYFUNCTION("AVERAGE(QUERY(SORT(GOOGLEFINANCE(A155,""price"",TODAY()-150,TODAY()),1,0),""select Col2 limit 50""))"),349.3280000000001)</f>
        <v>349.328</v>
      </c>
      <c r="D155" s="45">
        <f>IFERROR(__xludf.DUMMYFUNCTION("AVERAGE(QUERY(SORT(GOOGLEFINANCE(A155,""price"",TODAY()-300,TODAY()),1,0),""select Col2 limit 100""))"),357.5455)</f>
        <v>357.5455</v>
      </c>
      <c r="E155" s="45">
        <f>IFERROR(__xludf.DUMMYFUNCTION("AVERAGE(QUERY(SORT(GOOGLEFINANCE(A155,""price"",TODAY()-500,TODAY()),1,0),""select Col2 limit 200""))"),343.42874999999987)</f>
        <v>343.42875</v>
      </c>
      <c r="F155" s="46" t="str">
        <f t="shared" si="1"/>
        <v>In Bear Run</v>
      </c>
      <c r="G155" s="47">
        <f t="shared" si="2"/>
        <v>-18.07616573</v>
      </c>
      <c r="H155" s="48" t="str">
        <f t="shared" si="3"/>
        <v>Inverted ✗</v>
      </c>
      <c r="I155" s="48">
        <f t="shared" si="4"/>
        <v>0</v>
      </c>
      <c r="J155" s="48">
        <f t="shared" si="5"/>
        <v>0</v>
      </c>
      <c r="K155" s="49" t="str">
        <f>IFERROR(__xludf.DUMMYFUNCTION("IFERROR(IF(A155="""",""ENTER STOCK"",LET(stock,A155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55" s="48">
        <f t="shared" si="6"/>
        <v>0</v>
      </c>
      <c r="M155" s="48">
        <f t="shared" si="7"/>
        <v>1</v>
      </c>
      <c r="N155" s="50">
        <f t="shared" si="8"/>
        <v>1</v>
      </c>
      <c r="O155" s="51" t="s">
        <v>265</v>
      </c>
      <c r="P155" s="46" t="str">
        <f t="shared" si="9"/>
        <v>REVERSE TRADE</v>
      </c>
      <c r="Q155" s="52"/>
      <c r="R155" s="53">
        <f t="shared" si="10"/>
        <v>15</v>
      </c>
      <c r="S155" s="53">
        <f>IFERROR(__xludf.DUMMYFUNCTION("IFERROR(ROUND(GOOGLEFINANCE(A155,""volume"")/GOOGLEFINANCE(A155,""volumeavg""),2),"""")"),1.27)</f>
        <v>1.27</v>
      </c>
      <c r="T155" s="53" t="str">
        <f t="shared" si="11"/>
        <v>OK VOL</v>
      </c>
      <c r="U155" s="53">
        <f>IFERROR(__xludf.DUMMYFUNCTION("IFERROR(
  LET(
    sd, GOOGLEFINANCE(A155,""close"",TODAY()-100,TODAY()),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"""")"),1.23)</f>
        <v>1.23</v>
      </c>
      <c r="V155" s="53" t="str">
        <f t="shared" si="12"/>
        <v>FAST</v>
      </c>
      <c r="W155" s="53">
        <f>IFERROR(__xludf.DUMMYFUNCTION("IFERROR(ROUND((B155/GOOGLEFINANCE(A155,""high52"")-1)*100,1),"""")"),-28.2)</f>
        <v>-28.2</v>
      </c>
      <c r="X155" s="53">
        <f>IFERROR(__xludf.DUMMYFUNCTION("IFERROR(ROUND((B155-GOOGLEFINANCE(A155,""low52""))/(GOOGLEFINANCE(A155,""high52"")-GOOGLEFINANCE(A155,""low52""))*100,1),"""")"),14.9)</f>
        <v>14.9</v>
      </c>
      <c r="Y155" s="53" t="str">
        <f t="shared" si="13"/>
        <v>MID</v>
      </c>
      <c r="Z155" s="53">
        <f>IFERROR(__xludf.DUMMYFUNCTION("IFERROR(ROUND(((B155 / INDEX(GOOGLEFINANCE(TRIM(A155), ""price"", TODAY()-34, TODAY()), 2, 2)) - (GOOGLEFINANCE(""NIFTY_50"") / INDEX(GOOGLEFINANCE(""NIFTY_50"", ""price"", TODAY()-34, TODAY()), 2, 2))) * 100, 2), ""Check History"")"),-12.7)</f>
        <v>-12.7</v>
      </c>
      <c r="AA155" s="53" t="str">
        <f t="shared" si="14"/>
        <v>WEAK RS</v>
      </c>
      <c r="AB155" s="53">
        <f>IFERROR(__xludf.DUMMYFUNCTION("IFERROR(LET(
  p, QUERY(GOOGLEFINANCE(TRIM(A155),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Loading"")"),33.9)</f>
        <v>33.9</v>
      </c>
      <c r="AC155" s="53" t="str">
        <f t="shared" si="15"/>
        <v>WEAK MOM</v>
      </c>
      <c r="AD155" s="53" t="str">
        <f>IFERROR(__xludf.DUMMYFUNCTION("IFERROR(IF(GOOGLEFINANCE(A155,""eps"")&gt;0,""EPS+"",""EPS-""),"""")"),"EPS+")</f>
        <v>EPS+</v>
      </c>
      <c r="AE155" s="53">
        <f t="shared" si="16"/>
        <v>5</v>
      </c>
      <c r="AF155" s="53">
        <f>IFERROR(__xludf.DUMMYFUNCTION("IFERROR(N155+IF(S155&gt;=1.2,1,0)+IF(U155&gt;=1,1,0)+IF(Z155&gt;0,1,0)+IF(AND(W155&gt;=-20,W155&lt;=0),1,0)+IF(IFERROR(GOOGLEFINANCE(A155,""eps""),0)&gt;0,1,0),"""")"),4.0)</f>
        <v>4</v>
      </c>
      <c r="AG155" s="53" t="str">
        <f t="shared" si="17"/>
        <v>REVERSE TRADE</v>
      </c>
    </row>
    <row r="156" ht="15.0" customHeight="1">
      <c r="A156" s="43" t="s">
        <v>316</v>
      </c>
      <c r="B156" s="44">
        <f>IFERROR(__xludf.DUMMYFUNCTION("GOOGLEFINANCE(A156,""price"")"),1013.5)</f>
        <v>1013.5</v>
      </c>
      <c r="C156" s="45">
        <f>IFERROR(__xludf.DUMMYFUNCTION("AVERAGE(QUERY(SORT(GOOGLEFINANCE(A156,""price"",TODAY()-150,TODAY()),1,0),""select Col2 limit 50""))"),1126.052)</f>
        <v>1126.052</v>
      </c>
      <c r="D156" s="45">
        <f>IFERROR(__xludf.DUMMYFUNCTION("AVERAGE(QUERY(SORT(GOOGLEFINANCE(A156,""price"",TODAY()-300,TODAY()),1,0),""select Col2 limit 100""))"),1149.1879999999999)</f>
        <v>1149.188</v>
      </c>
      <c r="E156" s="45">
        <f>IFERROR(__xludf.DUMMYFUNCTION("AVERAGE(QUERY(SORT(GOOGLEFINANCE(A156,""price"",TODAY()-500,TODAY()),1,0),""select Col2 limit 200""))"),1125.5614999999991)</f>
        <v>1125.5615</v>
      </c>
      <c r="F156" s="46" t="str">
        <f t="shared" si="1"/>
        <v>In Bear Run</v>
      </c>
      <c r="G156" s="47">
        <f t="shared" si="2"/>
        <v>-9.956053046</v>
      </c>
      <c r="H156" s="48" t="str">
        <f t="shared" si="3"/>
        <v>Inverted ✗</v>
      </c>
      <c r="I156" s="48">
        <f t="shared" si="4"/>
        <v>0</v>
      </c>
      <c r="J156" s="48">
        <f t="shared" si="5"/>
        <v>0</v>
      </c>
      <c r="K156" s="49" t="str">
        <f>IFERROR(__xludf.DUMMYFUNCTION("IFERROR(IF(A156="""",""ENTER STOCK"",LET(stock,A156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56" s="48">
        <f t="shared" si="6"/>
        <v>0</v>
      </c>
      <c r="M156" s="48">
        <f t="shared" si="7"/>
        <v>1</v>
      </c>
      <c r="N156" s="50">
        <f t="shared" si="8"/>
        <v>1</v>
      </c>
      <c r="O156" s="51" t="s">
        <v>131</v>
      </c>
      <c r="P156" s="46" t="str">
        <f t="shared" si="9"/>
        <v>REVERSE TRADE</v>
      </c>
      <c r="Q156" s="52"/>
      <c r="R156" s="53">
        <f t="shared" si="10"/>
        <v>15</v>
      </c>
      <c r="S156" s="53">
        <f>IFERROR(__xludf.DUMMYFUNCTION("IFERROR(ROUND(GOOGLEFINANCE(A156,""volume"")/GOOGLEFINANCE(A156,""volumeavg""),2),"""")"),1.59)</f>
        <v>1.59</v>
      </c>
      <c r="T156" s="53" t="str">
        <f t="shared" si="11"/>
        <v>HIGH VOL</v>
      </c>
      <c r="U156" s="53">
        <f>IFERROR(__xludf.DUMMYFUNCTION("IFERROR(
  LET(
    sd, GOOGLEFINANCE(A156,""close"",TODAY()-100,TODAY()),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"""")"),0.67)</f>
        <v>0.67</v>
      </c>
      <c r="V156" s="53" t="str">
        <f t="shared" si="12"/>
        <v>SLOW</v>
      </c>
      <c r="W156" s="53">
        <f>IFERROR(__xludf.DUMMYFUNCTION("IFERROR(ROUND((B156/GOOGLEFINANCE(A156,""high52"")-1)*100,1),"""")"),-17.0)</f>
        <v>-17</v>
      </c>
      <c r="X156" s="53">
        <f>IFERROR(__xludf.DUMMYFUNCTION("IFERROR(ROUND((B156-GOOGLEFINANCE(A156,""low52""))/(GOOGLEFINANCE(A156,""high52"")-GOOGLEFINANCE(A156,""low52""))*100,1),"""")"),10.5)</f>
        <v>10.5</v>
      </c>
      <c r="Y156" s="53" t="str">
        <f t="shared" si="13"/>
        <v>UPPER</v>
      </c>
      <c r="Z156" s="53">
        <f>IFERROR(__xludf.DUMMYFUNCTION("IFERROR(ROUND(((B156 / INDEX(GOOGLEFINANCE(TRIM(A156), ""price"", TODAY()-34, TODAY()), 2, 2)) - (GOOGLEFINANCE(""NIFTY_50"") / INDEX(GOOGLEFINANCE(""NIFTY_50"", ""price"", TODAY()-34, TODAY()), 2, 2))) * 100, 2), ""Check History"")"),-1.8)</f>
        <v>-1.8</v>
      </c>
      <c r="AA156" s="53" t="str">
        <f t="shared" si="14"/>
        <v>WEAK RS</v>
      </c>
      <c r="AB156" s="53">
        <f>IFERROR(__xludf.DUMMYFUNCTION("IFERROR(LET(
  p, QUERY(GOOGLEFINANCE(TRIM(A156),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Loading"")"),45.0)</f>
        <v>45</v>
      </c>
      <c r="AC156" s="53" t="str">
        <f t="shared" si="15"/>
        <v>IDEAL ENTRY</v>
      </c>
      <c r="AD156" s="53" t="str">
        <f>IFERROR(__xludf.DUMMYFUNCTION("IFERROR(IF(GOOGLEFINANCE(A156,""eps"")&gt;0,""EPS+"",""EPS-""),"""")"),"EPS+")</f>
        <v>EPS+</v>
      </c>
      <c r="AE156" s="53">
        <f t="shared" si="16"/>
        <v>4</v>
      </c>
      <c r="AF156" s="53">
        <f>IFERROR(__xludf.DUMMYFUNCTION("IFERROR(N156+IF(S156&gt;=1.2,1,0)+IF(U156&gt;=1,1,0)+IF(Z156&gt;0,1,0)+IF(AND(W156&gt;=-20,W156&lt;=0),1,0)+IF(IFERROR(GOOGLEFINANCE(A156,""eps""),0)&gt;0,1,0),"""")"),4.0)</f>
        <v>4</v>
      </c>
      <c r="AG156" s="53" t="str">
        <f t="shared" si="17"/>
        <v>REVERSE TRADE</v>
      </c>
    </row>
    <row r="157" ht="15.0" customHeight="1">
      <c r="A157" s="43" t="s">
        <v>317</v>
      </c>
      <c r="B157" s="44">
        <f>IFERROR(__xludf.DUMMYFUNCTION("GOOGLEFINANCE(A157,""price"")"),1348.3)</f>
        <v>1348.3</v>
      </c>
      <c r="C157" s="45">
        <f>IFERROR(__xludf.DUMMYFUNCTION("AVERAGE(QUERY(SORT(GOOGLEFINANCE(A157,""price"",TODAY()-150,TODAY()),1,0),""select Col2 limit 50""))"),1410.438)</f>
        <v>1410.438</v>
      </c>
      <c r="D157" s="45">
        <f>IFERROR(__xludf.DUMMYFUNCTION("AVERAGE(QUERY(SORT(GOOGLEFINANCE(A157,""price"",TODAY()-300,TODAY()),1,0),""select Col2 limit 100""))"),1471.5610000000001)</f>
        <v>1471.561</v>
      </c>
      <c r="E157" s="45">
        <f>IFERROR(__xludf.DUMMYFUNCTION("AVERAGE(QUERY(SORT(GOOGLEFINANCE(A157,""price"",TODAY()-500,TODAY()),1,0),""select Col2 limit 200""))"),1447.5104999999996)</f>
        <v>1447.5105</v>
      </c>
      <c r="F157" s="46" t="str">
        <f t="shared" si="1"/>
        <v>In Bear Run</v>
      </c>
      <c r="G157" s="47">
        <f t="shared" si="2"/>
        <v>-6.853870835</v>
      </c>
      <c r="H157" s="48" t="str">
        <f t="shared" si="3"/>
        <v>Inverted ✗</v>
      </c>
      <c r="I157" s="48">
        <f t="shared" si="4"/>
        <v>0</v>
      </c>
      <c r="J157" s="48">
        <f t="shared" si="5"/>
        <v>0</v>
      </c>
      <c r="K157" s="49" t="str">
        <f>IFERROR(__xludf.DUMMYFUNCTION("IFERROR(IF(A157="""",""ENTER STOCK"",LET(stock,A157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57" s="48">
        <f t="shared" si="6"/>
        <v>0</v>
      </c>
      <c r="M157" s="48">
        <f t="shared" si="7"/>
        <v>1</v>
      </c>
      <c r="N157" s="50">
        <f t="shared" si="8"/>
        <v>1</v>
      </c>
      <c r="O157" s="51" t="s">
        <v>225</v>
      </c>
      <c r="P157" s="46" t="str">
        <f t="shared" si="9"/>
        <v>REVERSE TRADE</v>
      </c>
      <c r="Q157" s="52"/>
      <c r="R157" s="53">
        <f t="shared" si="10"/>
        <v>15</v>
      </c>
      <c r="S157" s="53">
        <f>IFERROR(__xludf.DUMMYFUNCTION("IFERROR(ROUND(GOOGLEFINANCE(A157,""volume"")/GOOGLEFINANCE(A157,""volumeavg""),2),"""")"),1.53)</f>
        <v>1.53</v>
      </c>
      <c r="T157" s="53" t="str">
        <f t="shared" si="11"/>
        <v>HIGH VOL</v>
      </c>
      <c r="U157" s="53">
        <f>IFERROR(__xludf.DUMMYFUNCTION("IFERROR(
  LET(
    sd, GOOGLEFINANCE(A157,""close"",TODAY()-100,TODAY()),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"""")"),0.74)</f>
        <v>0.74</v>
      </c>
      <c r="V157" s="53" t="str">
        <f t="shared" si="12"/>
        <v>SLOW</v>
      </c>
      <c r="W157" s="53">
        <f>IFERROR(__xludf.DUMMYFUNCTION("IFERROR(ROUND((B157/GOOGLEFINANCE(A157,""high52"")-1)*100,1),"""")"),-16.3)</f>
        <v>-16.3</v>
      </c>
      <c r="X157" s="53">
        <f>IFERROR(__xludf.DUMMYFUNCTION("IFERROR(ROUND((B157-GOOGLEFINANCE(A157,""low52""))/(GOOGLEFINANCE(A157,""high52"")-GOOGLEFINANCE(A157,""low52""))*100,1),"""")"),47.0)</f>
        <v>47</v>
      </c>
      <c r="Y157" s="53" t="str">
        <f t="shared" si="13"/>
        <v>UPPER</v>
      </c>
      <c r="Z157" s="53">
        <f>IFERROR(__xludf.DUMMYFUNCTION("IFERROR(ROUND(((B157 / INDEX(GOOGLEFINANCE(TRIM(A157), ""price"", TODAY()-34, TODAY()), 2, 2)) - (GOOGLEFINANCE(""NIFTY_50"") / INDEX(GOOGLEFINANCE(""NIFTY_50"", ""price"", TODAY()-34, TODAY()), 2, 2))) * 100, 2), ""Check History"")"),6.53)</f>
        <v>6.53</v>
      </c>
      <c r="AA157" s="53" t="str">
        <f t="shared" si="14"/>
        <v>STRONG RS</v>
      </c>
      <c r="AB157" s="53">
        <f>IFERROR(__xludf.DUMMYFUNCTION("IFERROR(LET(
  p, QUERY(GOOGLEFINANCE(TRIM(A157),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Loading"")"),30.8)</f>
        <v>30.8</v>
      </c>
      <c r="AC157" s="53" t="str">
        <f t="shared" si="15"/>
        <v>WEAK MOM</v>
      </c>
      <c r="AD157" s="53" t="str">
        <f>IFERROR(__xludf.DUMMYFUNCTION("IFERROR(IF(GOOGLEFINANCE(A157,""eps"")&gt;0,""EPS+"",""EPS-""),"""")"),"EPS+")</f>
        <v>EPS+</v>
      </c>
      <c r="AE157" s="53">
        <f t="shared" si="16"/>
        <v>6</v>
      </c>
      <c r="AF157" s="53">
        <f>IFERROR(__xludf.DUMMYFUNCTION("IFERROR(N157+IF(S157&gt;=1.2,1,0)+IF(U157&gt;=1,1,0)+IF(Z157&gt;0,1,0)+IF(AND(W157&gt;=-20,W157&lt;=0),1,0)+IF(IFERROR(GOOGLEFINANCE(A157,""eps""),0)&gt;0,1,0),"""")"),5.0)</f>
        <v>5</v>
      </c>
      <c r="AG157" s="53" t="str">
        <f t="shared" si="17"/>
        <v>REVERSE TRADE</v>
      </c>
    </row>
    <row r="158" ht="15.0" customHeight="1">
      <c r="A158" s="43" t="s">
        <v>318</v>
      </c>
      <c r="B158" s="44">
        <f>IFERROR(__xludf.DUMMYFUNCTION("GOOGLEFINANCE(A158,""price"")"),1707.2)</f>
        <v>1707.2</v>
      </c>
      <c r="C158" s="45">
        <f>IFERROR(__xludf.DUMMYFUNCTION("AVERAGE(QUERY(SORT(GOOGLEFINANCE(A158,""price"",TODAY()-150,TODAY()),1,0),""select Col2 limit 50""))"),1859.5439999999996)</f>
        <v>1859.544</v>
      </c>
      <c r="D158" s="45">
        <f>IFERROR(__xludf.DUMMYFUNCTION("AVERAGE(QUERY(SORT(GOOGLEFINANCE(A158,""price"",TODAY()-300,TODAY()),1,0),""select Col2 limit 100""))"),1917.9319999999998)</f>
        <v>1917.932</v>
      </c>
      <c r="E158" s="45">
        <f>IFERROR(__xludf.DUMMYFUNCTION("AVERAGE(QUERY(SORT(GOOGLEFINANCE(A158,""price"",TODAY()-500,TODAY()),1,0),""select Col2 limit 200""))"),1925.6615000000006)</f>
        <v>1925.6615</v>
      </c>
      <c r="F158" s="46" t="str">
        <f t="shared" si="1"/>
        <v>In Bear Run</v>
      </c>
      <c r="G158" s="47">
        <f t="shared" si="2"/>
        <v>-11.34475088</v>
      </c>
      <c r="H158" s="48" t="str">
        <f t="shared" si="3"/>
        <v>Inverted ✗</v>
      </c>
      <c r="I158" s="48">
        <f t="shared" si="4"/>
        <v>0</v>
      </c>
      <c r="J158" s="48">
        <f t="shared" si="5"/>
        <v>0</v>
      </c>
      <c r="K158" s="49" t="str">
        <f>IFERROR(__xludf.DUMMYFUNCTION("IFERROR(IF(A158="""",""ENTER STOCK"",LET(stock,A158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58" s="48">
        <f t="shared" si="6"/>
        <v>0</v>
      </c>
      <c r="M158" s="48">
        <f t="shared" si="7"/>
        <v>1</v>
      </c>
      <c r="N158" s="50">
        <f t="shared" si="8"/>
        <v>1</v>
      </c>
      <c r="O158" s="51" t="s">
        <v>147</v>
      </c>
      <c r="P158" s="46" t="str">
        <f t="shared" si="9"/>
        <v>REVERSE TRADE</v>
      </c>
      <c r="Q158" s="52"/>
      <c r="R158" s="53">
        <f t="shared" si="10"/>
        <v>15</v>
      </c>
      <c r="S158" s="53">
        <f>IFERROR(__xludf.DUMMYFUNCTION("IFERROR(ROUND(GOOGLEFINANCE(A158,""volume"")/GOOGLEFINANCE(A158,""volumeavg""),2),"""")"),2.88)</f>
        <v>2.88</v>
      </c>
      <c r="T158" s="53" t="str">
        <f t="shared" si="11"/>
        <v>HIGH VOL</v>
      </c>
      <c r="U158" s="53">
        <f>IFERROR(__xludf.DUMMYFUNCTION("IFERROR(
  LET(
    sd, GOOGLEFINANCE(A158,""close"",TODAY()-100,TODAY()),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"""")"),0.75)</f>
        <v>0.75</v>
      </c>
      <c r="V158" s="53" t="str">
        <f t="shared" si="12"/>
        <v>SLOW</v>
      </c>
      <c r="W158" s="53">
        <f>IFERROR(__xludf.DUMMYFUNCTION("IFERROR(ROUND((B158/GOOGLEFINANCE(A158,""high52"")-1)*100,1),"""")"),-17.5)</f>
        <v>-17.5</v>
      </c>
      <c r="X158" s="53">
        <f>IFERROR(__xludf.DUMMYFUNCTION("IFERROR(ROUND((B158-GOOGLEFINANCE(A158,""low52""))/(GOOGLEFINANCE(A158,""high52"")-GOOGLEFINANCE(A158,""low52""))*100,1),"""")"),7.3)</f>
        <v>7.3</v>
      </c>
      <c r="Y158" s="53" t="str">
        <f t="shared" si="13"/>
        <v>UPPER</v>
      </c>
      <c r="Z158" s="53">
        <f>IFERROR(__xludf.DUMMYFUNCTION("IFERROR(ROUND(((B158 / INDEX(GOOGLEFINANCE(TRIM(A158), ""price"", TODAY()-34, TODAY()), 2, 2)) - (GOOGLEFINANCE(""NIFTY_50"") / INDEX(GOOGLEFINANCE(""NIFTY_50"", ""price"", TODAY()-34, TODAY()), 2, 2))) * 100, 2), ""Check History"")"),1.83)</f>
        <v>1.83</v>
      </c>
      <c r="AA158" s="53" t="str">
        <f t="shared" si="14"/>
        <v>MILD RS</v>
      </c>
      <c r="AB158" s="53">
        <f>IFERROR(__xludf.DUMMYFUNCTION("IFERROR(LET(
  p, QUERY(GOOGLEFINANCE(TRIM(A158),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Loading"")"),48.4)</f>
        <v>48.4</v>
      </c>
      <c r="AC158" s="53" t="str">
        <f t="shared" si="15"/>
        <v>IDEAL ENTRY</v>
      </c>
      <c r="AD158" s="53" t="str">
        <f>IFERROR(__xludf.DUMMYFUNCTION("IFERROR(IF(GOOGLEFINANCE(A158,""eps"")&gt;0,""EPS+"",""EPS-""),"""")"),"EPS+")</f>
        <v>EPS+</v>
      </c>
      <c r="AE158" s="53">
        <f t="shared" si="16"/>
        <v>5</v>
      </c>
      <c r="AF158" s="53">
        <f>IFERROR(__xludf.DUMMYFUNCTION("IFERROR(N158+IF(S158&gt;=1.2,1,0)+IF(U158&gt;=1,1,0)+IF(Z158&gt;0,1,0)+IF(AND(W158&gt;=-20,W158&lt;=0),1,0)+IF(IFERROR(GOOGLEFINANCE(A158,""eps""),0)&gt;0,1,0),"""")"),5.0)</f>
        <v>5</v>
      </c>
      <c r="AG158" s="53" t="str">
        <f t="shared" si="17"/>
        <v>REVERSE TRADE</v>
      </c>
    </row>
    <row r="159" ht="15.0" customHeight="1">
      <c r="A159" s="43" t="s">
        <v>319</v>
      </c>
      <c r="B159" s="44">
        <f>IFERROR(__xludf.DUMMYFUNCTION("GOOGLEFINANCE(A159,""price"")"),248.0)</f>
        <v>248</v>
      </c>
      <c r="C159" s="45">
        <f>IFERROR(__xludf.DUMMYFUNCTION("AVERAGE(QUERY(SORT(GOOGLEFINANCE(A159,""price"",TODAY()-150,TODAY()),1,0),""select Col2 limit 50""))"),287.707)</f>
        <v>287.707</v>
      </c>
      <c r="D159" s="45">
        <f>IFERROR(__xludf.DUMMYFUNCTION("AVERAGE(QUERY(SORT(GOOGLEFINANCE(A159,""price"",TODAY()-300,TODAY()),1,0),""select Col2 limit 100""))"),282.55999999999995)</f>
        <v>282.56</v>
      </c>
      <c r="E159" s="45">
        <f>IFERROR(__xludf.DUMMYFUNCTION("AVERAGE(QUERY(SORT(GOOGLEFINANCE(A159,""price"",TODAY()-500,TODAY()),1,0),""select Col2 limit 200""))"),284.5752499999999)</f>
        <v>284.57525</v>
      </c>
      <c r="F159" s="46" t="str">
        <f t="shared" si="1"/>
        <v>In Bear Run</v>
      </c>
      <c r="G159" s="47">
        <f t="shared" si="2"/>
        <v>-12.8525759</v>
      </c>
      <c r="H159" s="48" t="str">
        <f t="shared" si="3"/>
        <v>Inverted ✗</v>
      </c>
      <c r="I159" s="48">
        <f t="shared" si="4"/>
        <v>0</v>
      </c>
      <c r="J159" s="48">
        <f t="shared" si="5"/>
        <v>0</v>
      </c>
      <c r="K159" s="49" t="str">
        <f>IFERROR(__xludf.DUMMYFUNCTION("IFERROR(IF(A159="""",""ENTER STOCK"",LET(stock,A159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59" s="48">
        <f t="shared" si="6"/>
        <v>0</v>
      </c>
      <c r="M159" s="48">
        <f t="shared" si="7"/>
        <v>1</v>
      </c>
      <c r="N159" s="50">
        <f t="shared" si="8"/>
        <v>1</v>
      </c>
      <c r="O159" s="51" t="s">
        <v>221</v>
      </c>
      <c r="P159" s="46" t="str">
        <f t="shared" si="9"/>
        <v>REVERSE TRADE</v>
      </c>
      <c r="Q159" s="52"/>
      <c r="R159" s="53">
        <f t="shared" si="10"/>
        <v>15</v>
      </c>
      <c r="S159" s="53">
        <f>IFERROR(__xludf.DUMMYFUNCTION("IFERROR(ROUND(GOOGLEFINANCE(A159,""volume"")/GOOGLEFINANCE(A159,""volumeavg""),2),"""")"),1.05)</f>
        <v>1.05</v>
      </c>
      <c r="T159" s="53" t="str">
        <f t="shared" si="11"/>
        <v>LOW VOL</v>
      </c>
      <c r="U159" s="53">
        <f>IFERROR(__xludf.DUMMYFUNCTION("IFERROR(
  LET(
    sd, GOOGLEFINANCE(A159,""close"",TODAY()-100,TODAY()),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"""")"),1.57)</f>
        <v>1.57</v>
      </c>
      <c r="V159" s="53" t="str">
        <f t="shared" si="12"/>
        <v>FAST</v>
      </c>
      <c r="W159" s="53">
        <f>IFERROR(__xludf.DUMMYFUNCTION("IFERROR(ROUND((B159/GOOGLEFINANCE(A159,""high52"")-1)*100,1),"""")"),-24.0)</f>
        <v>-24</v>
      </c>
      <c r="X159" s="53">
        <f>IFERROR(__xludf.DUMMYFUNCTION("IFERROR(ROUND((B159-GOOGLEFINANCE(A159,""low52""))/(GOOGLEFINANCE(A159,""high52"")-GOOGLEFINANCE(A159,""low52""))*100,1),"""")"),13.9)</f>
        <v>13.9</v>
      </c>
      <c r="Y159" s="53" t="str">
        <f t="shared" si="13"/>
        <v>MID</v>
      </c>
      <c r="Z159" s="53">
        <f>IFERROR(__xludf.DUMMYFUNCTION("IFERROR(ROUND(((B159 / INDEX(GOOGLEFINANCE(TRIM(A159), ""price"", TODAY()-34, TODAY()), 2, 2)) - (GOOGLEFINANCE(""NIFTY_50"") / INDEX(GOOGLEFINANCE(""NIFTY_50"", ""price"", TODAY()-34, TODAY()), 2, 2))) * 100, 2), ""Check History"")"),-7.3)</f>
        <v>-7.3</v>
      </c>
      <c r="AA159" s="53" t="str">
        <f t="shared" si="14"/>
        <v>WEAK RS</v>
      </c>
      <c r="AB159" s="53">
        <f>IFERROR(__xludf.DUMMYFUNCTION("IFERROR(LET(
  p, QUERY(GOOGLEFINANCE(TRIM(A159),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Loading"")"),36.6)</f>
        <v>36.6</v>
      </c>
      <c r="AC159" s="53" t="str">
        <f t="shared" si="15"/>
        <v>WEAK MOM</v>
      </c>
      <c r="AD159" s="53" t="str">
        <f>IFERROR(__xludf.DUMMYFUNCTION("IFERROR(IF(GOOGLEFINANCE(A159,""eps"")&gt;0,""EPS+"",""EPS-""),"""")"),"EPS+")</f>
        <v>EPS+</v>
      </c>
      <c r="AE159" s="53">
        <f t="shared" si="16"/>
        <v>4</v>
      </c>
      <c r="AF159" s="53">
        <f>IFERROR(__xludf.DUMMYFUNCTION("IFERROR(N159+IF(S159&gt;=1.2,1,0)+IF(U159&gt;=1,1,0)+IF(Z159&gt;0,1,0)+IF(AND(W159&gt;=-20,W159&lt;=0),1,0)+IF(IFERROR(GOOGLEFINANCE(A159,""eps""),0)&gt;0,1,0),"""")"),3.0)</f>
        <v>3</v>
      </c>
      <c r="AG159" s="53" t="str">
        <f t="shared" si="17"/>
        <v>REVERSE TRADE</v>
      </c>
    </row>
    <row r="160" ht="15.0" customHeight="1">
      <c r="A160" s="43" t="s">
        <v>320</v>
      </c>
      <c r="B160" s="44">
        <f>IFERROR(__xludf.DUMMYFUNCTION("GOOGLEFINANCE(A160,""price"")"),802.0)</f>
        <v>802</v>
      </c>
      <c r="C160" s="45">
        <f>IFERROR(__xludf.DUMMYFUNCTION("AVERAGE(QUERY(SORT(GOOGLEFINANCE(A160,""price"",TODAY()-150,TODAY()),1,0),""select Col2 limit 50""))"),873.8089999999997)</f>
        <v>873.809</v>
      </c>
      <c r="D160" s="45">
        <f>IFERROR(__xludf.DUMMYFUNCTION("AVERAGE(QUERY(SORT(GOOGLEFINANCE(A160,""price"",TODAY()-300,TODAY()),1,0),""select Col2 limit 100""))"),895.5994999999999)</f>
        <v>895.5995</v>
      </c>
      <c r="E160" s="45">
        <f>IFERROR(__xludf.DUMMYFUNCTION("AVERAGE(QUERY(SORT(GOOGLEFINANCE(A160,""price"",TODAY()-500,TODAY()),1,0),""select Col2 limit 200""))"),901.3422499999994)</f>
        <v>901.34225</v>
      </c>
      <c r="F160" s="46" t="str">
        <f t="shared" si="1"/>
        <v>In Bear Run</v>
      </c>
      <c r="G160" s="47">
        <f t="shared" si="2"/>
        <v>-11.0215903</v>
      </c>
      <c r="H160" s="48" t="str">
        <f t="shared" si="3"/>
        <v>Inverted ✗</v>
      </c>
      <c r="I160" s="48">
        <f t="shared" si="4"/>
        <v>0</v>
      </c>
      <c r="J160" s="48">
        <f t="shared" si="5"/>
        <v>0</v>
      </c>
      <c r="K160" s="49" t="str">
        <f>IFERROR(__xludf.DUMMYFUNCTION("IFERROR(IF(A160="""",""ENTER STOCK"",LET(stock,A160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60" s="48">
        <f t="shared" si="6"/>
        <v>0</v>
      </c>
      <c r="M160" s="48">
        <f t="shared" si="7"/>
        <v>1</v>
      </c>
      <c r="N160" s="50">
        <f t="shared" si="8"/>
        <v>1</v>
      </c>
      <c r="O160" s="51" t="s">
        <v>124</v>
      </c>
      <c r="P160" s="46" t="str">
        <f t="shared" si="9"/>
        <v>REVERSE TRADE</v>
      </c>
      <c r="Q160" s="52"/>
      <c r="R160" s="53">
        <f t="shared" si="10"/>
        <v>15</v>
      </c>
      <c r="S160" s="53">
        <f>IFERROR(__xludf.DUMMYFUNCTION("IFERROR(ROUND(GOOGLEFINANCE(A160,""volume"")/GOOGLEFINANCE(A160,""volumeavg""),2),"""")"),1.31)</f>
        <v>1.31</v>
      </c>
      <c r="T160" s="53" t="str">
        <f t="shared" si="11"/>
        <v>OK VOL</v>
      </c>
      <c r="U160" s="53">
        <f>IFERROR(__xludf.DUMMYFUNCTION("IFERROR(
  LET(
    sd, GOOGLEFINANCE(A160,""close"",TODAY()-100,TODAY()),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"""")"),1.08)</f>
        <v>1.08</v>
      </c>
      <c r="V160" s="53" t="str">
        <f t="shared" si="12"/>
        <v>MEDIUM</v>
      </c>
      <c r="W160" s="53">
        <f>IFERROR(__xludf.DUMMYFUNCTION("IFERROR(ROUND((B160/GOOGLEFINANCE(A160,""high52"")-1)*100,1),"""")"),-27.4)</f>
        <v>-27.4</v>
      </c>
      <c r="X160" s="53">
        <f>IFERROR(__xludf.DUMMYFUNCTION("IFERROR(ROUND((B160-GOOGLEFINANCE(A160,""low52""))/(GOOGLEFINANCE(A160,""high52"")-GOOGLEFINANCE(A160,""low52""))*100,1),"""")"),40.6)</f>
        <v>40.6</v>
      </c>
      <c r="Y160" s="53" t="str">
        <f t="shared" si="13"/>
        <v>MID</v>
      </c>
      <c r="Z160" s="53">
        <f>IFERROR(__xludf.DUMMYFUNCTION("IFERROR(ROUND(((B160 / INDEX(GOOGLEFINANCE(TRIM(A160), ""price"", TODAY()-34, TODAY()), 2, 2)) - (GOOGLEFINANCE(""NIFTY_50"") / INDEX(GOOGLEFINANCE(""NIFTY_50"", ""price"", TODAY()-34, TODAY()), 2, 2))) * 100, 2), ""Check History"")"),-0.62)</f>
        <v>-0.62</v>
      </c>
      <c r="AA160" s="53" t="str">
        <f t="shared" si="14"/>
        <v>WEAK RS</v>
      </c>
      <c r="AB160" s="53">
        <f>IFERROR(__xludf.DUMMYFUNCTION("IFERROR(LET(
  p, QUERY(GOOGLEFINANCE(TRIM(A160),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Loading"")"),38.9)</f>
        <v>38.9</v>
      </c>
      <c r="AC160" s="53" t="str">
        <f t="shared" si="15"/>
        <v>WEAK MOM</v>
      </c>
      <c r="AD160" s="53" t="str">
        <f>IFERROR(__xludf.DUMMYFUNCTION("IFERROR(IF(GOOGLEFINANCE(A160,""eps"")&gt;0,""EPS+"",""EPS-""),"""")"),"EPS+")</f>
        <v>EPS+</v>
      </c>
      <c r="AE160" s="53">
        <f t="shared" si="16"/>
        <v>4</v>
      </c>
      <c r="AF160" s="53">
        <f>IFERROR(__xludf.DUMMYFUNCTION("IFERROR(N160+IF(S160&gt;=1.2,1,0)+IF(U160&gt;=1,1,0)+IF(Z160&gt;0,1,0)+IF(AND(W160&gt;=-20,W160&lt;=0),1,0)+IF(IFERROR(GOOGLEFINANCE(A160,""eps""),0)&gt;0,1,0),"""")"),4.0)</f>
        <v>4</v>
      </c>
      <c r="AG160" s="53" t="str">
        <f t="shared" si="17"/>
        <v>REVERSE TRADE</v>
      </c>
    </row>
    <row r="161" ht="15.0" customHeight="1">
      <c r="A161" s="43" t="s">
        <v>321</v>
      </c>
      <c r="B161" s="44">
        <f>IFERROR(__xludf.DUMMYFUNCTION("GOOGLEFINANCE(A161,""price"")"),799.0)</f>
        <v>799</v>
      </c>
      <c r="C161" s="45">
        <f>IFERROR(__xludf.DUMMYFUNCTION("AVERAGE(QUERY(SORT(GOOGLEFINANCE(A161,""price"",TODAY()-150,TODAY()),1,0),""select Col2 limit 50""))"),885.451)</f>
        <v>885.451</v>
      </c>
      <c r="D161" s="45">
        <f>IFERROR(__xludf.DUMMYFUNCTION("AVERAGE(QUERY(SORT(GOOGLEFINANCE(A161,""price"",TODAY()-300,TODAY()),1,0),""select Col2 limit 100""))"),876.9415000000004)</f>
        <v>876.9415</v>
      </c>
      <c r="E161" s="45">
        <f>IFERROR(__xludf.DUMMYFUNCTION("AVERAGE(QUERY(SORT(GOOGLEFINANCE(A161,""price"",TODAY()-500,TODAY()),1,0),""select Col2 limit 200""))"),853.299500000001)</f>
        <v>853.2995</v>
      </c>
      <c r="F161" s="46" t="str">
        <f t="shared" si="1"/>
        <v>In Bear Run</v>
      </c>
      <c r="G161" s="47">
        <f t="shared" si="2"/>
        <v>-6.363474958</v>
      </c>
      <c r="H161" s="48" t="str">
        <f t="shared" si="3"/>
        <v>Golden ✓</v>
      </c>
      <c r="I161" s="48">
        <f t="shared" si="4"/>
        <v>3</v>
      </c>
      <c r="J161" s="48">
        <f t="shared" si="5"/>
        <v>0</v>
      </c>
      <c r="K161" s="49" t="str">
        <f>IFERROR(__xludf.DUMMYFUNCTION("IFERROR(IF(A161="""",""ENTER STOCK"",LET(stock,A161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61" s="48">
        <f t="shared" si="6"/>
        <v>0</v>
      </c>
      <c r="M161" s="48">
        <f t="shared" si="7"/>
        <v>1</v>
      </c>
      <c r="N161" s="50">
        <f t="shared" si="8"/>
        <v>4</v>
      </c>
      <c r="O161" s="51" t="s">
        <v>173</v>
      </c>
      <c r="P161" s="46" t="str">
        <f t="shared" si="9"/>
        <v>REVERSE TRADE</v>
      </c>
      <c r="Q161" s="52"/>
      <c r="R161" s="53">
        <f t="shared" si="10"/>
        <v>15</v>
      </c>
      <c r="S161" s="53">
        <f>IFERROR(__xludf.DUMMYFUNCTION("IFERROR(ROUND(GOOGLEFINANCE(A161,""volume"")/GOOGLEFINANCE(A161,""volumeavg""),2),"""")"),1.44)</f>
        <v>1.44</v>
      </c>
      <c r="T161" s="53" t="str">
        <f t="shared" si="11"/>
        <v>OK VOL</v>
      </c>
      <c r="U161" s="53">
        <f>IFERROR(__xludf.DUMMYFUNCTION("IFERROR(
  LET(
    sd, GOOGLEFINANCE(A161,""close"",TODAY()-100,TODAY()),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"""")"),1.86)</f>
        <v>1.86</v>
      </c>
      <c r="V161" s="53" t="str">
        <f t="shared" si="12"/>
        <v>FAST</v>
      </c>
      <c r="W161" s="53">
        <f>IFERROR(__xludf.DUMMYFUNCTION("IFERROR(ROUND((B161/GOOGLEFINANCE(A161,""high52"")-1)*100,1),"""")"),-20.8)</f>
        <v>-20.8</v>
      </c>
      <c r="X161" s="53">
        <f>IFERROR(__xludf.DUMMYFUNCTION("IFERROR(ROUND((B161-GOOGLEFINANCE(A161,""low52""))/(GOOGLEFINANCE(A161,""high52"")-GOOGLEFINANCE(A161,""low52""))*100,1),"""")"),58.9)</f>
        <v>58.9</v>
      </c>
      <c r="Y161" s="53" t="str">
        <f t="shared" si="13"/>
        <v>MID</v>
      </c>
      <c r="Z161" s="53">
        <f>IFERROR(__xludf.DUMMYFUNCTION("IFERROR(ROUND(((B161 / INDEX(GOOGLEFINANCE(TRIM(A161), ""price"", TODAY()-34, TODAY()), 2, 2)) - (GOOGLEFINANCE(""NIFTY_50"") / INDEX(GOOGLEFINANCE(""NIFTY_50"", ""price"", TODAY()-34, TODAY()), 2, 2))) * 100, 2), ""Check History"")"),-6.07)</f>
        <v>-6.07</v>
      </c>
      <c r="AA161" s="53" t="str">
        <f t="shared" si="14"/>
        <v>WEAK RS</v>
      </c>
      <c r="AB161" s="53">
        <f>IFERROR(__xludf.DUMMYFUNCTION("IFERROR(LET(
  p, QUERY(GOOGLEFINANCE(TRIM(A161),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Loading"")"),52.6)</f>
        <v>52.6</v>
      </c>
      <c r="AC161" s="53" t="str">
        <f t="shared" si="15"/>
        <v>IDEAL ENTRY</v>
      </c>
      <c r="AD161" s="53" t="str">
        <f>IFERROR(__xludf.DUMMYFUNCTION("IFERROR(IF(GOOGLEFINANCE(A161,""eps"")&gt;0,""EPS+"",""EPS-""),"""")"),"EPS+")</f>
        <v>EPS+</v>
      </c>
      <c r="AE161" s="53">
        <f t="shared" si="16"/>
        <v>6</v>
      </c>
      <c r="AF161" s="53">
        <f>IFERROR(__xludf.DUMMYFUNCTION("IFERROR(N161+IF(S161&gt;=1.2,1,0)+IF(U161&gt;=1,1,0)+IF(Z161&gt;0,1,0)+IF(AND(W161&gt;=-20,W161&lt;=0),1,0)+IF(IFERROR(GOOGLEFINANCE(A161,""eps""),0)&gt;0,1,0),"""")"),7.0)</f>
        <v>7</v>
      </c>
      <c r="AG161" s="53" t="str">
        <f t="shared" si="17"/>
        <v>REVERSE TRADE</v>
      </c>
    </row>
    <row r="162" ht="15.0" customHeight="1">
      <c r="A162" s="43" t="s">
        <v>322</v>
      </c>
      <c r="B162" s="44">
        <f>IFERROR(__xludf.DUMMYFUNCTION("GOOGLEFINANCE(A162,""price"")"),1221.5)</f>
        <v>1221.5</v>
      </c>
      <c r="C162" s="45">
        <f>IFERROR(__xludf.DUMMYFUNCTION("AVERAGE(QUERY(SORT(GOOGLEFINANCE(A162,""price"",TODAY()-150,TODAY()),1,0),""select Col2 limit 50""))"),1353.86)</f>
        <v>1353.86</v>
      </c>
      <c r="D162" s="45">
        <f>IFERROR(__xludf.DUMMYFUNCTION("AVERAGE(QUERY(SORT(GOOGLEFINANCE(A162,""price"",TODAY()-300,TODAY()),1,0),""select Col2 limit 100""))"),1386.4909999999998)</f>
        <v>1386.491</v>
      </c>
      <c r="E162" s="45">
        <f>IFERROR(__xludf.DUMMYFUNCTION("AVERAGE(QUERY(SORT(GOOGLEFINANCE(A162,""price"",TODAY()-500,TODAY()),1,0),""select Col2 limit 200""))"),1372.0635)</f>
        <v>1372.0635</v>
      </c>
      <c r="F162" s="46" t="str">
        <f t="shared" si="1"/>
        <v>In Bear Run</v>
      </c>
      <c r="G162" s="47">
        <f t="shared" si="2"/>
        <v>-10.97350815</v>
      </c>
      <c r="H162" s="48" t="str">
        <f t="shared" si="3"/>
        <v>Inverted ✗</v>
      </c>
      <c r="I162" s="48">
        <f t="shared" si="4"/>
        <v>0</v>
      </c>
      <c r="J162" s="48">
        <f t="shared" si="5"/>
        <v>0</v>
      </c>
      <c r="K162" s="49" t="str">
        <f>IFERROR(__xludf.DUMMYFUNCTION("IFERROR(IF(A162="""",""ENTER STOCK"",LET(stock,A162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62" s="48">
        <f t="shared" si="6"/>
        <v>0</v>
      </c>
      <c r="M162" s="48">
        <f t="shared" si="7"/>
        <v>1</v>
      </c>
      <c r="N162" s="50">
        <f t="shared" si="8"/>
        <v>1</v>
      </c>
      <c r="O162" s="51" t="s">
        <v>131</v>
      </c>
      <c r="P162" s="46" t="str">
        <f t="shared" si="9"/>
        <v>REVERSE TRADE</v>
      </c>
      <c r="Q162" s="52"/>
      <c r="R162" s="53">
        <f t="shared" si="10"/>
        <v>15</v>
      </c>
      <c r="S162" s="53">
        <f>IFERROR(__xludf.DUMMYFUNCTION("IFERROR(ROUND(GOOGLEFINANCE(A162,""volume"")/GOOGLEFINANCE(A162,""volumeavg""),2),"""")"),1.5)</f>
        <v>1.5</v>
      </c>
      <c r="T162" s="53" t="str">
        <f t="shared" si="11"/>
        <v>HIGH VOL</v>
      </c>
      <c r="U162" s="53">
        <f>IFERROR(__xludf.DUMMYFUNCTION("IFERROR(
  LET(
    sd, GOOGLEFINANCE(A162,""close"",TODAY()-100,TODAY()),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"""")"),0.91)</f>
        <v>0.91</v>
      </c>
      <c r="V162" s="53" t="str">
        <f t="shared" si="12"/>
        <v>MEDIUM</v>
      </c>
      <c r="W162" s="53">
        <f>IFERROR(__xludf.DUMMYFUNCTION("IFERROR(ROUND((B162/GOOGLEFINANCE(A162,""high52"")-1)*100,1),"""")"),-25.7)</f>
        <v>-25.7</v>
      </c>
      <c r="X162" s="53">
        <f>IFERROR(__xludf.DUMMYFUNCTION("IFERROR(ROUND((B162-GOOGLEFINANCE(A162,""low52""))/(GOOGLEFINANCE(A162,""high52"")-GOOGLEFINANCE(A162,""low52""))*100,1),"""")"),2.3)</f>
        <v>2.3</v>
      </c>
      <c r="Y162" s="53" t="str">
        <f t="shared" si="13"/>
        <v>MID</v>
      </c>
      <c r="Z162" s="53">
        <f>IFERROR(__xludf.DUMMYFUNCTION("IFERROR(ROUND(((B162 / INDEX(GOOGLEFINANCE(TRIM(A162), ""price"", TODAY()-34, TODAY()), 2, 2)) - (GOOGLEFINANCE(""NIFTY_50"") / INDEX(GOOGLEFINANCE(""NIFTY_50"", ""price"", TODAY()-34, TODAY()), 2, 2))) * 100, 2), ""Check History"")"),-1.9)</f>
        <v>-1.9</v>
      </c>
      <c r="AA162" s="53" t="str">
        <f t="shared" si="14"/>
        <v>WEAK RS</v>
      </c>
      <c r="AB162" s="53">
        <f>IFERROR(__xludf.DUMMYFUNCTION("IFERROR(LET(
  p, QUERY(GOOGLEFINANCE(TRIM(A162),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Loading"")"),47.4)</f>
        <v>47.4</v>
      </c>
      <c r="AC162" s="53" t="str">
        <f t="shared" si="15"/>
        <v>IDEAL ENTRY</v>
      </c>
      <c r="AD162" s="53" t="str">
        <f>IFERROR(__xludf.DUMMYFUNCTION("IFERROR(IF(GOOGLEFINANCE(A162,""eps"")&gt;0,""EPS+"",""EPS-""),"""")"),"")</f>
        <v/>
      </c>
      <c r="AE162" s="53">
        <f t="shared" si="16"/>
        <v>5</v>
      </c>
      <c r="AF162" s="53">
        <f>IFERROR(__xludf.DUMMYFUNCTION("IFERROR(N162+IF(S162&gt;=1.2,1,0)+IF(U162&gt;=1,1,0)+IF(Z162&gt;0,1,0)+IF(AND(W162&gt;=-20,W162&lt;=0),1,0)+IF(IFERROR(GOOGLEFINANCE(A162,""eps""),0)&gt;0,1,0),"""")"),2.0)</f>
        <v>2</v>
      </c>
      <c r="AG162" s="53" t="str">
        <f t="shared" si="17"/>
        <v>REVERSE TRADE</v>
      </c>
    </row>
    <row r="163" ht="15.0" customHeight="1">
      <c r="A163" s="43" t="s">
        <v>323</v>
      </c>
      <c r="B163" s="44">
        <f>IFERROR(__xludf.DUMMYFUNCTION("GOOGLEFINANCE(A163,""price"")"),379.5)</f>
        <v>379.5</v>
      </c>
      <c r="C163" s="45">
        <f>IFERROR(__xludf.DUMMYFUNCTION("AVERAGE(QUERY(SORT(GOOGLEFINANCE(A163,""price"",TODAY()-150,TODAY()),1,0),""select Col2 limit 50""))"),400.533)</f>
        <v>400.533</v>
      </c>
      <c r="D163" s="45">
        <f>IFERROR(__xludf.DUMMYFUNCTION("AVERAGE(QUERY(SORT(GOOGLEFINANCE(A163,""price"",TODAY()-300,TODAY()),1,0),""select Col2 limit 100""))"),381.23850000000016)</f>
        <v>381.2385</v>
      </c>
      <c r="E163" s="45">
        <f>IFERROR(__xludf.DUMMYFUNCTION("AVERAGE(QUERY(SORT(GOOGLEFINANCE(A163,""price"",TODAY()-500,TODAY()),1,0),""select Col2 limit 200""))"),394.55699999999996)</f>
        <v>394.557</v>
      </c>
      <c r="F163" s="46" t="str">
        <f t="shared" si="1"/>
        <v>In Bear Run</v>
      </c>
      <c r="G163" s="47">
        <f t="shared" si="2"/>
        <v>-3.816178651</v>
      </c>
      <c r="H163" s="48" t="str">
        <f t="shared" si="3"/>
        <v>Inverted ✗</v>
      </c>
      <c r="I163" s="48">
        <f t="shared" si="4"/>
        <v>0</v>
      </c>
      <c r="J163" s="48">
        <f t="shared" si="5"/>
        <v>0</v>
      </c>
      <c r="K163" s="49" t="str">
        <f>IFERROR(__xludf.DUMMYFUNCTION("IFERROR(IF(A163="""",""ENTER STOCK"",LET(stock,A163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63" s="48">
        <f t="shared" si="6"/>
        <v>0</v>
      </c>
      <c r="M163" s="48">
        <f t="shared" si="7"/>
        <v>1</v>
      </c>
      <c r="N163" s="50">
        <f t="shared" si="8"/>
        <v>1</v>
      </c>
      <c r="O163" s="51" t="s">
        <v>160</v>
      </c>
      <c r="P163" s="46" t="str">
        <f t="shared" si="9"/>
        <v>REVERSE TRADE</v>
      </c>
      <c r="Q163" s="52"/>
      <c r="R163" s="53">
        <f t="shared" si="10"/>
        <v>15</v>
      </c>
      <c r="S163" s="53">
        <f>IFERROR(__xludf.DUMMYFUNCTION("IFERROR(ROUND(GOOGLEFINANCE(A163,""volume"")/GOOGLEFINANCE(A163,""volumeavg""),2),"""")"),1.17)</f>
        <v>1.17</v>
      </c>
      <c r="T163" s="53" t="str">
        <f t="shared" si="11"/>
        <v>LOW VOL</v>
      </c>
      <c r="U163" s="53">
        <f>IFERROR(__xludf.DUMMYFUNCTION("IFERROR(
  LET(
    sd, GOOGLEFINANCE(A163,""close"",TODAY()-100,TODAY()),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"""")"),1.54)</f>
        <v>1.54</v>
      </c>
      <c r="V163" s="53" t="str">
        <f t="shared" si="12"/>
        <v>FAST</v>
      </c>
      <c r="W163" s="53">
        <f>IFERROR(__xludf.DUMMYFUNCTION("IFERROR(ROUND((B163/GOOGLEFINANCE(A163,""high52"")-1)*100,1),"""")"),-14.5)</f>
        <v>-14.5</v>
      </c>
      <c r="X163" s="53">
        <f>IFERROR(__xludf.DUMMYFUNCTION("IFERROR(ROUND((B163-GOOGLEFINANCE(A163,""low52""))/(GOOGLEFINANCE(A163,""high52"")-GOOGLEFINANCE(A163,""low52""))*100,1),"""")"),43.4)</f>
        <v>43.4</v>
      </c>
      <c r="Y163" s="53" t="str">
        <f t="shared" si="13"/>
        <v>UPPER</v>
      </c>
      <c r="Z163" s="53">
        <f>IFERROR(__xludf.DUMMYFUNCTION("IFERROR(ROUND(((B163 / INDEX(GOOGLEFINANCE(TRIM(A163), ""price"", TODAY()-34, TODAY()), 2, 2)) - (GOOGLEFINANCE(""NIFTY_50"") / INDEX(GOOGLEFINANCE(""NIFTY_50"", ""price"", TODAY()-34, TODAY()), 2, 2))) * 100, 2), ""Check History"")"),2.65)</f>
        <v>2.65</v>
      </c>
      <c r="AA163" s="53" t="str">
        <f t="shared" si="14"/>
        <v>MILD RS</v>
      </c>
      <c r="AB163" s="53">
        <f>IFERROR(__xludf.DUMMYFUNCTION("IFERROR(LET(
  p, QUERY(GOOGLEFINANCE(TRIM(A163),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Loading"")"),38.1)</f>
        <v>38.1</v>
      </c>
      <c r="AC163" s="53" t="str">
        <f t="shared" si="15"/>
        <v>WEAK MOM</v>
      </c>
      <c r="AD163" s="53" t="str">
        <f>IFERROR(__xludf.DUMMYFUNCTION("IFERROR(IF(GOOGLEFINANCE(A163,""eps"")&gt;0,""EPS+"",""EPS-""),"""")"),"EPS+")</f>
        <v>EPS+</v>
      </c>
      <c r="AE163" s="53">
        <f t="shared" si="16"/>
        <v>5</v>
      </c>
      <c r="AF163" s="53">
        <f>IFERROR(__xludf.DUMMYFUNCTION("IFERROR(N163+IF(S163&gt;=1.2,1,0)+IF(U163&gt;=1,1,0)+IF(Z163&gt;0,1,0)+IF(AND(W163&gt;=-20,W163&lt;=0),1,0)+IF(IFERROR(GOOGLEFINANCE(A163,""eps""),0)&gt;0,1,0),"""")"),5.0)</f>
        <v>5</v>
      </c>
      <c r="AG163" s="53" t="str">
        <f t="shared" si="17"/>
        <v>REVERSE TRADE</v>
      </c>
    </row>
    <row r="164" ht="15.0" customHeight="1">
      <c r="A164" s="43" t="s">
        <v>324</v>
      </c>
      <c r="B164" s="44">
        <f>IFERROR(__xludf.DUMMYFUNCTION("GOOGLEFINANCE(A164,""price"")"),5960.0)</f>
        <v>5960</v>
      </c>
      <c r="C164" s="45">
        <f>IFERROR(__xludf.DUMMYFUNCTION("AVERAGE(QUERY(SORT(GOOGLEFINANCE(A164,""price"",TODAY()-150,TODAY()),1,0),""select Col2 limit 50""))"),6175.19)</f>
        <v>6175.19</v>
      </c>
      <c r="D164" s="45">
        <f>IFERROR(__xludf.DUMMYFUNCTION("AVERAGE(QUERY(SORT(GOOGLEFINANCE(A164,""price"",TODAY()-300,TODAY()),1,0),""select Col2 limit 100""))"),6327.19)</f>
        <v>6327.19</v>
      </c>
      <c r="E164" s="45">
        <f>IFERROR(__xludf.DUMMYFUNCTION("AVERAGE(QUERY(SORT(GOOGLEFINANCE(A164,""price"",TODAY()-500,TODAY()),1,0),""select Col2 limit 200""))"),6355.8475)</f>
        <v>6355.8475</v>
      </c>
      <c r="F164" s="46" t="str">
        <f t="shared" si="1"/>
        <v>In Bear Run</v>
      </c>
      <c r="G164" s="47">
        <f t="shared" si="2"/>
        <v>-6.228083666</v>
      </c>
      <c r="H164" s="48" t="str">
        <f t="shared" si="3"/>
        <v>Inverted ✗</v>
      </c>
      <c r="I164" s="48">
        <f t="shared" si="4"/>
        <v>0</v>
      </c>
      <c r="J164" s="48">
        <f t="shared" si="5"/>
        <v>0</v>
      </c>
      <c r="K164" s="49" t="str">
        <f>IFERROR(__xludf.DUMMYFUNCTION("IFERROR(IF(A164="""",""ENTER STOCK"",LET(stock,A164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64" s="48">
        <f t="shared" si="6"/>
        <v>0</v>
      </c>
      <c r="M164" s="48">
        <f t="shared" si="7"/>
        <v>1</v>
      </c>
      <c r="N164" s="50">
        <f t="shared" si="8"/>
        <v>1</v>
      </c>
      <c r="O164" s="51" t="s">
        <v>255</v>
      </c>
      <c r="P164" s="46" t="str">
        <f t="shared" si="9"/>
        <v>REVERSE TRADE</v>
      </c>
      <c r="Q164" s="52"/>
      <c r="R164" s="53">
        <f t="shared" si="10"/>
        <v>15</v>
      </c>
      <c r="S164" s="53">
        <f>IFERROR(__xludf.DUMMYFUNCTION("IFERROR(ROUND(GOOGLEFINANCE(A164,""volume"")/GOOGLEFINANCE(A164,""volumeavg""),2),"""")"),2.0)</f>
        <v>2</v>
      </c>
      <c r="T164" s="53" t="str">
        <f t="shared" si="11"/>
        <v>HIGH VOL</v>
      </c>
      <c r="U164" s="53">
        <f>IFERROR(__xludf.DUMMYFUNCTION("IFERROR(
  LET(
    sd, GOOGLEFINANCE(A164,""close"",TODAY()-100,TODAY()),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"""")"),0.7)</f>
        <v>0.7</v>
      </c>
      <c r="V164" s="53" t="str">
        <f t="shared" si="12"/>
        <v>SLOW</v>
      </c>
      <c r="W164" s="53">
        <f>IFERROR(__xludf.DUMMYFUNCTION("IFERROR(ROUND((B164/GOOGLEFINANCE(A164,""high52"")-1)*100,1),"""")"),-15.7)</f>
        <v>-15.7</v>
      </c>
      <c r="X164" s="53">
        <f>IFERROR(__xludf.DUMMYFUNCTION("IFERROR(ROUND((B164-GOOGLEFINANCE(A164,""low52""))/(GOOGLEFINANCE(A164,""high52"")-GOOGLEFINANCE(A164,""low52""))*100,1),"""")"),47.5)</f>
        <v>47.5</v>
      </c>
      <c r="Y164" s="53" t="str">
        <f t="shared" si="13"/>
        <v>UPPER</v>
      </c>
      <c r="Z164" s="53">
        <f>IFERROR(__xludf.DUMMYFUNCTION("IFERROR(ROUND(((B164 / INDEX(GOOGLEFINANCE(TRIM(A164), ""price"", TODAY()-34, TODAY()), 2, 2)) - (GOOGLEFINANCE(""NIFTY_50"") / INDEX(GOOGLEFINANCE(""NIFTY_50"", ""price"", TODAY()-34, TODAY()), 2, 2))) * 100, 2), ""Check History"")"),7.44)</f>
        <v>7.44</v>
      </c>
      <c r="AA164" s="53" t="str">
        <f t="shared" si="14"/>
        <v>STRONG RS</v>
      </c>
      <c r="AB164" s="53">
        <f>IFERROR(__xludf.DUMMYFUNCTION("IFERROR(LET(
  p, QUERY(GOOGLEFINANCE(TRIM(A164),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Loading"")"),38.8)</f>
        <v>38.8</v>
      </c>
      <c r="AC164" s="53" t="str">
        <f t="shared" si="15"/>
        <v>WEAK MOM</v>
      </c>
      <c r="AD164" s="53" t="str">
        <f>IFERROR(__xludf.DUMMYFUNCTION("IFERROR(IF(GOOGLEFINANCE(A164,""eps"")&gt;0,""EPS+"",""EPS-""),"""")"),"EPS+")</f>
        <v>EPS+</v>
      </c>
      <c r="AE164" s="53">
        <f t="shared" si="16"/>
        <v>6</v>
      </c>
      <c r="AF164" s="53">
        <f>IFERROR(__xludf.DUMMYFUNCTION("IFERROR(N164+IF(S164&gt;=1.2,1,0)+IF(U164&gt;=1,1,0)+IF(Z164&gt;0,1,0)+IF(AND(W164&gt;=-20,W164&lt;=0),1,0)+IF(IFERROR(GOOGLEFINANCE(A164,""eps""),0)&gt;0,1,0),"""")"),5.0)</f>
        <v>5</v>
      </c>
      <c r="AG164" s="53" t="str">
        <f t="shared" si="17"/>
        <v>REVERSE TRADE</v>
      </c>
    </row>
    <row r="165" ht="15.0" customHeight="1">
      <c r="A165" s="43" t="s">
        <v>325</v>
      </c>
      <c r="B165" s="44">
        <f>IFERROR(__xludf.DUMMYFUNCTION("GOOGLEFINANCE(A165,""price"")"),267.0)</f>
        <v>267</v>
      </c>
      <c r="C165" s="45">
        <f>IFERROR(__xludf.DUMMYFUNCTION("AVERAGE(QUERY(SORT(GOOGLEFINANCE(A165,""price"",TODAY()-150,TODAY()),1,0),""select Col2 limit 50""))"),257.679)</f>
        <v>257.679</v>
      </c>
      <c r="D165" s="45">
        <f>IFERROR(__xludf.DUMMYFUNCTION("AVERAGE(QUERY(SORT(GOOGLEFINANCE(A165,""price"",TODAY()-300,TODAY()),1,0),""select Col2 limit 100""))"),254.1362)</f>
        <v>254.1362</v>
      </c>
      <c r="E165" s="45">
        <f>IFERROR(__xludf.DUMMYFUNCTION("AVERAGE(QUERY(SORT(GOOGLEFINANCE(A165,""price"",TODAY()-500,TODAY()),1,0),""select Col2 limit 200""))"),249.9284999999999)</f>
        <v>249.9285</v>
      </c>
      <c r="F165" s="46" t="str">
        <f t="shared" si="1"/>
        <v>In Bull Run</v>
      </c>
      <c r="G165" s="47">
        <f t="shared" si="2"/>
        <v>6.830553538</v>
      </c>
      <c r="H165" s="48" t="str">
        <f t="shared" si="3"/>
        <v>Golden ✓</v>
      </c>
      <c r="I165" s="48">
        <f t="shared" si="4"/>
        <v>3</v>
      </c>
      <c r="J165" s="48">
        <f t="shared" si="5"/>
        <v>4</v>
      </c>
      <c r="K165" s="49" t="str">
        <f>IFERROR(__xludf.DUMMYFUNCTION("IFERROR(IF(A165="""",""ENTER STOCK"",LET(stock,A165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65" s="48">
        <f t="shared" si="6"/>
        <v>0</v>
      </c>
      <c r="M165" s="48">
        <f t="shared" si="7"/>
        <v>1</v>
      </c>
      <c r="N165" s="50">
        <f t="shared" si="8"/>
        <v>8</v>
      </c>
      <c r="O165" s="51" t="s">
        <v>180</v>
      </c>
      <c r="P165" s="46" t="str">
        <f t="shared" si="9"/>
        <v>PRIME BUY</v>
      </c>
      <c r="Q165" s="52"/>
      <c r="R165" s="53">
        <f t="shared" si="10"/>
        <v>15</v>
      </c>
      <c r="S165" s="53">
        <f>IFERROR(__xludf.DUMMYFUNCTION("IFERROR(ROUND(GOOGLEFINANCE(A165,""volume"")/GOOGLEFINANCE(A165,""volumeavg""),2),"""")"),1.58)</f>
        <v>1.58</v>
      </c>
      <c r="T165" s="53" t="str">
        <f t="shared" si="11"/>
        <v>HIGH VOL</v>
      </c>
      <c r="U165" s="53">
        <f>IFERROR(__xludf.DUMMYFUNCTION("IFERROR(
  LET(
    sd, GOOGLEFINANCE(A165,""close"",TODAY()-100,TODAY()),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"""")"),1.01)</f>
        <v>1.01</v>
      </c>
      <c r="V165" s="53" t="str">
        <f t="shared" si="12"/>
        <v>MEDIUM</v>
      </c>
      <c r="W165" s="53">
        <f>IFERROR(__xludf.DUMMYFUNCTION("IFERROR(ROUND((B165/GOOGLEFINANCE(A165,""high52"")-1)*100,1),"""")"),-8.6)</f>
        <v>-8.6</v>
      </c>
      <c r="X165" s="53">
        <f>IFERROR(__xludf.DUMMYFUNCTION("IFERROR(ROUND((B165-GOOGLEFINANCE(A165,""low52""))/(GOOGLEFINANCE(A165,""high52"")-GOOGLEFINANCE(A165,""low52""))*100,1),"""")"),68.2)</f>
        <v>68.2</v>
      </c>
      <c r="Y165" s="53" t="str">
        <f t="shared" si="13"/>
        <v>UPPER</v>
      </c>
      <c r="Z165" s="53">
        <f>IFERROR(__xludf.DUMMYFUNCTION("IFERROR(ROUND(((B165 / INDEX(GOOGLEFINANCE(TRIM(A165), ""price"", TODAY()-34, TODAY()), 2, 2)) - (GOOGLEFINANCE(""NIFTY_50"") / INDEX(GOOGLEFINANCE(""NIFTY_50"", ""price"", TODAY()-34, TODAY()), 2, 2))) * 100, 2), ""Check History"")"),13.34)</f>
        <v>13.34</v>
      </c>
      <c r="AA165" s="53" t="str">
        <f t="shared" si="14"/>
        <v>STRONG RS</v>
      </c>
      <c r="AB165" s="53">
        <f>IFERROR(__xludf.DUMMYFUNCTION("IFERROR(LET(
  p, QUERY(GOOGLEFINANCE(TRIM(A165),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Loading"")"),61.2)</f>
        <v>61.2</v>
      </c>
      <c r="AC165" s="53" t="str">
        <f t="shared" si="15"/>
        <v>IDEAL ENTRY</v>
      </c>
      <c r="AD165" s="53" t="str">
        <f>IFERROR(__xludf.DUMMYFUNCTION("IFERROR(IF(GOOGLEFINANCE(A165,""eps"")&gt;0,""EPS+"",""EPS-""),"""")"),"EPS+")</f>
        <v>EPS+</v>
      </c>
      <c r="AE165" s="53">
        <f t="shared" si="16"/>
        <v>8</v>
      </c>
      <c r="AF165" s="53">
        <f>IFERROR(__xludf.DUMMYFUNCTION("IFERROR(N165+IF(S165&gt;=1.2,1,0)+IF(U165&gt;=1,1,0)+IF(Z165&gt;0,1,0)+IF(AND(W165&gt;=-20,W165&lt;=0),1,0)+IF(IFERROR(GOOGLEFINANCE(A165,""eps""),0)&gt;0,1,0),"""")"),13.0)</f>
        <v>13</v>
      </c>
      <c r="AG165" s="53" t="str">
        <f t="shared" si="17"/>
        <v>PRIME FAST [&lt;10d]</v>
      </c>
    </row>
    <row r="166" ht="15.0" customHeight="1">
      <c r="A166" s="43" t="s">
        <v>326</v>
      </c>
      <c r="B166" s="44">
        <f>IFERROR(__xludf.DUMMYFUNCTION("GOOGLEFINANCE(A166,""price"")"),84.16)</f>
        <v>84.16</v>
      </c>
      <c r="C166" s="45">
        <f>IFERROR(__xludf.DUMMYFUNCTION("AVERAGE(QUERY(SORT(GOOGLEFINANCE(A166,""price"",TODAY()-150,TODAY()),1,0),""select Col2 limit 50""))"),95.21659999999999)</f>
        <v>95.2166</v>
      </c>
      <c r="D166" s="45">
        <f>IFERROR(__xludf.DUMMYFUNCTION("AVERAGE(QUERY(SORT(GOOGLEFINANCE(A166,""price"",TODAY()-300,TODAY()),1,0),""select Col2 limit 100""))"),98.46)</f>
        <v>98.46</v>
      </c>
      <c r="E166" s="45">
        <f>IFERROR(__xludf.DUMMYFUNCTION("AVERAGE(QUERY(SORT(GOOGLEFINANCE(A166,""price"",TODAY()-500,TODAY()),1,0),""select Col2 limit 200""))"),93.73845000000001)</f>
        <v>93.73845</v>
      </c>
      <c r="F166" s="46" t="str">
        <f t="shared" si="1"/>
        <v>In Bear Run</v>
      </c>
      <c r="G166" s="47">
        <f t="shared" si="2"/>
        <v>-10.21827222</v>
      </c>
      <c r="H166" s="48" t="str">
        <f t="shared" si="3"/>
        <v>Inverted ✗</v>
      </c>
      <c r="I166" s="48">
        <f t="shared" si="4"/>
        <v>0</v>
      </c>
      <c r="J166" s="48">
        <f t="shared" si="5"/>
        <v>0</v>
      </c>
      <c r="K166" s="49" t="str">
        <f>IFERROR(__xludf.DUMMYFUNCTION("IFERROR(IF(A166="""",""ENTER STOCK"",LET(stock,A166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66" s="48">
        <f t="shared" si="6"/>
        <v>0</v>
      </c>
      <c r="M166" s="48">
        <f t="shared" si="7"/>
        <v>1</v>
      </c>
      <c r="N166" s="50">
        <f t="shared" si="8"/>
        <v>1</v>
      </c>
      <c r="O166" s="51" t="s">
        <v>327</v>
      </c>
      <c r="P166" s="46" t="str">
        <f t="shared" si="9"/>
        <v>REVERSE TRADE</v>
      </c>
      <c r="Q166" s="52"/>
      <c r="R166" s="53">
        <f t="shared" si="10"/>
        <v>15</v>
      </c>
      <c r="S166" s="53">
        <f>IFERROR(__xludf.DUMMYFUNCTION("IFERROR(ROUND(GOOGLEFINANCE(A166,""volume"")/GOOGLEFINANCE(A166,""volumeavg""),2),"""")"),4.79)</f>
        <v>4.79</v>
      </c>
      <c r="T166" s="53" t="str">
        <f t="shared" si="11"/>
        <v>HIGH VOL</v>
      </c>
      <c r="U166" s="53">
        <f>IFERROR(__xludf.DUMMYFUNCTION("IFERROR(
  LET(
    sd, GOOGLEFINANCE(A166,""close"",TODAY()-100,TODAY()),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"""")"),1.7)</f>
        <v>1.7</v>
      </c>
      <c r="V166" s="53" t="str">
        <f t="shared" si="12"/>
        <v>FAST</v>
      </c>
      <c r="W166" s="53">
        <f>IFERROR(__xludf.DUMMYFUNCTION("IFERROR(ROUND((B166/GOOGLEFINANCE(A166,""high52"")-1)*100,1),"""")"),-23.7)</f>
        <v>-23.7</v>
      </c>
      <c r="X166" s="53">
        <f>IFERROR(__xludf.DUMMYFUNCTION("IFERROR(ROUND((B166-GOOGLEFINANCE(A166,""low52""))/(GOOGLEFINANCE(A166,""high52"")-GOOGLEFINANCE(A166,""low52""))*100,1),"""")"),24.1)</f>
        <v>24.1</v>
      </c>
      <c r="Y166" s="53" t="str">
        <f t="shared" si="13"/>
        <v>MID</v>
      </c>
      <c r="Z166" s="53">
        <f>IFERROR(__xludf.DUMMYFUNCTION("IFERROR(ROUND(((B166 / INDEX(GOOGLEFINANCE(TRIM(A166), ""price"", TODAY()-34, TODAY()), 2, 2)) - (GOOGLEFINANCE(""NIFTY_50"") / INDEX(GOOGLEFINANCE(""NIFTY_50"", ""price"", TODAY()-34, TODAY()), 2, 2))) * 100, 2), ""Check History"")"),-5.08)</f>
        <v>-5.08</v>
      </c>
      <c r="AA166" s="53" t="str">
        <f t="shared" si="14"/>
        <v>WEAK RS</v>
      </c>
      <c r="AB166" s="53">
        <f>IFERROR(__xludf.DUMMYFUNCTION("IFERROR(LET(
  p, QUERY(GOOGLEFINANCE(TRIM(A166),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Loading"")"),46.6)</f>
        <v>46.6</v>
      </c>
      <c r="AC166" s="53" t="str">
        <f t="shared" si="15"/>
        <v>IDEAL ENTRY</v>
      </c>
      <c r="AD166" s="53" t="str">
        <f>IFERROR(__xludf.DUMMYFUNCTION("IFERROR(IF(GOOGLEFINANCE(A166,""eps"")&gt;0,""EPS+"",""EPS-""),"""")"),"EPS-")</f>
        <v>EPS-</v>
      </c>
      <c r="AE166" s="53">
        <f t="shared" si="16"/>
        <v>6</v>
      </c>
      <c r="AF166" s="53">
        <f>IFERROR(__xludf.DUMMYFUNCTION("IFERROR(N166+IF(S166&gt;=1.2,1,0)+IF(U166&gt;=1,1,0)+IF(Z166&gt;0,1,0)+IF(AND(W166&gt;=-20,W166&lt;=0),1,0)+IF(IFERROR(GOOGLEFINANCE(A166,""eps""),0)&gt;0,1,0),"""")"),3.0)</f>
        <v>3</v>
      </c>
      <c r="AG166" s="53" t="str">
        <f t="shared" si="17"/>
        <v>REVERSE TRADE</v>
      </c>
    </row>
    <row r="167" ht="15.0" customHeight="1">
      <c r="A167" s="43" t="s">
        <v>328</v>
      </c>
      <c r="B167" s="44">
        <f>IFERROR(__xludf.DUMMYFUNCTION("GOOGLEFINANCE(A167,""price"")"),245.75)</f>
        <v>245.75</v>
      </c>
      <c r="C167" s="45">
        <f>IFERROR(__xludf.DUMMYFUNCTION("AVERAGE(QUERY(SORT(GOOGLEFINANCE(A167,""price"",TODAY()-150,TODAY()),1,0),""select Col2 limit 50""))"),259.482)</f>
        <v>259.482</v>
      </c>
      <c r="D167" s="45">
        <f>IFERROR(__xludf.DUMMYFUNCTION("AVERAGE(QUERY(SORT(GOOGLEFINANCE(A167,""price"",TODAY()-300,TODAY()),1,0),""select Col2 limit 100""))"),270.29799999999994)</f>
        <v>270.298</v>
      </c>
      <c r="E167" s="45">
        <f>IFERROR(__xludf.DUMMYFUNCTION("AVERAGE(QUERY(SORT(GOOGLEFINANCE(A167,""price"",TODAY()-500,TODAY()),1,0),""select Col2 limit 200""))"),254.89434999999997)</f>
        <v>254.89435</v>
      </c>
      <c r="F167" s="46" t="str">
        <f t="shared" si="1"/>
        <v>In Bear Run</v>
      </c>
      <c r="G167" s="47">
        <f t="shared" si="2"/>
        <v>-3.587505961</v>
      </c>
      <c r="H167" s="48" t="str">
        <f t="shared" si="3"/>
        <v>Inverted ✗</v>
      </c>
      <c r="I167" s="48">
        <f t="shared" si="4"/>
        <v>0</v>
      </c>
      <c r="J167" s="48">
        <f t="shared" si="5"/>
        <v>0</v>
      </c>
      <c r="K167" s="49" t="str">
        <f>IFERROR(__xludf.DUMMYFUNCTION("IFERROR(IF(A167="""",""ENTER STOCK"",LET(stock,A167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67" s="48">
        <f t="shared" si="6"/>
        <v>0</v>
      </c>
      <c r="M167" s="48">
        <f t="shared" si="7"/>
        <v>1</v>
      </c>
      <c r="N167" s="50">
        <f t="shared" si="8"/>
        <v>1</v>
      </c>
      <c r="O167" s="51" t="s">
        <v>175</v>
      </c>
      <c r="P167" s="46" t="str">
        <f t="shared" si="9"/>
        <v>REVERSE TRADE</v>
      </c>
      <c r="Q167" s="52"/>
      <c r="R167" s="53">
        <f t="shared" si="10"/>
        <v>15</v>
      </c>
      <c r="S167" s="53">
        <f>IFERROR(__xludf.DUMMYFUNCTION("IFERROR(ROUND(GOOGLEFINANCE(A167,""volume"")/GOOGLEFINANCE(A167,""volumeavg""),2),"""")"),1.27)</f>
        <v>1.27</v>
      </c>
      <c r="T167" s="53" t="str">
        <f t="shared" si="11"/>
        <v>OK VOL</v>
      </c>
      <c r="U167" s="53">
        <f>IFERROR(__xludf.DUMMYFUNCTION("IFERROR(
  LET(
    sd, GOOGLEFINANCE(A167,""close"",TODAY()-100,TODAY()),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"""")"),1.45)</f>
        <v>1.45</v>
      </c>
      <c r="V167" s="53" t="str">
        <f t="shared" si="12"/>
        <v>FAST</v>
      </c>
      <c r="W167" s="53">
        <f>IFERROR(__xludf.DUMMYFUNCTION("IFERROR(ROUND((B167/GOOGLEFINANCE(A167,""high52"")-1)*100,1),"""")"),-19.7)</f>
        <v>-19.7</v>
      </c>
      <c r="X167" s="53">
        <f>IFERROR(__xludf.DUMMYFUNCTION("IFERROR(ROUND((B167-GOOGLEFINANCE(A167,""low52""))/(GOOGLEFINANCE(A167,""high52"")-GOOGLEFINANCE(A167,""low52""))*100,1),"""")"),46.5)</f>
        <v>46.5</v>
      </c>
      <c r="Y167" s="53" t="str">
        <f t="shared" si="13"/>
        <v>UPPER</v>
      </c>
      <c r="Z167" s="53">
        <f>IFERROR(__xludf.DUMMYFUNCTION("IFERROR(ROUND(((B167 / INDEX(GOOGLEFINANCE(TRIM(A167), ""price"", TODAY()-34, TODAY()), 2, 2)) - (GOOGLEFINANCE(""NIFTY_50"") / INDEX(GOOGLEFINANCE(""NIFTY_50"", ""price"", TODAY()-34, TODAY()), 2, 2))) * 100, 2), ""Check History"")"),6.04)</f>
        <v>6.04</v>
      </c>
      <c r="AA167" s="53" t="str">
        <f t="shared" si="14"/>
        <v>STRONG RS</v>
      </c>
      <c r="AB167" s="53">
        <f>IFERROR(__xludf.DUMMYFUNCTION("IFERROR(LET(
  p, QUERY(GOOGLEFINANCE(TRIM(A167),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Loading"")"),44.7)</f>
        <v>44.7</v>
      </c>
      <c r="AC167" s="53" t="str">
        <f t="shared" si="15"/>
        <v>WEAK MOM</v>
      </c>
      <c r="AD167" s="53" t="str">
        <f>IFERROR(__xludf.DUMMYFUNCTION("IFERROR(IF(GOOGLEFINANCE(A167,""eps"")&gt;0,""EPS+"",""EPS-""),"""")"),"EPS+")</f>
        <v>EPS+</v>
      </c>
      <c r="AE167" s="53">
        <f t="shared" si="16"/>
        <v>7</v>
      </c>
      <c r="AF167" s="53">
        <f>IFERROR(__xludf.DUMMYFUNCTION("IFERROR(N167+IF(S167&gt;=1.2,1,0)+IF(U167&gt;=1,1,0)+IF(Z167&gt;0,1,0)+IF(AND(W167&gt;=-20,W167&lt;=0),1,0)+IF(IFERROR(GOOGLEFINANCE(A167,""eps""),0)&gt;0,1,0),"""")"),6.0)</f>
        <v>6</v>
      </c>
      <c r="AG167" s="53" t="str">
        <f t="shared" si="17"/>
        <v>REVERSE TRADE</v>
      </c>
    </row>
    <row r="168" ht="15.0" customHeight="1">
      <c r="A168" s="43" t="s">
        <v>329</v>
      </c>
      <c r="B168" s="44">
        <f>IFERROR(__xludf.DUMMYFUNCTION("GOOGLEFINANCE(A168,""price"")"),100.8)</f>
        <v>100.8</v>
      </c>
      <c r="C168" s="45">
        <f>IFERROR(__xludf.DUMMYFUNCTION("AVERAGE(QUERY(SORT(GOOGLEFINANCE(A168,""price"",TODAY()-150,TODAY()),1,0),""select Col2 limit 50""))"),120.79840000000002)</f>
        <v>120.7984</v>
      </c>
      <c r="D168" s="45">
        <f>IFERROR(__xludf.DUMMYFUNCTION("AVERAGE(QUERY(SORT(GOOGLEFINANCE(A168,""price"",TODAY()-300,TODAY()),1,0),""select Col2 limit 100""))"),121.36309999999997)</f>
        <v>121.3631</v>
      </c>
      <c r="E168" s="45">
        <f>IFERROR(__xludf.DUMMYFUNCTION("AVERAGE(QUERY(SORT(GOOGLEFINANCE(A168,""price"",TODAY()-500,TODAY()),1,0),""select Col2 limit 200""))"),115.56530000000001)</f>
        <v>115.5653</v>
      </c>
      <c r="F168" s="46" t="str">
        <f t="shared" si="1"/>
        <v>In Bear Run</v>
      </c>
      <c r="G168" s="47">
        <f t="shared" si="2"/>
        <v>-12.77658605</v>
      </c>
      <c r="H168" s="48" t="str">
        <f t="shared" si="3"/>
        <v>Inverted ✗</v>
      </c>
      <c r="I168" s="48">
        <f t="shared" si="4"/>
        <v>0</v>
      </c>
      <c r="J168" s="48">
        <f t="shared" si="5"/>
        <v>0</v>
      </c>
      <c r="K168" s="49" t="str">
        <f>IFERROR(__xludf.DUMMYFUNCTION("IFERROR(IF(A168="""",""ENTER STOCK"",LET(stock,A168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68" s="48">
        <f t="shared" si="6"/>
        <v>0</v>
      </c>
      <c r="M168" s="48">
        <f t="shared" si="7"/>
        <v>1</v>
      </c>
      <c r="N168" s="50">
        <f t="shared" si="8"/>
        <v>1</v>
      </c>
      <c r="O168" s="51" t="s">
        <v>236</v>
      </c>
      <c r="P168" s="46" t="str">
        <f t="shared" si="9"/>
        <v>REVERSE TRADE</v>
      </c>
      <c r="Q168" s="52"/>
      <c r="R168" s="53">
        <f t="shared" si="10"/>
        <v>15</v>
      </c>
      <c r="S168" s="53">
        <f>IFERROR(__xludf.DUMMYFUNCTION("IFERROR(ROUND(GOOGLEFINANCE(A168,""volume"")/GOOGLEFINANCE(A168,""volumeavg""),2),"""")"),1.32)</f>
        <v>1.32</v>
      </c>
      <c r="T168" s="53" t="str">
        <f t="shared" si="11"/>
        <v>OK VOL</v>
      </c>
      <c r="U168" s="53">
        <f>IFERROR(__xludf.DUMMYFUNCTION("IFERROR(
  LET(
    sd, GOOGLEFINANCE(A168,""close"",TODAY()-100,TODAY()),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"""")"),1.47)</f>
        <v>1.47</v>
      </c>
      <c r="V168" s="53" t="str">
        <f t="shared" si="12"/>
        <v>FAST</v>
      </c>
      <c r="W168" s="53">
        <f>IFERROR(__xludf.DUMMYFUNCTION("IFERROR(ROUND((B168/GOOGLEFINANCE(A168,""high52"")-1)*100,1),"""")"),-25.4)</f>
        <v>-25.4</v>
      </c>
      <c r="X168" s="53">
        <f>IFERROR(__xludf.DUMMYFUNCTION("IFERROR(ROUND((B168-GOOGLEFINANCE(A168,""low52""))/(GOOGLEFINANCE(A168,""high52"")-GOOGLEFINANCE(A168,""low52""))*100,1),"""")"),24.8)</f>
        <v>24.8</v>
      </c>
      <c r="Y168" s="53" t="str">
        <f t="shared" si="13"/>
        <v>MID</v>
      </c>
      <c r="Z168" s="53">
        <f>IFERROR(__xludf.DUMMYFUNCTION("IFERROR(ROUND(((B168 / INDEX(GOOGLEFINANCE(TRIM(A168), ""price"", TODAY()-34, TODAY()), 2, 2)) - (GOOGLEFINANCE(""NIFTY_50"") / INDEX(GOOGLEFINANCE(""NIFTY_50"", ""price"", TODAY()-34, TODAY()), 2, 2))) * 100, 2), ""Check History"")"),-10.9)</f>
        <v>-10.9</v>
      </c>
      <c r="AA168" s="53" t="str">
        <f t="shared" si="14"/>
        <v>WEAK RS</v>
      </c>
      <c r="AB168" s="53">
        <f>IFERROR(__xludf.DUMMYFUNCTION("IFERROR(LET(
  p, QUERY(GOOGLEFINANCE(TRIM(A168),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Loading"")"),31.1)</f>
        <v>31.1</v>
      </c>
      <c r="AC168" s="53" t="str">
        <f t="shared" si="15"/>
        <v>WEAK MOM</v>
      </c>
      <c r="AD168" s="53" t="str">
        <f>IFERROR(__xludf.DUMMYFUNCTION("IFERROR(IF(GOOGLEFINANCE(A168,""eps"")&gt;0,""EPS+"",""EPS-""),"""")"),"EPS+")</f>
        <v>EPS+</v>
      </c>
      <c r="AE168" s="53">
        <f t="shared" si="16"/>
        <v>5</v>
      </c>
      <c r="AF168" s="53">
        <f>IFERROR(__xludf.DUMMYFUNCTION("IFERROR(N168+IF(S168&gt;=1.2,1,0)+IF(U168&gt;=1,1,0)+IF(Z168&gt;0,1,0)+IF(AND(W168&gt;=-20,W168&lt;=0),1,0)+IF(IFERROR(GOOGLEFINANCE(A168,""eps""),0)&gt;0,1,0),"""")"),4.0)</f>
        <v>4</v>
      </c>
      <c r="AG168" s="53" t="str">
        <f t="shared" si="17"/>
        <v>REVERSE TRADE</v>
      </c>
    </row>
    <row r="169" ht="15.0" customHeight="1">
      <c r="A169" s="43" t="s">
        <v>330</v>
      </c>
      <c r="B169" s="44">
        <f>IFERROR(__xludf.DUMMYFUNCTION("GOOGLEFINANCE(A169,""price"")"),1312.0)</f>
        <v>1312</v>
      </c>
      <c r="C169" s="45">
        <f>IFERROR(__xludf.DUMMYFUNCTION("AVERAGE(QUERY(SORT(GOOGLEFINANCE(A169,""price"",TODAY()-150,TODAY()),1,0),""select Col2 limit 50""))"),1449.724)</f>
        <v>1449.724</v>
      </c>
      <c r="D169" s="45">
        <f>IFERROR(__xludf.DUMMYFUNCTION("AVERAGE(QUERY(SORT(GOOGLEFINANCE(A169,""price"",TODAY()-300,TODAY()),1,0),""select Col2 limit 100""))"),1467.5629999999999)</f>
        <v>1467.563</v>
      </c>
      <c r="E169" s="45">
        <f>IFERROR(__xludf.DUMMYFUNCTION("AVERAGE(QUERY(SORT(GOOGLEFINANCE(A169,""price"",TODAY()-500,TODAY()),1,0),""select Col2 limit 200""))"),1433.9749999999997)</f>
        <v>1433.975</v>
      </c>
      <c r="F169" s="46" t="str">
        <f t="shared" si="1"/>
        <v>In Bear Run</v>
      </c>
      <c r="G169" s="47">
        <f t="shared" si="2"/>
        <v>-8.506075768</v>
      </c>
      <c r="H169" s="48" t="str">
        <f t="shared" si="3"/>
        <v>Inverted ✗</v>
      </c>
      <c r="I169" s="48">
        <f t="shared" si="4"/>
        <v>0</v>
      </c>
      <c r="J169" s="48">
        <f t="shared" si="5"/>
        <v>0</v>
      </c>
      <c r="K169" s="49" t="str">
        <f>IFERROR(__xludf.DUMMYFUNCTION("IFERROR(IF(A169="""",""ENTER STOCK"",LET(stock,A169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69" s="48">
        <f t="shared" si="6"/>
        <v>0</v>
      </c>
      <c r="M169" s="48">
        <f t="shared" si="7"/>
        <v>1</v>
      </c>
      <c r="N169" s="50">
        <f t="shared" si="8"/>
        <v>1</v>
      </c>
      <c r="O169" s="51" t="s">
        <v>331</v>
      </c>
      <c r="P169" s="46" t="str">
        <f t="shared" si="9"/>
        <v>REVERSE TRADE</v>
      </c>
      <c r="Q169" s="52"/>
      <c r="R169" s="53">
        <f t="shared" si="10"/>
        <v>15</v>
      </c>
      <c r="S169" s="53">
        <f>IFERROR(__xludf.DUMMYFUNCTION("IFERROR(ROUND(GOOGLEFINANCE(A169,""volume"")/GOOGLEFINANCE(A169,""volumeavg""),2),"""")"),1.2)</f>
        <v>1.2</v>
      </c>
      <c r="T169" s="53" t="str">
        <f t="shared" si="11"/>
        <v>OK VOL</v>
      </c>
      <c r="U169" s="53">
        <f>IFERROR(__xludf.DUMMYFUNCTION("IFERROR(
  LET(
    sd, GOOGLEFINANCE(A169,""close"",TODAY()-100,TODAY()),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"""")"),1.7)</f>
        <v>1.7</v>
      </c>
      <c r="V169" s="53" t="str">
        <f t="shared" si="12"/>
        <v>FAST</v>
      </c>
      <c r="W169" s="53">
        <f>IFERROR(__xludf.DUMMYFUNCTION("IFERROR(ROUND((B169/GOOGLEFINANCE(A169,""high52"")-1)*100,1),"""")"),-17.2)</f>
        <v>-17.2</v>
      </c>
      <c r="X169" s="53">
        <f>IFERROR(__xludf.DUMMYFUNCTION("IFERROR(ROUND((B169-GOOGLEFINANCE(A169,""low52""))/(GOOGLEFINANCE(A169,""high52"")-GOOGLEFINANCE(A169,""low52""))*100,1),"""")"),49.9)</f>
        <v>49.9</v>
      </c>
      <c r="Y169" s="53" t="str">
        <f t="shared" si="13"/>
        <v>UPPER</v>
      </c>
      <c r="Z169" s="53">
        <f>IFERROR(__xludf.DUMMYFUNCTION("IFERROR(ROUND(((B169 / INDEX(GOOGLEFINANCE(TRIM(A169), ""price"", TODAY()-34, TODAY()), 2, 2)) - (GOOGLEFINANCE(""NIFTY_50"") / INDEX(GOOGLEFINANCE(""NIFTY_50"", ""price"", TODAY()-34, TODAY()), 2, 2))) * 100, 2), ""Check History"")"),-3.48)</f>
        <v>-3.48</v>
      </c>
      <c r="AA169" s="53" t="str">
        <f t="shared" si="14"/>
        <v>WEAK RS</v>
      </c>
      <c r="AB169" s="53">
        <f>IFERROR(__xludf.DUMMYFUNCTION("IFERROR(LET(
  p, QUERY(GOOGLEFINANCE(TRIM(A169),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Loading"")"),42.2)</f>
        <v>42.2</v>
      </c>
      <c r="AC169" s="53" t="str">
        <f t="shared" si="15"/>
        <v>WEAK MOM</v>
      </c>
      <c r="AD169" s="53" t="str">
        <f>IFERROR(__xludf.DUMMYFUNCTION("IFERROR(IF(GOOGLEFINANCE(A169,""eps"")&gt;0,""EPS+"",""EPS-""),"""")"),"EPS+")</f>
        <v>EPS+</v>
      </c>
      <c r="AE169" s="53">
        <f t="shared" si="16"/>
        <v>5</v>
      </c>
      <c r="AF169" s="53">
        <f>IFERROR(__xludf.DUMMYFUNCTION("IFERROR(N169+IF(S169&gt;=1.2,1,0)+IF(U169&gt;=1,1,0)+IF(Z169&gt;0,1,0)+IF(AND(W169&gt;=-20,W169&lt;=0),1,0)+IF(IFERROR(GOOGLEFINANCE(A169,""eps""),0)&gt;0,1,0),"""")"),5.0)</f>
        <v>5</v>
      </c>
      <c r="AG169" s="53" t="str">
        <f t="shared" si="17"/>
        <v>REVERSE TRADE</v>
      </c>
    </row>
    <row r="170" ht="15.0" customHeight="1">
      <c r="A170" s="43" t="s">
        <v>332</v>
      </c>
      <c r="B170" s="44">
        <f>IFERROR(__xludf.DUMMYFUNCTION("GOOGLEFINANCE(A170,""price"")"),3505.0)</f>
        <v>3505</v>
      </c>
      <c r="C170" s="45">
        <f>IFERROR(__xludf.DUMMYFUNCTION("AVERAGE(QUERY(SORT(GOOGLEFINANCE(A170,""price"",TODAY()-150,TODAY()),1,0),""select Col2 limit 50""))"),3920.875999999998)</f>
        <v>3920.876</v>
      </c>
      <c r="D170" s="45">
        <f>IFERROR(__xludf.DUMMYFUNCTION("AVERAGE(QUERY(SORT(GOOGLEFINANCE(A170,""price"",TODAY()-300,TODAY()),1,0),""select Col2 limit 100""))"),3974.9809999999984)</f>
        <v>3974.981</v>
      </c>
      <c r="E170" s="45">
        <f>IFERROR(__xludf.DUMMYFUNCTION("AVERAGE(QUERY(SORT(GOOGLEFINANCE(A170,""price"",TODAY()-500,TODAY()),1,0),""select Col2 limit 200""))"),3812.3995)</f>
        <v>3812.3995</v>
      </c>
      <c r="F170" s="46" t="str">
        <f t="shared" si="1"/>
        <v>In Bear Run</v>
      </c>
      <c r="G170" s="47">
        <f t="shared" si="2"/>
        <v>-8.063150255</v>
      </c>
      <c r="H170" s="48" t="str">
        <f t="shared" si="3"/>
        <v>Inverted ✗</v>
      </c>
      <c r="I170" s="48">
        <f t="shared" si="4"/>
        <v>0</v>
      </c>
      <c r="J170" s="48">
        <f t="shared" si="5"/>
        <v>0</v>
      </c>
      <c r="K170" s="49" t="str">
        <f>IFERROR(__xludf.DUMMYFUNCTION("IFERROR(IF(A170="""",""ENTER STOCK"",LET(stock,A170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70" s="48">
        <f t="shared" si="6"/>
        <v>0</v>
      </c>
      <c r="M170" s="48">
        <f t="shared" si="7"/>
        <v>1</v>
      </c>
      <c r="N170" s="50">
        <f t="shared" si="8"/>
        <v>1</v>
      </c>
      <c r="O170" s="51" t="s">
        <v>175</v>
      </c>
      <c r="P170" s="46" t="str">
        <f t="shared" si="9"/>
        <v>REVERSE TRADE</v>
      </c>
      <c r="Q170" s="52"/>
      <c r="R170" s="53">
        <f t="shared" si="10"/>
        <v>15</v>
      </c>
      <c r="S170" s="53">
        <f>IFERROR(__xludf.DUMMYFUNCTION("IFERROR(ROUND(GOOGLEFINANCE(A170,""volume"")/GOOGLEFINANCE(A170,""volumeavg""),2),"""")"),0.91)</f>
        <v>0.91</v>
      </c>
      <c r="T170" s="53" t="str">
        <f t="shared" si="11"/>
        <v>LOW VOL</v>
      </c>
      <c r="U170" s="53">
        <f>IFERROR(__xludf.DUMMYFUNCTION("IFERROR(
  LET(
    sd, GOOGLEFINANCE(A170,""close"",TODAY()-100,TODAY()),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"""")"),1.5)</f>
        <v>1.5</v>
      </c>
      <c r="V170" s="53" t="str">
        <f t="shared" si="12"/>
        <v>FAST</v>
      </c>
      <c r="W170" s="53">
        <f>IFERROR(__xludf.DUMMYFUNCTION("IFERROR(ROUND((B170/GOOGLEFINANCE(A170,""high52"")-1)*100,1),"""")"),-21.1)</f>
        <v>-21.1</v>
      </c>
      <c r="X170" s="53">
        <f>IFERROR(__xludf.DUMMYFUNCTION("IFERROR(ROUND((B170-GOOGLEFINANCE(A170,""low52""))/(GOOGLEFINANCE(A170,""high52"")-GOOGLEFINANCE(A170,""low52""))*100,1),"""")"),36.6)</f>
        <v>36.6</v>
      </c>
      <c r="Y170" s="53" t="str">
        <f t="shared" si="13"/>
        <v>MID</v>
      </c>
      <c r="Z170" s="53">
        <f>IFERROR(__xludf.DUMMYFUNCTION("IFERROR(ROUND(((B170 / INDEX(GOOGLEFINANCE(TRIM(A170), ""price"", TODAY()-34, TODAY()), 2, 2)) - (GOOGLEFINANCE(""NIFTY_50"") / INDEX(GOOGLEFINANCE(""NIFTY_50"", ""price"", TODAY()-34, TODAY()), 2, 2))) * 100, 2), ""Check History"")"),-5.54)</f>
        <v>-5.54</v>
      </c>
      <c r="AA170" s="53" t="str">
        <f t="shared" si="14"/>
        <v>WEAK RS</v>
      </c>
      <c r="AB170" s="53">
        <f>IFERROR(__xludf.DUMMYFUNCTION("IFERROR(LET(
  p, QUERY(GOOGLEFINANCE(TRIM(A170),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Loading"")"),37.6)</f>
        <v>37.6</v>
      </c>
      <c r="AC170" s="53" t="str">
        <f t="shared" si="15"/>
        <v>WEAK MOM</v>
      </c>
      <c r="AD170" s="53" t="str">
        <f>IFERROR(__xludf.DUMMYFUNCTION("IFERROR(IF(GOOGLEFINANCE(A170,""eps"")&gt;0,""EPS+"",""EPS-""),"""")"),"EPS+")</f>
        <v>EPS+</v>
      </c>
      <c r="AE170" s="53">
        <f t="shared" si="16"/>
        <v>3</v>
      </c>
      <c r="AF170" s="53">
        <f>IFERROR(__xludf.DUMMYFUNCTION("IFERROR(N170+IF(S170&gt;=1.2,1,0)+IF(U170&gt;=1,1,0)+IF(Z170&gt;0,1,0)+IF(AND(W170&gt;=-20,W170&lt;=0),1,0)+IF(IFERROR(GOOGLEFINANCE(A170,""eps""),0)&gt;0,1,0),"""")"),3.0)</f>
        <v>3</v>
      </c>
      <c r="AG170" s="53" t="str">
        <f t="shared" si="17"/>
        <v>REVERSE TRADE</v>
      </c>
    </row>
    <row r="171" ht="15.0" customHeight="1">
      <c r="A171" s="43" t="s">
        <v>333</v>
      </c>
      <c r="B171" s="44">
        <f>IFERROR(__xludf.DUMMYFUNCTION("GOOGLEFINANCE(A171,""price"")"),1780.0)</f>
        <v>1780</v>
      </c>
      <c r="C171" s="45">
        <f>IFERROR(__xludf.DUMMYFUNCTION("AVERAGE(QUERY(SORT(GOOGLEFINANCE(A171,""price"",TODAY()-150,TODAY()),1,0),""select Col2 limit 50""))"),1990.3539999999996)</f>
        <v>1990.354</v>
      </c>
      <c r="D171" s="45">
        <f>IFERROR(__xludf.DUMMYFUNCTION("AVERAGE(QUERY(SORT(GOOGLEFINANCE(A171,""price"",TODAY()-300,TODAY()),1,0),""select Col2 limit 100""))"),2004.5539999999992)</f>
        <v>2004.554</v>
      </c>
      <c r="E171" s="45">
        <f>IFERROR(__xludf.DUMMYFUNCTION("AVERAGE(QUERY(SORT(GOOGLEFINANCE(A171,""price"",TODAY()-500,TODAY()),1,0),""select Col2 limit 200""))"),1916.081499999999)</f>
        <v>1916.0815</v>
      </c>
      <c r="F171" s="46" t="str">
        <f t="shared" si="1"/>
        <v>In Bear Run</v>
      </c>
      <c r="G171" s="47">
        <f t="shared" si="2"/>
        <v>-7.102072641</v>
      </c>
      <c r="H171" s="48" t="str">
        <f t="shared" si="3"/>
        <v>Inverted ✗</v>
      </c>
      <c r="I171" s="48">
        <f t="shared" si="4"/>
        <v>0</v>
      </c>
      <c r="J171" s="48">
        <f t="shared" si="5"/>
        <v>0</v>
      </c>
      <c r="K171" s="49" t="str">
        <f>IFERROR(__xludf.DUMMYFUNCTION("IFERROR(IF(A171="""",""ENTER STOCK"",LET(stock,A171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71" s="48">
        <f t="shared" si="6"/>
        <v>0</v>
      </c>
      <c r="M171" s="48">
        <f t="shared" si="7"/>
        <v>1</v>
      </c>
      <c r="N171" s="50">
        <f t="shared" si="8"/>
        <v>1</v>
      </c>
      <c r="O171" s="51" t="s">
        <v>147</v>
      </c>
      <c r="P171" s="46" t="str">
        <f t="shared" si="9"/>
        <v>REVERSE TRADE</v>
      </c>
      <c r="Q171" s="52"/>
      <c r="R171" s="53">
        <f t="shared" si="10"/>
        <v>15</v>
      </c>
      <c r="S171" s="53">
        <f>IFERROR(__xludf.DUMMYFUNCTION("IFERROR(ROUND(GOOGLEFINANCE(A171,""volume"")/GOOGLEFINANCE(A171,""volumeavg""),2),"""")"),2.53)</f>
        <v>2.53</v>
      </c>
      <c r="T171" s="53" t="str">
        <f t="shared" si="11"/>
        <v>HIGH VOL</v>
      </c>
      <c r="U171" s="53">
        <f>IFERROR(__xludf.DUMMYFUNCTION("IFERROR(
  LET(
    sd, GOOGLEFINANCE(A171,""close"",TODAY()-100,TODAY()),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"""")"),0.84)</f>
        <v>0.84</v>
      </c>
      <c r="V171" s="53" t="str">
        <f t="shared" si="12"/>
        <v>SLOW</v>
      </c>
      <c r="W171" s="53">
        <f>IFERROR(__xludf.DUMMYFUNCTION("IFERROR(ROUND((B171/GOOGLEFINANCE(A171,""high52"")-1)*100,1),"""")"),-16.5)</f>
        <v>-16.5</v>
      </c>
      <c r="X171" s="53">
        <f>IFERROR(__xludf.DUMMYFUNCTION("IFERROR(ROUND((B171-GOOGLEFINANCE(A171,""low52""))/(GOOGLEFINANCE(A171,""high52"")-GOOGLEFINANCE(A171,""low52""))*100,1),"""")"),49.8)</f>
        <v>49.8</v>
      </c>
      <c r="Y171" s="53" t="str">
        <f t="shared" si="13"/>
        <v>UPPER</v>
      </c>
      <c r="Z171" s="53">
        <f>IFERROR(__xludf.DUMMYFUNCTION("IFERROR(ROUND(((B171 / INDEX(GOOGLEFINANCE(TRIM(A171), ""price"", TODAY()-34, TODAY()), 2, 2)) - (GOOGLEFINANCE(""NIFTY_50"") / INDEX(GOOGLEFINANCE(""NIFTY_50"", ""price"", TODAY()-34, TODAY()), 2, 2))) * 100, 2), ""Check History"")"),-2.38)</f>
        <v>-2.38</v>
      </c>
      <c r="AA171" s="53" t="str">
        <f t="shared" si="14"/>
        <v>WEAK RS</v>
      </c>
      <c r="AB171" s="53">
        <f>IFERROR(__xludf.DUMMYFUNCTION("IFERROR(LET(
  p, QUERY(GOOGLEFINANCE(TRIM(A171),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Loading"")"),32.9)</f>
        <v>32.9</v>
      </c>
      <c r="AC171" s="53" t="str">
        <f t="shared" si="15"/>
        <v>WEAK MOM</v>
      </c>
      <c r="AD171" s="53" t="str">
        <f>IFERROR(__xludf.DUMMYFUNCTION("IFERROR(IF(GOOGLEFINANCE(A171,""eps"")&gt;0,""EPS+"",""EPS-""),"""")"),"EPS+")</f>
        <v>EPS+</v>
      </c>
      <c r="AE171" s="53">
        <f t="shared" si="16"/>
        <v>4</v>
      </c>
      <c r="AF171" s="53">
        <f>IFERROR(__xludf.DUMMYFUNCTION("IFERROR(N171+IF(S171&gt;=1.2,1,0)+IF(U171&gt;=1,1,0)+IF(Z171&gt;0,1,0)+IF(AND(W171&gt;=-20,W171&lt;=0),1,0)+IF(IFERROR(GOOGLEFINANCE(A171,""eps""),0)&gt;0,1,0),"""")"),4.0)</f>
        <v>4</v>
      </c>
      <c r="AG171" s="53" t="str">
        <f t="shared" si="17"/>
        <v>REVERSE TRADE</v>
      </c>
    </row>
    <row r="172" ht="15.0" customHeight="1">
      <c r="A172" s="43" t="s">
        <v>334</v>
      </c>
      <c r="B172" s="44">
        <f>IFERROR(__xludf.DUMMYFUNCTION("GOOGLEFINANCE(A172,""price"")"),654.0)</f>
        <v>654</v>
      </c>
      <c r="C172" s="45">
        <f>IFERROR(__xludf.DUMMYFUNCTION("AVERAGE(QUERY(SORT(GOOGLEFINANCE(A172,""price"",TODAY()-150,TODAY()),1,0),""select Col2 limit 50""))"),666.8389999999998)</f>
        <v>666.839</v>
      </c>
      <c r="D172" s="45">
        <f>IFERROR(__xludf.DUMMYFUNCTION("AVERAGE(QUERY(SORT(GOOGLEFINANCE(A172,""price"",TODAY()-300,TODAY()),1,0),""select Col2 limit 100""))"),671.9670000000001)</f>
        <v>671.967</v>
      </c>
      <c r="E172" s="45">
        <f>IFERROR(__xludf.DUMMYFUNCTION("AVERAGE(QUERY(SORT(GOOGLEFINANCE(A172,""price"",TODAY()-500,TODAY()),1,0),""select Col2 limit 200""))"),690.0640000000004)</f>
        <v>690.064</v>
      </c>
      <c r="F172" s="46" t="str">
        <f t="shared" si="1"/>
        <v>In Bear Run</v>
      </c>
      <c r="G172" s="47">
        <f t="shared" si="2"/>
        <v>-5.226181919</v>
      </c>
      <c r="H172" s="48" t="str">
        <f t="shared" si="3"/>
        <v>Inverted ✗</v>
      </c>
      <c r="I172" s="48">
        <f t="shared" si="4"/>
        <v>0</v>
      </c>
      <c r="J172" s="48">
        <f t="shared" si="5"/>
        <v>0</v>
      </c>
      <c r="K172" s="49" t="str">
        <f>IFERROR(__xludf.DUMMYFUNCTION("IFERROR(IF(A172="""",""ENTER STOCK"",LET(stock,A172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72" s="48">
        <f t="shared" si="6"/>
        <v>0</v>
      </c>
      <c r="M172" s="48">
        <f t="shared" si="7"/>
        <v>1</v>
      </c>
      <c r="N172" s="50">
        <f t="shared" si="8"/>
        <v>1</v>
      </c>
      <c r="O172" s="51" t="s">
        <v>175</v>
      </c>
      <c r="P172" s="46" t="str">
        <f t="shared" si="9"/>
        <v>REVERSE TRADE</v>
      </c>
      <c r="Q172" s="52"/>
      <c r="R172" s="53">
        <f t="shared" si="10"/>
        <v>15</v>
      </c>
      <c r="S172" s="53">
        <f>IFERROR(__xludf.DUMMYFUNCTION("IFERROR(ROUND(GOOGLEFINANCE(A172,""volume"")/GOOGLEFINANCE(A172,""volumeavg""),2),"""")"),1.83)</f>
        <v>1.83</v>
      </c>
      <c r="T172" s="53" t="str">
        <f t="shared" si="11"/>
        <v>HIGH VOL</v>
      </c>
      <c r="U172" s="53">
        <f>IFERROR(__xludf.DUMMYFUNCTION("IFERROR(
  LET(
    sd, GOOGLEFINANCE(A172,""close"",TODAY()-100,TODAY()),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"""")"),1.4)</f>
        <v>1.4</v>
      </c>
      <c r="V172" s="53" t="str">
        <f t="shared" si="12"/>
        <v>FAST</v>
      </c>
      <c r="W172" s="53">
        <f>IFERROR(__xludf.DUMMYFUNCTION("IFERROR(ROUND((B172/GOOGLEFINANCE(A172,""high52"")-1)*100,1),"""")"),-18.0)</f>
        <v>-18</v>
      </c>
      <c r="X172" s="53">
        <f>IFERROR(__xludf.DUMMYFUNCTION("IFERROR(ROUND((B172-GOOGLEFINANCE(A172,""low52""))/(GOOGLEFINANCE(A172,""high52"")-GOOGLEFINANCE(A172,""low52""))*100,1),"""")"),48.7)</f>
        <v>48.7</v>
      </c>
      <c r="Y172" s="53" t="str">
        <f t="shared" si="13"/>
        <v>UPPER</v>
      </c>
      <c r="Z172" s="53">
        <f>IFERROR(__xludf.DUMMYFUNCTION("IFERROR(ROUND(((B172 / INDEX(GOOGLEFINANCE(TRIM(A172), ""price"", TODAY()-34, TODAY()), 2, 2)) - (GOOGLEFINANCE(""NIFTY_50"") / INDEX(GOOGLEFINANCE(""NIFTY_50"", ""price"", TODAY()-34, TODAY()), 2, 2))) * 100, 2), ""Check History"")"),2.44)</f>
        <v>2.44</v>
      </c>
      <c r="AA172" s="53" t="str">
        <f t="shared" si="14"/>
        <v>MILD RS</v>
      </c>
      <c r="AB172" s="53">
        <f>IFERROR(__xludf.DUMMYFUNCTION("IFERROR(LET(
  p, QUERY(GOOGLEFINANCE(TRIM(A172),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Loading"")"),54.0)</f>
        <v>54</v>
      </c>
      <c r="AC172" s="53" t="str">
        <f t="shared" si="15"/>
        <v>IDEAL ENTRY</v>
      </c>
      <c r="AD172" s="53" t="str">
        <f>IFERROR(__xludf.DUMMYFUNCTION("IFERROR(IF(GOOGLEFINANCE(A172,""eps"")&gt;0,""EPS+"",""EPS-""),"""")"),"EPS+")</f>
        <v>EPS+</v>
      </c>
      <c r="AE172" s="53">
        <f t="shared" si="16"/>
        <v>7</v>
      </c>
      <c r="AF172" s="53">
        <f>IFERROR(__xludf.DUMMYFUNCTION("IFERROR(N172+IF(S172&gt;=1.2,1,0)+IF(U172&gt;=1,1,0)+IF(Z172&gt;0,1,0)+IF(AND(W172&gt;=-20,W172&lt;=0),1,0)+IF(IFERROR(GOOGLEFINANCE(A172,""eps""),0)&gt;0,1,0),"""")"),6.0)</f>
        <v>6</v>
      </c>
      <c r="AG172" s="53" t="str">
        <f t="shared" si="17"/>
        <v>REVERSE TRADE</v>
      </c>
    </row>
    <row r="173" ht="15.0" customHeight="1">
      <c r="A173" s="43" t="s">
        <v>335</v>
      </c>
      <c r="B173" s="44">
        <f>IFERROR(__xludf.DUMMYFUNCTION("GOOGLEFINANCE(A173,""price"")"),1179.7)</f>
        <v>1179.7</v>
      </c>
      <c r="C173" s="45">
        <f>IFERROR(__xludf.DUMMYFUNCTION("AVERAGE(QUERY(SORT(GOOGLEFINANCE(A173,""price"",TODAY()-150,TODAY()),1,0),""select Col2 limit 50""))"),1269.2440000000001)</f>
        <v>1269.244</v>
      </c>
      <c r="D173" s="45">
        <f>IFERROR(__xludf.DUMMYFUNCTION("AVERAGE(QUERY(SORT(GOOGLEFINANCE(A173,""price"",TODAY()-300,TODAY()),1,0),""select Col2 limit 100""))"),1267.794)</f>
        <v>1267.794</v>
      </c>
      <c r="E173" s="45">
        <f>IFERROR(__xludf.DUMMYFUNCTION("AVERAGE(QUERY(SORT(GOOGLEFINANCE(A173,""price"",TODAY()-500,TODAY()),1,0),""select Col2 limit 200""))"),1229.1882499999997)</f>
        <v>1229.18825</v>
      </c>
      <c r="F173" s="46" t="str">
        <f t="shared" si="1"/>
        <v>In Bear Run</v>
      </c>
      <c r="G173" s="47">
        <f t="shared" si="2"/>
        <v>-4.026092016</v>
      </c>
      <c r="H173" s="48" t="str">
        <f t="shared" si="3"/>
        <v>Golden ✓</v>
      </c>
      <c r="I173" s="48">
        <f t="shared" si="4"/>
        <v>3</v>
      </c>
      <c r="J173" s="48">
        <f t="shared" si="5"/>
        <v>0</v>
      </c>
      <c r="K173" s="49" t="str">
        <f>IFERROR(__xludf.DUMMYFUNCTION("IFERROR(IF(A173="""",""ENTER STOCK"",LET(stock,A173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73" s="48">
        <f t="shared" si="6"/>
        <v>0</v>
      </c>
      <c r="M173" s="48">
        <f t="shared" si="7"/>
        <v>1</v>
      </c>
      <c r="N173" s="50">
        <f t="shared" si="8"/>
        <v>4</v>
      </c>
      <c r="O173" s="51" t="s">
        <v>131</v>
      </c>
      <c r="P173" s="46" t="str">
        <f t="shared" si="9"/>
        <v>REVERSE TRADE</v>
      </c>
      <c r="Q173" s="52"/>
      <c r="R173" s="53">
        <f t="shared" si="10"/>
        <v>15</v>
      </c>
      <c r="S173" s="53">
        <f>IFERROR(__xludf.DUMMYFUNCTION("IFERROR(ROUND(GOOGLEFINANCE(A173,""volume"")/GOOGLEFINANCE(A173,""volumeavg""),2),"""")"),1.8)</f>
        <v>1.8</v>
      </c>
      <c r="T173" s="53" t="str">
        <f t="shared" si="11"/>
        <v>HIGH VOL</v>
      </c>
      <c r="U173" s="53">
        <f>IFERROR(__xludf.DUMMYFUNCTION("IFERROR(
  LET(
    sd, GOOGLEFINANCE(A173,""close"",TODAY()-100,TODAY()),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"""")"),0.64)</f>
        <v>0.64</v>
      </c>
      <c r="V173" s="53" t="str">
        <f t="shared" si="12"/>
        <v>SLOW</v>
      </c>
      <c r="W173" s="53">
        <f>IFERROR(__xludf.DUMMYFUNCTION("IFERROR(ROUND((B173/GOOGLEFINANCE(A173,""high52"")-1)*100,1),"""")"),-12.0)</f>
        <v>-12</v>
      </c>
      <c r="X173" s="53">
        <f>IFERROR(__xludf.DUMMYFUNCTION("IFERROR(ROUND((B173-GOOGLEFINANCE(A173,""low52""))/(GOOGLEFINANCE(A173,""high52"")-GOOGLEFINANCE(A173,""low52""))*100,1),"""")"),39.7)</f>
        <v>39.7</v>
      </c>
      <c r="Y173" s="53" t="str">
        <f t="shared" si="13"/>
        <v>UPPER</v>
      </c>
      <c r="Z173" s="53">
        <f>IFERROR(__xludf.DUMMYFUNCTION("IFERROR(ROUND(((B173 / INDEX(GOOGLEFINANCE(TRIM(A173), ""price"", TODAY()-34, TODAY()), 2, 2)) - (GOOGLEFINANCE(""NIFTY_50"") / INDEX(GOOGLEFINANCE(""NIFTY_50"", ""price"", TODAY()-34, TODAY()), 2, 2))) * 100, 2), ""Check History"")"),1.54)</f>
        <v>1.54</v>
      </c>
      <c r="AA173" s="53" t="str">
        <f t="shared" si="14"/>
        <v>MILD RS</v>
      </c>
      <c r="AB173" s="53">
        <f>IFERROR(__xludf.DUMMYFUNCTION("IFERROR(LET(
  p, QUERY(GOOGLEFINANCE(TRIM(A173),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Loading"")"),47.4)</f>
        <v>47.4</v>
      </c>
      <c r="AC173" s="53" t="str">
        <f t="shared" si="15"/>
        <v>IDEAL ENTRY</v>
      </c>
      <c r="AD173" s="53" t="str">
        <f>IFERROR(__xludf.DUMMYFUNCTION("IFERROR(IF(GOOGLEFINANCE(A173,""eps"")&gt;0,""EPS+"",""EPS-""),"""")"),"EPS+")</f>
        <v>EPS+</v>
      </c>
      <c r="AE173" s="53">
        <f t="shared" si="16"/>
        <v>5</v>
      </c>
      <c r="AF173" s="53">
        <f>IFERROR(__xludf.DUMMYFUNCTION("IFERROR(N173+IF(S173&gt;=1.2,1,0)+IF(U173&gt;=1,1,0)+IF(Z173&gt;0,1,0)+IF(AND(W173&gt;=-20,W173&lt;=0),1,0)+IF(IFERROR(GOOGLEFINANCE(A173,""eps""),0)&gt;0,1,0),"""")"),8.0)</f>
        <v>8</v>
      </c>
      <c r="AG173" s="53" t="str">
        <f t="shared" si="17"/>
        <v>REVERSE TRADE</v>
      </c>
    </row>
    <row r="174" ht="15.0" customHeight="1">
      <c r="A174" s="43" t="s">
        <v>336</v>
      </c>
      <c r="B174" s="44">
        <f>IFERROR(__xludf.DUMMYFUNCTION("GOOGLEFINANCE(A174,""price"")"),3190.0)</f>
        <v>3190</v>
      </c>
      <c r="C174" s="45">
        <f>IFERROR(__xludf.DUMMYFUNCTION("AVERAGE(QUERY(SORT(GOOGLEFINANCE(A174,""price"",TODAY()-150,TODAY()),1,0),""select Col2 limit 50""))"),3551.265999999999)</f>
        <v>3551.266</v>
      </c>
      <c r="D174" s="45">
        <f>IFERROR(__xludf.DUMMYFUNCTION("AVERAGE(QUERY(SORT(GOOGLEFINANCE(A174,""price"",TODAY()-300,TODAY()),1,0),""select Col2 limit 100""))"),3627.6699999999996)</f>
        <v>3627.67</v>
      </c>
      <c r="E174" s="45">
        <f>IFERROR(__xludf.DUMMYFUNCTION("AVERAGE(QUERY(SORT(GOOGLEFINANCE(A174,""price"",TODAY()-500,TODAY()),1,0),""select Col2 limit 200""))"),3225.915999999998)</f>
        <v>3225.916</v>
      </c>
      <c r="F174" s="46" t="str">
        <f t="shared" si="1"/>
        <v>In Bear Run</v>
      </c>
      <c r="G174" s="47">
        <f t="shared" si="2"/>
        <v>-1.11335819</v>
      </c>
      <c r="H174" s="48" t="str">
        <f t="shared" si="3"/>
        <v>Inverted ✗</v>
      </c>
      <c r="I174" s="48">
        <f t="shared" si="4"/>
        <v>0</v>
      </c>
      <c r="J174" s="48">
        <f t="shared" si="5"/>
        <v>0</v>
      </c>
      <c r="K174" s="49" t="str">
        <f>IFERROR(__xludf.DUMMYFUNCTION("IFERROR(IF(A174="""",""ENTER STOCK"",LET(stock,A174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74" s="48">
        <f t="shared" si="6"/>
        <v>0</v>
      </c>
      <c r="M174" s="48">
        <f t="shared" si="7"/>
        <v>1</v>
      </c>
      <c r="N174" s="50">
        <f t="shared" si="8"/>
        <v>1</v>
      </c>
      <c r="O174" s="51" t="s">
        <v>153</v>
      </c>
      <c r="P174" s="46" t="str">
        <f t="shared" si="9"/>
        <v>REVERSE TRADE</v>
      </c>
      <c r="Q174" s="52"/>
      <c r="R174" s="53">
        <f t="shared" si="10"/>
        <v>15</v>
      </c>
      <c r="S174" s="53">
        <f>IFERROR(__xludf.DUMMYFUNCTION("IFERROR(ROUND(GOOGLEFINANCE(A174,""volume"")/GOOGLEFINANCE(A174,""volumeavg""),2),"""")"),1.06)</f>
        <v>1.06</v>
      </c>
      <c r="T174" s="53" t="str">
        <f t="shared" si="11"/>
        <v>LOW VOL</v>
      </c>
      <c r="U174" s="53">
        <f>IFERROR(__xludf.DUMMYFUNCTION("IFERROR(
  LET(
    sd, GOOGLEFINANCE(A174,""close"",TODAY()-100,TODAY()),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"""")"),1.31)</f>
        <v>1.31</v>
      </c>
      <c r="V174" s="53" t="str">
        <f t="shared" si="12"/>
        <v>FAST</v>
      </c>
      <c r="W174" s="53">
        <f>IFERROR(__xludf.DUMMYFUNCTION("IFERROR(ROUND((B174/GOOGLEFINANCE(A174,""high52"")-1)*100,1),"""")"),-23.1)</f>
        <v>-23.1</v>
      </c>
      <c r="X174" s="53">
        <f>IFERROR(__xludf.DUMMYFUNCTION("IFERROR(ROUND((B174-GOOGLEFINANCE(A174,""low52""))/(GOOGLEFINANCE(A174,""high52"")-GOOGLEFINANCE(A174,""low52""))*100,1),"""")"),56.1)</f>
        <v>56.1</v>
      </c>
      <c r="Y174" s="53" t="str">
        <f t="shared" si="13"/>
        <v>MID</v>
      </c>
      <c r="Z174" s="53">
        <f>IFERROR(__xludf.DUMMYFUNCTION("IFERROR(ROUND(((B174 / INDEX(GOOGLEFINANCE(TRIM(A174), ""price"", TODAY()-34, TODAY()), 2, 2)) - (GOOGLEFINANCE(""NIFTY_50"") / INDEX(GOOGLEFINANCE(""NIFTY_50"", ""price"", TODAY()-34, TODAY()), 2, 2))) * 100, 2), ""Check History"")"),3.47)</f>
        <v>3.47</v>
      </c>
      <c r="AA174" s="53" t="str">
        <f t="shared" si="14"/>
        <v>MILD RS</v>
      </c>
      <c r="AB174" s="53">
        <f>IFERROR(__xludf.DUMMYFUNCTION("IFERROR(LET(
  p, QUERY(GOOGLEFINANCE(TRIM(A174),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Loading"")"),32.5)</f>
        <v>32.5</v>
      </c>
      <c r="AC174" s="53" t="str">
        <f t="shared" si="15"/>
        <v>WEAK MOM</v>
      </c>
      <c r="AD174" s="53" t="str">
        <f>IFERROR(__xludf.DUMMYFUNCTION("IFERROR(IF(GOOGLEFINANCE(A174,""eps"")&gt;0,""EPS+"",""EPS-""),"""")"),"EPS+")</f>
        <v>EPS+</v>
      </c>
      <c r="AE174" s="53">
        <f t="shared" si="16"/>
        <v>6</v>
      </c>
      <c r="AF174" s="53">
        <f>IFERROR(__xludf.DUMMYFUNCTION("IFERROR(N174+IF(S174&gt;=1.2,1,0)+IF(U174&gt;=1,1,0)+IF(Z174&gt;0,1,0)+IF(AND(W174&gt;=-20,W174&lt;=0),1,0)+IF(IFERROR(GOOGLEFINANCE(A174,""eps""),0)&gt;0,1,0),"""")"),4.0)</f>
        <v>4</v>
      </c>
      <c r="AG174" s="53" t="str">
        <f t="shared" si="17"/>
        <v>REVERSE TRADE</v>
      </c>
    </row>
    <row r="175" ht="15.0" customHeight="1">
      <c r="A175" s="43" t="s">
        <v>337</v>
      </c>
      <c r="B175" s="44">
        <f>IFERROR(__xludf.DUMMYFUNCTION("GOOGLEFINANCE(A175,""price"")"),5419.5)</f>
        <v>5419.5</v>
      </c>
      <c r="C175" s="45">
        <f>IFERROR(__xludf.DUMMYFUNCTION("AVERAGE(QUERY(SORT(GOOGLEFINANCE(A175,""price"",TODAY()-150,TODAY()),1,0),""select Col2 limit 50""))"),5890.07)</f>
        <v>5890.07</v>
      </c>
      <c r="D175" s="45">
        <f>IFERROR(__xludf.DUMMYFUNCTION("AVERAGE(QUERY(SORT(GOOGLEFINANCE(A175,""price"",TODAY()-300,TODAY()),1,0),""select Col2 limit 100""))"),5919.355)</f>
        <v>5919.355</v>
      </c>
      <c r="E175" s="45">
        <f>IFERROR(__xludf.DUMMYFUNCTION("AVERAGE(QUERY(SORT(GOOGLEFINANCE(A175,""price"",TODAY()-500,TODAY()),1,0),""select Col2 limit 200""))"),5862.0775)</f>
        <v>5862.0775</v>
      </c>
      <c r="F175" s="46" t="str">
        <f t="shared" si="1"/>
        <v>In Bear Run</v>
      </c>
      <c r="G175" s="47">
        <f t="shared" si="2"/>
        <v>-7.549840479</v>
      </c>
      <c r="H175" s="48" t="str">
        <f t="shared" si="3"/>
        <v>Inverted ✗</v>
      </c>
      <c r="I175" s="48">
        <f t="shared" si="4"/>
        <v>0</v>
      </c>
      <c r="J175" s="48">
        <f t="shared" si="5"/>
        <v>0</v>
      </c>
      <c r="K175" s="49" t="str">
        <f>IFERROR(__xludf.DUMMYFUNCTION("IFERROR(IF(A175="""",""ENTER STOCK"",LET(stock,A175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75" s="48">
        <f t="shared" si="6"/>
        <v>0</v>
      </c>
      <c r="M175" s="48">
        <f t="shared" si="7"/>
        <v>1</v>
      </c>
      <c r="N175" s="50">
        <f t="shared" si="8"/>
        <v>1</v>
      </c>
      <c r="O175" s="51" t="s">
        <v>131</v>
      </c>
      <c r="P175" s="46" t="str">
        <f t="shared" si="9"/>
        <v>REVERSE TRADE</v>
      </c>
      <c r="Q175" s="52"/>
      <c r="R175" s="53">
        <f t="shared" si="10"/>
        <v>15</v>
      </c>
      <c r="S175" s="53">
        <f>IFERROR(__xludf.DUMMYFUNCTION("IFERROR(ROUND(GOOGLEFINANCE(A175,""volume"")/GOOGLEFINANCE(A175,""volumeavg""),2),"""")"),2.56)</f>
        <v>2.56</v>
      </c>
      <c r="T175" s="53" t="str">
        <f t="shared" si="11"/>
        <v>HIGH VOL</v>
      </c>
      <c r="U175" s="53">
        <f>IFERROR(__xludf.DUMMYFUNCTION("IFERROR(
  LET(
    sd, GOOGLEFINANCE(A175,""close"",TODAY()-100,TODAY()),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"""")"),0.68)</f>
        <v>0.68</v>
      </c>
      <c r="V175" s="53" t="str">
        <f t="shared" si="12"/>
        <v>SLOW</v>
      </c>
      <c r="W175" s="53">
        <f>IFERROR(__xludf.DUMMYFUNCTION("IFERROR(ROUND((B175/GOOGLEFINANCE(A175,""high52"")-1)*100,1),"""")"),-14.5)</f>
        <v>-14.5</v>
      </c>
      <c r="X175" s="53">
        <f>IFERROR(__xludf.DUMMYFUNCTION("IFERROR(ROUND((B175-GOOGLEFINANCE(A175,""low52""))/(GOOGLEFINANCE(A175,""high52"")-GOOGLEFINANCE(A175,""low52""))*100,1),"""")"),47.1)</f>
        <v>47.1</v>
      </c>
      <c r="Y175" s="53" t="str">
        <f t="shared" si="13"/>
        <v>UPPER</v>
      </c>
      <c r="Z175" s="53">
        <f>IFERROR(__xludf.DUMMYFUNCTION("IFERROR(ROUND(((B175 / INDEX(GOOGLEFINANCE(TRIM(A175), ""price"", TODAY()-34, TODAY()), 2, 2)) - (GOOGLEFINANCE(""NIFTY_50"") / INDEX(GOOGLEFINANCE(""NIFTY_50"", ""price"", TODAY()-34, TODAY()), 2, 2))) * 100, 2), ""Check History"")"),0.11)</f>
        <v>0.11</v>
      </c>
      <c r="AA175" s="53" t="str">
        <f t="shared" si="14"/>
        <v>MILD RS</v>
      </c>
      <c r="AB175" s="53">
        <f>IFERROR(__xludf.DUMMYFUNCTION("IFERROR(LET(
  p, QUERY(GOOGLEFINANCE(TRIM(A175),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Loading"")"),29.4)</f>
        <v>29.4</v>
      </c>
      <c r="AC175" s="53" t="str">
        <f t="shared" si="15"/>
        <v>WEAK MOM</v>
      </c>
      <c r="AD175" s="53" t="str">
        <f>IFERROR(__xludf.DUMMYFUNCTION("IFERROR(IF(GOOGLEFINANCE(A175,""eps"")&gt;0,""EPS+"",""EPS-""),"""")"),"EPS+")</f>
        <v>EPS+</v>
      </c>
      <c r="AE175" s="53">
        <f t="shared" si="16"/>
        <v>5</v>
      </c>
      <c r="AF175" s="53">
        <f>IFERROR(__xludf.DUMMYFUNCTION("IFERROR(N175+IF(S175&gt;=1.2,1,0)+IF(U175&gt;=1,1,0)+IF(Z175&gt;0,1,0)+IF(AND(W175&gt;=-20,W175&lt;=0),1,0)+IF(IFERROR(GOOGLEFINANCE(A175,""eps""),0)&gt;0,1,0),"""")"),5.0)</f>
        <v>5</v>
      </c>
      <c r="AG175" s="53" t="str">
        <f t="shared" si="17"/>
        <v>REVERSE TRADE</v>
      </c>
    </row>
    <row r="176" ht="15.0" customHeight="1">
      <c r="A176" s="43" t="s">
        <v>338</v>
      </c>
      <c r="B176" s="44">
        <f>IFERROR(__xludf.DUMMYFUNCTION("GOOGLEFINANCE(A176,""price"")"),2930.0)</f>
        <v>2930</v>
      </c>
      <c r="C176" s="45">
        <f>IFERROR(__xludf.DUMMYFUNCTION("AVERAGE(QUERY(SORT(GOOGLEFINANCE(A176,""price"",TODAY()-150,TODAY()),1,0),""select Col2 limit 50""))"),3139.722)</f>
        <v>3139.722</v>
      </c>
      <c r="D176" s="45">
        <f>IFERROR(__xludf.DUMMYFUNCTION("AVERAGE(QUERY(SORT(GOOGLEFINANCE(A176,""price"",TODAY()-300,TODAY()),1,0),""select Col2 limit 100""))"),3143.314)</f>
        <v>3143.314</v>
      </c>
      <c r="E176" s="45">
        <f>IFERROR(__xludf.DUMMYFUNCTION("AVERAGE(QUERY(SORT(GOOGLEFINANCE(A176,""price"",TODAY()-500,TODAY()),1,0),""select Col2 limit 200""))"),3155.981000000001)</f>
        <v>3155.981</v>
      </c>
      <c r="F176" s="46" t="str">
        <f t="shared" si="1"/>
        <v>In Bear Run</v>
      </c>
      <c r="G176" s="47">
        <f t="shared" si="2"/>
        <v>-7.160404324</v>
      </c>
      <c r="H176" s="48" t="str">
        <f t="shared" si="3"/>
        <v>Inverted ✗</v>
      </c>
      <c r="I176" s="48">
        <f t="shared" si="4"/>
        <v>0</v>
      </c>
      <c r="J176" s="48">
        <f t="shared" si="5"/>
        <v>0</v>
      </c>
      <c r="K176" s="49" t="str">
        <f>IFERROR(__xludf.DUMMYFUNCTION("IFERROR(IF(A176="""",""ENTER STOCK"",LET(stock,A176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76" s="48">
        <f t="shared" si="6"/>
        <v>0</v>
      </c>
      <c r="M176" s="48">
        <f t="shared" si="7"/>
        <v>1</v>
      </c>
      <c r="N176" s="50">
        <f t="shared" si="8"/>
        <v>1</v>
      </c>
      <c r="O176" s="51" t="s">
        <v>175</v>
      </c>
      <c r="P176" s="46" t="str">
        <f t="shared" si="9"/>
        <v>REVERSE TRADE</v>
      </c>
      <c r="Q176" s="52"/>
      <c r="R176" s="53">
        <f t="shared" si="10"/>
        <v>15</v>
      </c>
      <c r="S176" s="53">
        <f>IFERROR(__xludf.DUMMYFUNCTION("IFERROR(ROUND(GOOGLEFINANCE(A176,""volume"")/GOOGLEFINANCE(A176,""volumeavg""),2),"""")"),1.19)</f>
        <v>1.19</v>
      </c>
      <c r="T176" s="53" t="str">
        <f t="shared" si="11"/>
        <v>LOW VOL</v>
      </c>
      <c r="U176" s="53">
        <f>IFERROR(__xludf.DUMMYFUNCTION("IFERROR(
  LET(
    sd, GOOGLEFINANCE(A176,""close"",TODAY()-100,TODAY()),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"""")"),1.22)</f>
        <v>1.22</v>
      </c>
      <c r="V176" s="53" t="str">
        <f t="shared" si="12"/>
        <v>FAST</v>
      </c>
      <c r="W176" s="53">
        <f>IFERROR(__xludf.DUMMYFUNCTION("IFERROR(ROUND((B176/GOOGLEFINANCE(A176,""high52"")-1)*100,1),"""")"),-14.8)</f>
        <v>-14.8</v>
      </c>
      <c r="X176" s="53">
        <f>IFERROR(__xludf.DUMMYFUNCTION("IFERROR(ROUND((B176-GOOGLEFINANCE(A176,""low52""))/(GOOGLEFINANCE(A176,""high52"")-GOOGLEFINANCE(A176,""low52""))*100,1),"""")"),48.5)</f>
        <v>48.5</v>
      </c>
      <c r="Y176" s="53" t="str">
        <f t="shared" si="13"/>
        <v>UPPER</v>
      </c>
      <c r="Z176" s="53">
        <f>IFERROR(__xludf.DUMMYFUNCTION("IFERROR(ROUND(((B176 / INDEX(GOOGLEFINANCE(TRIM(A176), ""price"", TODAY()-34, TODAY()), 2, 2)) - (GOOGLEFINANCE(""NIFTY_50"") / INDEX(GOOGLEFINANCE(""NIFTY_50"", ""price"", TODAY()-34, TODAY()), 2, 2))) * 100, 2), ""Check History"")"),-0.78)</f>
        <v>-0.78</v>
      </c>
      <c r="AA176" s="53" t="str">
        <f t="shared" si="14"/>
        <v>WEAK RS</v>
      </c>
      <c r="AB176" s="53">
        <f>IFERROR(__xludf.DUMMYFUNCTION("IFERROR(LET(
  p, QUERY(GOOGLEFINANCE(TRIM(A176),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Loading"")"),34.7)</f>
        <v>34.7</v>
      </c>
      <c r="AC176" s="53" t="str">
        <f t="shared" si="15"/>
        <v>WEAK MOM</v>
      </c>
      <c r="AD176" s="53" t="str">
        <f>IFERROR(__xludf.DUMMYFUNCTION("IFERROR(IF(GOOGLEFINANCE(A176,""eps"")&gt;0,""EPS+"",""EPS-""),"""")"),"EPS+")</f>
        <v>EPS+</v>
      </c>
      <c r="AE176" s="53">
        <f t="shared" si="16"/>
        <v>4</v>
      </c>
      <c r="AF176" s="53">
        <f>IFERROR(__xludf.DUMMYFUNCTION("IFERROR(N176+IF(S176&gt;=1.2,1,0)+IF(U176&gt;=1,1,0)+IF(Z176&gt;0,1,0)+IF(AND(W176&gt;=-20,W176&lt;=0),1,0)+IF(IFERROR(GOOGLEFINANCE(A176,""eps""),0)&gt;0,1,0),"""")"),4.0)</f>
        <v>4</v>
      </c>
      <c r="AG176" s="53" t="str">
        <f t="shared" si="17"/>
        <v>REVERSE TRADE</v>
      </c>
    </row>
    <row r="177" ht="15.0" customHeight="1">
      <c r="A177" s="43" t="s">
        <v>339</v>
      </c>
      <c r="B177" s="44">
        <f>IFERROR(__xludf.DUMMYFUNCTION("GOOGLEFINANCE(A177,""price"")"),5300.0)</f>
        <v>5300</v>
      </c>
      <c r="C177" s="45">
        <f>IFERROR(__xludf.DUMMYFUNCTION("AVERAGE(QUERY(SORT(GOOGLEFINANCE(A177,""price"",TODAY()-150,TODAY()),1,0),""select Col2 limit 50""))"),5556.82)</f>
        <v>5556.82</v>
      </c>
      <c r="D177" s="45">
        <f>IFERROR(__xludf.DUMMYFUNCTION("AVERAGE(QUERY(SORT(GOOGLEFINANCE(A177,""price"",TODAY()-300,TODAY()),1,0),""select Col2 limit 100""))"),5606.08)</f>
        <v>5606.08</v>
      </c>
      <c r="E177" s="45">
        <f>IFERROR(__xludf.DUMMYFUNCTION("AVERAGE(QUERY(SORT(GOOGLEFINANCE(A177,""price"",TODAY()-500,TODAY()),1,0),""select Col2 limit 200""))"),5400.161999999999)</f>
        <v>5400.162</v>
      </c>
      <c r="F177" s="46" t="str">
        <f t="shared" si="1"/>
        <v>In Bear Run</v>
      </c>
      <c r="G177" s="47">
        <f t="shared" si="2"/>
        <v>-1.854796208</v>
      </c>
      <c r="H177" s="48" t="str">
        <f t="shared" si="3"/>
        <v>Inverted ✗</v>
      </c>
      <c r="I177" s="48">
        <f t="shared" si="4"/>
        <v>0</v>
      </c>
      <c r="J177" s="48">
        <f t="shared" si="5"/>
        <v>0</v>
      </c>
      <c r="K177" s="49" t="str">
        <f>IFERROR(__xludf.DUMMYFUNCTION("IFERROR(IF(A177="""",""ENTER STOCK"",LET(stock,A177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77" s="48">
        <f t="shared" si="6"/>
        <v>0</v>
      </c>
      <c r="M177" s="48">
        <f t="shared" si="7"/>
        <v>1</v>
      </c>
      <c r="N177" s="50">
        <f t="shared" si="8"/>
        <v>1</v>
      </c>
      <c r="O177" s="51" t="s">
        <v>255</v>
      </c>
      <c r="P177" s="46" t="str">
        <f t="shared" si="9"/>
        <v>REVERSE TRADE</v>
      </c>
      <c r="Q177" s="52"/>
      <c r="R177" s="53">
        <f t="shared" si="10"/>
        <v>15</v>
      </c>
      <c r="S177" s="53">
        <f>IFERROR(__xludf.DUMMYFUNCTION("IFERROR(ROUND(GOOGLEFINANCE(A177,""volume"")/GOOGLEFINANCE(A177,""volumeavg""),2),"""")"),1.68)</f>
        <v>1.68</v>
      </c>
      <c r="T177" s="53" t="str">
        <f t="shared" si="11"/>
        <v>HIGH VOL</v>
      </c>
      <c r="U177" s="53">
        <f>IFERROR(__xludf.DUMMYFUNCTION("IFERROR(
  LET(
    sd, GOOGLEFINANCE(A177,""close"",TODAY()-100,TODAY()),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"""")"),1.08)</f>
        <v>1.08</v>
      </c>
      <c r="V177" s="53" t="str">
        <f t="shared" si="12"/>
        <v>MEDIUM</v>
      </c>
      <c r="W177" s="53">
        <f>IFERROR(__xludf.DUMMYFUNCTION("IFERROR(ROUND((B177/GOOGLEFINANCE(A177,""high52"")-1)*100,1),"""")"),-10.7)</f>
        <v>-10.7</v>
      </c>
      <c r="X177" s="53">
        <f>IFERROR(__xludf.DUMMYFUNCTION("IFERROR(ROUND((B177-GOOGLEFINANCE(A177,""low52""))/(GOOGLEFINANCE(A177,""high52"")-GOOGLEFINANCE(A177,""low52""))*100,1),"""")"),52.1)</f>
        <v>52.1</v>
      </c>
      <c r="Y177" s="53" t="str">
        <f t="shared" si="13"/>
        <v>UPPER</v>
      </c>
      <c r="Z177" s="53">
        <f>IFERROR(__xludf.DUMMYFUNCTION("IFERROR(ROUND(((B177 / INDEX(GOOGLEFINANCE(TRIM(A177), ""price"", TODAY()-34, TODAY()), 2, 2)) - (GOOGLEFINANCE(""NIFTY_50"") / INDEX(GOOGLEFINANCE(""NIFTY_50"", ""price"", TODAY()-34, TODAY()), 2, 2))) * 100, 2), ""Check History"")"),8.61)</f>
        <v>8.61</v>
      </c>
      <c r="AA177" s="53" t="str">
        <f t="shared" si="14"/>
        <v>STRONG RS</v>
      </c>
      <c r="AB177" s="53">
        <f>IFERROR(__xludf.DUMMYFUNCTION("IFERROR(LET(
  p, QUERY(GOOGLEFINANCE(TRIM(A177),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Loading"")"),50.1)</f>
        <v>50.1</v>
      </c>
      <c r="AC177" s="53" t="str">
        <f t="shared" si="15"/>
        <v>IDEAL ENTRY</v>
      </c>
      <c r="AD177" s="53" t="str">
        <f>IFERROR(__xludf.DUMMYFUNCTION("IFERROR(IF(GOOGLEFINANCE(A177,""eps"")&gt;0,""EPS+"",""EPS-""),"""")"),"EPS+")</f>
        <v>EPS+</v>
      </c>
      <c r="AE177" s="53">
        <f t="shared" si="16"/>
        <v>8</v>
      </c>
      <c r="AF177" s="53">
        <f>IFERROR(__xludf.DUMMYFUNCTION("IFERROR(N177+IF(S177&gt;=1.2,1,0)+IF(U177&gt;=1,1,0)+IF(Z177&gt;0,1,0)+IF(AND(W177&gt;=-20,W177&lt;=0),1,0)+IF(IFERROR(GOOGLEFINANCE(A177,""eps""),0)&gt;0,1,0),"""")"),6.0)</f>
        <v>6</v>
      </c>
      <c r="AG177" s="53" t="str">
        <f t="shared" si="17"/>
        <v>REVERSE TRADE</v>
      </c>
    </row>
    <row r="178" ht="15.0" customHeight="1">
      <c r="A178" s="43" t="s">
        <v>340</v>
      </c>
      <c r="B178" s="44">
        <f>IFERROR(__xludf.DUMMYFUNCTION("GOOGLEFINANCE(A178,""price"")"),3600.0)</f>
        <v>3600</v>
      </c>
      <c r="C178" s="45">
        <f>IFERROR(__xludf.DUMMYFUNCTION("AVERAGE(QUERY(SORT(GOOGLEFINANCE(A178,""price"",TODAY()-150,TODAY()),1,0),""select Col2 limit 50""))"),3802.2240000000006)</f>
        <v>3802.224</v>
      </c>
      <c r="D178" s="45">
        <f>IFERROR(__xludf.DUMMYFUNCTION("AVERAGE(QUERY(SORT(GOOGLEFINANCE(A178,""price"",TODAY()-300,TODAY()),1,0),""select Col2 limit 100""))"),3795.1189999999997)</f>
        <v>3795.119</v>
      </c>
      <c r="E178" s="45">
        <f>IFERROR(__xludf.DUMMYFUNCTION("AVERAGE(QUERY(SORT(GOOGLEFINANCE(A178,""price"",TODAY()-500,TODAY()),1,0),""select Col2 limit 200""))"),3510.583)</f>
        <v>3510.583</v>
      </c>
      <c r="F178" s="46" t="str">
        <f t="shared" si="1"/>
        <v>Unconfirmed</v>
      </c>
      <c r="G178" s="47">
        <f t="shared" si="2"/>
        <v>2.547069817</v>
      </c>
      <c r="H178" s="48" t="str">
        <f t="shared" si="3"/>
        <v>Golden ✓</v>
      </c>
      <c r="I178" s="48">
        <f t="shared" si="4"/>
        <v>3</v>
      </c>
      <c r="J178" s="48">
        <f t="shared" si="5"/>
        <v>2</v>
      </c>
      <c r="K178" s="49" t="str">
        <f>IFERROR(__xludf.DUMMYFUNCTION("IFERROR(IF(A178="""",""ENTER STOCK"",LET(stock,A178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78" s="48">
        <f t="shared" si="6"/>
        <v>0</v>
      </c>
      <c r="M178" s="48">
        <f t="shared" si="7"/>
        <v>1</v>
      </c>
      <c r="N178" s="50">
        <f t="shared" si="8"/>
        <v>6</v>
      </c>
      <c r="O178" s="51" t="s">
        <v>175</v>
      </c>
      <c r="P178" s="46" t="str">
        <f t="shared" si="9"/>
        <v>WAIT</v>
      </c>
      <c r="Q178" s="52"/>
      <c r="R178" s="53">
        <f t="shared" si="10"/>
        <v>15</v>
      </c>
      <c r="S178" s="53">
        <f>IFERROR(__xludf.DUMMYFUNCTION("IFERROR(ROUND(GOOGLEFINANCE(A178,""volume"")/GOOGLEFINANCE(A178,""volumeavg""),2),"""")"),3.06)</f>
        <v>3.06</v>
      </c>
      <c r="T178" s="53" t="str">
        <f t="shared" si="11"/>
        <v>HIGH VOL</v>
      </c>
      <c r="U178" s="53">
        <f>IFERROR(__xludf.DUMMYFUNCTION("IFERROR(
  LET(
    sd, GOOGLEFINANCE(A178,""close"",TODAY()-100,TODAY()),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"""")"),0.86)</f>
        <v>0.86</v>
      </c>
      <c r="V178" s="53" t="str">
        <f t="shared" si="12"/>
        <v>SLOW</v>
      </c>
      <c r="W178" s="53">
        <f>IFERROR(__xludf.DUMMYFUNCTION("IFERROR(ROUND((B178/GOOGLEFINANCE(A178,""high52"")-1)*100,1),"""")"),-14.4)</f>
        <v>-14.4</v>
      </c>
      <c r="X178" s="53">
        <f>IFERROR(__xludf.DUMMYFUNCTION("IFERROR(ROUND((B178-GOOGLEFINANCE(A178,""low52""))/(GOOGLEFINANCE(A178,""high52"")-GOOGLEFINANCE(A178,""low52""))*100,1),"""")"),49.7)</f>
        <v>49.7</v>
      </c>
      <c r="Y178" s="53" t="str">
        <f t="shared" si="13"/>
        <v>UPPER</v>
      </c>
      <c r="Z178" s="53">
        <f>IFERROR(__xludf.DUMMYFUNCTION("IFERROR(ROUND(((B178 / INDEX(GOOGLEFINANCE(TRIM(A178), ""price"", TODAY()-34, TODAY()), 2, 2)) - (GOOGLEFINANCE(""NIFTY_50"") / INDEX(GOOGLEFINANCE(""NIFTY_50"", ""price"", TODAY()-34, TODAY()), 2, 2))) * 100, 2), ""Check History"")"),5.44)</f>
        <v>5.44</v>
      </c>
      <c r="AA178" s="53" t="str">
        <f t="shared" si="14"/>
        <v>STRONG RS</v>
      </c>
      <c r="AB178" s="53">
        <f>IFERROR(__xludf.DUMMYFUNCTION("IFERROR(LET(
  p, QUERY(GOOGLEFINANCE(TRIM(A178),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Loading"")"),58.6)</f>
        <v>58.6</v>
      </c>
      <c r="AC178" s="53" t="str">
        <f t="shared" si="15"/>
        <v>IDEAL ENTRY</v>
      </c>
      <c r="AD178" s="53" t="str">
        <f>IFERROR(__xludf.DUMMYFUNCTION("IFERROR(IF(GOOGLEFINANCE(A178,""eps"")&gt;0,""EPS+"",""EPS-""),"""")"),"EPS+")</f>
        <v>EPS+</v>
      </c>
      <c r="AE178" s="53">
        <f t="shared" si="16"/>
        <v>6</v>
      </c>
      <c r="AF178" s="53">
        <f>IFERROR(__xludf.DUMMYFUNCTION("IFERROR(N178+IF(S178&gt;=1.2,1,0)+IF(U178&gt;=1,1,0)+IF(Z178&gt;0,1,0)+IF(AND(W178&gt;=-20,W178&lt;=0),1,0)+IF(IFERROR(GOOGLEFINANCE(A178,""eps""),0)&gt;0,1,0),"""")"),10.0)</f>
        <v>10</v>
      </c>
      <c r="AG178" s="53" t="str">
        <f t="shared" si="17"/>
        <v>WAIT</v>
      </c>
    </row>
    <row r="179" ht="15.0" customHeight="1">
      <c r="A179" s="43" t="s">
        <v>341</v>
      </c>
      <c r="B179" s="44">
        <f>IFERROR(__xludf.DUMMYFUNCTION("GOOGLEFINANCE(A179,""price"")"),1252.0)</f>
        <v>1252</v>
      </c>
      <c r="C179" s="45">
        <f>IFERROR(__xludf.DUMMYFUNCTION("AVERAGE(QUERY(SORT(GOOGLEFINANCE(A179,""price"",TODAY()-150,TODAY()),1,0),""select Col2 limit 50""))"),1260.308)</f>
        <v>1260.308</v>
      </c>
      <c r="D179" s="45">
        <f>IFERROR(__xludf.DUMMYFUNCTION("AVERAGE(QUERY(SORT(GOOGLEFINANCE(A179,""price"",TODAY()-300,TODAY()),1,0),""select Col2 limit 100""))"),1254.612)</f>
        <v>1254.612</v>
      </c>
      <c r="E179" s="45">
        <f>IFERROR(__xludf.DUMMYFUNCTION("AVERAGE(QUERY(SORT(GOOGLEFINANCE(A179,""price"",TODAY()-500,TODAY()),1,0),""select Col2 limit 200""))"),1264.8054999999995)</f>
        <v>1264.8055</v>
      </c>
      <c r="F179" s="46" t="str">
        <f t="shared" si="1"/>
        <v>In Bear Run</v>
      </c>
      <c r="G179" s="47">
        <f t="shared" si="2"/>
        <v>-1.012448159</v>
      </c>
      <c r="H179" s="48" t="str">
        <f t="shared" si="3"/>
        <v>Inverted ✗</v>
      </c>
      <c r="I179" s="48">
        <f t="shared" si="4"/>
        <v>0</v>
      </c>
      <c r="J179" s="48">
        <f t="shared" si="5"/>
        <v>0</v>
      </c>
      <c r="K179" s="49" t="str">
        <f>IFERROR(__xludf.DUMMYFUNCTION("IFERROR(IF(A179="""",""ENTER STOCK"",LET(stock,A179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79" s="48">
        <f t="shared" si="6"/>
        <v>0</v>
      </c>
      <c r="M179" s="48">
        <f t="shared" si="7"/>
        <v>1</v>
      </c>
      <c r="N179" s="50">
        <f t="shared" si="8"/>
        <v>1</v>
      </c>
      <c r="O179" s="51" t="s">
        <v>255</v>
      </c>
      <c r="P179" s="46" t="str">
        <f t="shared" si="9"/>
        <v>REVERSE TRADE</v>
      </c>
      <c r="Q179" s="52"/>
      <c r="R179" s="53">
        <f t="shared" si="10"/>
        <v>15</v>
      </c>
      <c r="S179" s="53">
        <f>IFERROR(__xludf.DUMMYFUNCTION("IFERROR(ROUND(GOOGLEFINANCE(A179,""volume"")/GOOGLEFINANCE(A179,""volumeavg""),2),"""")"),1.26)</f>
        <v>1.26</v>
      </c>
      <c r="T179" s="53" t="str">
        <f t="shared" si="11"/>
        <v>OK VOL</v>
      </c>
      <c r="U179" s="53">
        <f>IFERROR(__xludf.DUMMYFUNCTION("IFERROR(
  LET(
    sd, GOOGLEFINANCE(A179,""close"",TODAY()-100,TODAY()),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"""")"),0.31)</f>
        <v>0.31</v>
      </c>
      <c r="V179" s="53" t="str">
        <f t="shared" si="12"/>
        <v>SLOW</v>
      </c>
      <c r="W179" s="53">
        <f>IFERROR(__xludf.DUMMYFUNCTION("IFERROR(ROUND((B179/GOOGLEFINANCE(A179,""high52"")-1)*100,1),"""")"),-9.3)</f>
        <v>-9.3</v>
      </c>
      <c r="X179" s="53">
        <f>IFERROR(__xludf.DUMMYFUNCTION("IFERROR(ROUND((B179-GOOGLEFINANCE(A179,""low52""))/(GOOGLEFINANCE(A179,""high52"")-GOOGLEFINANCE(A179,""low52""))*100,1),"""")"),64.5)</f>
        <v>64.5</v>
      </c>
      <c r="Y179" s="53" t="str">
        <f t="shared" si="13"/>
        <v>UPPER</v>
      </c>
      <c r="Z179" s="53">
        <f>IFERROR(__xludf.DUMMYFUNCTION("IFERROR(ROUND(((B179 / INDEX(GOOGLEFINANCE(TRIM(A179), ""price"", TODAY()-34, TODAY()), 2, 2)) - (GOOGLEFINANCE(""NIFTY_50"") / INDEX(GOOGLEFINANCE(""NIFTY_50"", ""price"", TODAY()-34, TODAY()), 2, 2))) * 100, 2), ""Check History"")"),8.46)</f>
        <v>8.46</v>
      </c>
      <c r="AA179" s="53" t="str">
        <f t="shared" si="14"/>
        <v>STRONG RS</v>
      </c>
      <c r="AB179" s="53">
        <f>IFERROR(__xludf.DUMMYFUNCTION("IFERROR(LET(
  p, QUERY(GOOGLEFINANCE(TRIM(A179),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Loading"")"),44.4)</f>
        <v>44.4</v>
      </c>
      <c r="AC179" s="53" t="str">
        <f t="shared" si="15"/>
        <v>WEAK MOM</v>
      </c>
      <c r="AD179" s="53" t="str">
        <f>IFERROR(__xludf.DUMMYFUNCTION("IFERROR(IF(GOOGLEFINANCE(A179,""eps"")&gt;0,""EPS+"",""EPS-""),"""")"),"EPS+")</f>
        <v>EPS+</v>
      </c>
      <c r="AE179" s="53">
        <f t="shared" si="16"/>
        <v>5</v>
      </c>
      <c r="AF179" s="53">
        <f>IFERROR(__xludf.DUMMYFUNCTION("IFERROR(N179+IF(S179&gt;=1.2,1,0)+IF(U179&gt;=1,1,0)+IF(Z179&gt;0,1,0)+IF(AND(W179&gt;=-20,W179&lt;=0),1,0)+IF(IFERROR(GOOGLEFINANCE(A179,""eps""),0)&gt;0,1,0),"""")"),5.0)</f>
        <v>5</v>
      </c>
      <c r="AG179" s="53" t="str">
        <f t="shared" si="17"/>
        <v>REVERSE TRADE</v>
      </c>
    </row>
    <row r="180" ht="15.0" customHeight="1">
      <c r="A180" s="43" t="s">
        <v>342</v>
      </c>
      <c r="B180" s="44">
        <f>IFERROR(__xludf.DUMMYFUNCTION("GOOGLEFINANCE(A180,""price"")"),1475.7)</f>
        <v>1475.7</v>
      </c>
      <c r="C180" s="45">
        <f>IFERROR(__xludf.DUMMYFUNCTION("AVERAGE(QUERY(SORT(GOOGLEFINANCE(A180,""price"",TODAY()-150,TODAY()),1,0),""select Col2 limit 50""))"),1701.9700000000003)</f>
        <v>1701.97</v>
      </c>
      <c r="D180" s="45">
        <f>IFERROR(__xludf.DUMMYFUNCTION("AVERAGE(QUERY(SORT(GOOGLEFINANCE(A180,""price"",TODAY()-300,TODAY()),1,0),""select Col2 limit 100""))"),1690.0539999999999)</f>
        <v>1690.054</v>
      </c>
      <c r="E180" s="45">
        <f>IFERROR(__xludf.DUMMYFUNCTION("AVERAGE(QUERY(SORT(GOOGLEFINANCE(A180,""price"",TODAY()-500,TODAY()),1,0),""select Col2 limit 200""))"),1631.8375000000005)</f>
        <v>1631.8375</v>
      </c>
      <c r="F180" s="46" t="str">
        <f t="shared" si="1"/>
        <v>In Bear Run</v>
      </c>
      <c r="G180" s="47">
        <f t="shared" si="2"/>
        <v>-9.568201491</v>
      </c>
      <c r="H180" s="48" t="str">
        <f t="shared" si="3"/>
        <v>Golden ✓</v>
      </c>
      <c r="I180" s="48">
        <f t="shared" si="4"/>
        <v>3</v>
      </c>
      <c r="J180" s="48">
        <f t="shared" si="5"/>
        <v>0</v>
      </c>
      <c r="K180" s="49" t="str">
        <f>IFERROR(__xludf.DUMMYFUNCTION("IFERROR(IF(A180="""",""ENTER STOCK"",LET(stock,A180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80" s="48">
        <f t="shared" si="6"/>
        <v>0</v>
      </c>
      <c r="M180" s="48">
        <f t="shared" si="7"/>
        <v>1</v>
      </c>
      <c r="N180" s="50">
        <f t="shared" si="8"/>
        <v>4</v>
      </c>
      <c r="O180" s="51" t="s">
        <v>173</v>
      </c>
      <c r="P180" s="46" t="str">
        <f t="shared" si="9"/>
        <v>REVERSE TRADE</v>
      </c>
      <c r="Q180" s="52"/>
      <c r="R180" s="53">
        <f t="shared" si="10"/>
        <v>15</v>
      </c>
      <c r="S180" s="53">
        <f>IFERROR(__xludf.DUMMYFUNCTION("IFERROR(ROUND(GOOGLEFINANCE(A180,""volume"")/GOOGLEFINANCE(A180,""volumeavg""),2),"""")"),1.59)</f>
        <v>1.59</v>
      </c>
      <c r="T180" s="53" t="str">
        <f t="shared" si="11"/>
        <v>HIGH VOL</v>
      </c>
      <c r="U180" s="53">
        <f>IFERROR(__xludf.DUMMYFUNCTION("IFERROR(
  LET(
    sd, GOOGLEFINANCE(A180,""close"",TODAY()-100,TODAY()),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"""")"),0.96)</f>
        <v>0.96</v>
      </c>
      <c r="V180" s="53" t="str">
        <f t="shared" si="12"/>
        <v>MEDIUM</v>
      </c>
      <c r="W180" s="53">
        <f>IFERROR(__xludf.DUMMYFUNCTION("IFERROR(ROUND((B180/GOOGLEFINANCE(A180,""high52"")-1)*100,1),"""")"),-22.0)</f>
        <v>-22</v>
      </c>
      <c r="X180" s="53">
        <f>IFERROR(__xludf.DUMMYFUNCTION("IFERROR(ROUND((B180-GOOGLEFINANCE(A180,""low52""))/(GOOGLEFINANCE(A180,""high52"")-GOOGLEFINANCE(A180,""low52""))*100,1),"""")"),48.4)</f>
        <v>48.4</v>
      </c>
      <c r="Y180" s="53" t="str">
        <f t="shared" si="13"/>
        <v>MID</v>
      </c>
      <c r="Z180" s="53">
        <f>IFERROR(__xludf.DUMMYFUNCTION("IFERROR(ROUND(((B180 / INDEX(GOOGLEFINANCE(TRIM(A180), ""price"", TODAY()-34, TODAY()), 2, 2)) - (GOOGLEFINANCE(""NIFTY_50"") / INDEX(GOOGLEFINANCE(""NIFTY_50"", ""price"", TODAY()-34, TODAY()), 2, 2))) * 100, 2), ""Check History"")"),-7.72)</f>
        <v>-7.72</v>
      </c>
      <c r="AA180" s="53" t="str">
        <f t="shared" si="14"/>
        <v>WEAK RS</v>
      </c>
      <c r="AB180" s="53">
        <f>IFERROR(__xludf.DUMMYFUNCTION("IFERROR(LET(
  p, QUERY(GOOGLEFINANCE(TRIM(A180),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Loading"")"),23.5)</f>
        <v>23.5</v>
      </c>
      <c r="AC180" s="53" t="str">
        <f t="shared" si="15"/>
        <v>WEAK MOM</v>
      </c>
      <c r="AD180" s="53" t="str">
        <f>IFERROR(__xludf.DUMMYFUNCTION("IFERROR(IF(GOOGLEFINANCE(A180,""eps"")&gt;0,""EPS+"",""EPS-""),"""")"),"EPS+")</f>
        <v>EPS+</v>
      </c>
      <c r="AE180" s="53">
        <f t="shared" si="16"/>
        <v>5</v>
      </c>
      <c r="AF180" s="53">
        <f>IFERROR(__xludf.DUMMYFUNCTION("IFERROR(N180+IF(S180&gt;=1.2,1,0)+IF(U180&gt;=1,1,0)+IF(Z180&gt;0,1,0)+IF(AND(W180&gt;=-20,W180&lt;=0),1,0)+IF(IFERROR(GOOGLEFINANCE(A180,""eps""),0)&gt;0,1,0),"""")"),6.0)</f>
        <v>6</v>
      </c>
      <c r="AG180" s="53" t="str">
        <f t="shared" si="17"/>
        <v>REVERSE TRADE</v>
      </c>
    </row>
    <row r="181" ht="15.0" customHeight="1">
      <c r="A181" s="43" t="s">
        <v>343</v>
      </c>
      <c r="B181" s="44">
        <f>IFERROR(__xludf.DUMMYFUNCTION("GOOGLEFINANCE(A181,""price"")"),360.0)</f>
        <v>360</v>
      </c>
      <c r="C181" s="45">
        <f>IFERROR(__xludf.DUMMYFUNCTION("AVERAGE(QUERY(SORT(GOOGLEFINANCE(A181,""price"",TODAY()-150,TODAY()),1,0),""select Col2 limit 50""))"),377.7339999999999)</f>
        <v>377.734</v>
      </c>
      <c r="D181" s="45">
        <f>IFERROR(__xludf.DUMMYFUNCTION("AVERAGE(QUERY(SORT(GOOGLEFINANCE(A181,""price"",TODAY()-300,TODAY()),1,0),""select Col2 limit 100""))"),385.1275)</f>
        <v>385.1275</v>
      </c>
      <c r="E181" s="45">
        <f>IFERROR(__xludf.DUMMYFUNCTION("AVERAGE(QUERY(SORT(GOOGLEFINANCE(A181,""price"",TODAY()-500,TODAY()),1,0),""select Col2 limit 200""))"),374.4104999999998)</f>
        <v>374.4105</v>
      </c>
      <c r="F181" s="46" t="str">
        <f t="shared" si="1"/>
        <v>In Bear Run</v>
      </c>
      <c r="G181" s="47">
        <f t="shared" si="2"/>
        <v>-3.848850393</v>
      </c>
      <c r="H181" s="48" t="str">
        <f t="shared" si="3"/>
        <v>Inverted ✗</v>
      </c>
      <c r="I181" s="48">
        <f t="shared" si="4"/>
        <v>0</v>
      </c>
      <c r="J181" s="48">
        <f t="shared" si="5"/>
        <v>0</v>
      </c>
      <c r="K181" s="49" t="str">
        <f>IFERROR(__xludf.DUMMYFUNCTION("IFERROR(IF(A181="""",""ENTER STOCK"",LET(stock,A181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81" s="48">
        <f t="shared" si="6"/>
        <v>0</v>
      </c>
      <c r="M181" s="48">
        <f t="shared" si="7"/>
        <v>1</v>
      </c>
      <c r="N181" s="50">
        <f t="shared" si="8"/>
        <v>1</v>
      </c>
      <c r="O181" s="51" t="s">
        <v>255</v>
      </c>
      <c r="P181" s="46" t="str">
        <f t="shared" si="9"/>
        <v>REVERSE TRADE</v>
      </c>
      <c r="Q181" s="52"/>
      <c r="R181" s="53">
        <f t="shared" si="10"/>
        <v>15</v>
      </c>
      <c r="S181" s="53">
        <f>IFERROR(__xludf.DUMMYFUNCTION("IFERROR(ROUND(GOOGLEFINANCE(A181,""volume"")/GOOGLEFINANCE(A181,""volumeavg""),2),"""")"),1.04)</f>
        <v>1.04</v>
      </c>
      <c r="T181" s="53" t="str">
        <f t="shared" si="11"/>
        <v>LOW VOL</v>
      </c>
      <c r="U181" s="53">
        <f>IFERROR(__xludf.DUMMYFUNCTION("IFERROR(
  LET(
    sd, GOOGLEFINANCE(A181,""close"",TODAY()-100,TODAY()),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"""")"),0.83)</f>
        <v>0.83</v>
      </c>
      <c r="V181" s="53" t="str">
        <f t="shared" si="12"/>
        <v>SLOW</v>
      </c>
      <c r="W181" s="53">
        <f>IFERROR(__xludf.DUMMYFUNCTION("IFERROR(ROUND((B181/GOOGLEFINANCE(A181,""high52"")-1)*100,1),"""")"),-15.3)</f>
        <v>-15.3</v>
      </c>
      <c r="X181" s="53">
        <f>IFERROR(__xludf.DUMMYFUNCTION("IFERROR(ROUND((B181-GOOGLEFINANCE(A181,""low52""))/(GOOGLEFINANCE(A181,""high52"")-GOOGLEFINANCE(A181,""low52""))*100,1),"""")"),48.4)</f>
        <v>48.4</v>
      </c>
      <c r="Y181" s="53" t="str">
        <f t="shared" si="13"/>
        <v>UPPER</v>
      </c>
      <c r="Z181" s="53">
        <f>IFERROR(__xludf.DUMMYFUNCTION("IFERROR(ROUND(((B181 / INDEX(GOOGLEFINANCE(TRIM(A181), ""price"", TODAY()-34, TODAY()), 2, 2)) - (GOOGLEFINANCE(""NIFTY_50"") / INDEX(GOOGLEFINANCE(""NIFTY_50"", ""price"", TODAY()-34, TODAY()), 2, 2))) * 100, 2), ""Check History"")"),4.3)</f>
        <v>4.3</v>
      </c>
      <c r="AA181" s="53" t="str">
        <f t="shared" si="14"/>
        <v>MILD RS</v>
      </c>
      <c r="AB181" s="53">
        <f>IFERROR(__xludf.DUMMYFUNCTION("IFERROR(LET(
  p, QUERY(GOOGLEFINANCE(TRIM(A181),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Loading"")"),42.7)</f>
        <v>42.7</v>
      </c>
      <c r="AC181" s="53" t="str">
        <f t="shared" si="15"/>
        <v>WEAK MOM</v>
      </c>
      <c r="AD181" s="53" t="str">
        <f>IFERROR(__xludf.DUMMYFUNCTION("IFERROR(IF(GOOGLEFINANCE(A181,""eps"")&gt;0,""EPS+"",""EPS-""),"""")"),"EPS+")</f>
        <v>EPS+</v>
      </c>
      <c r="AE181" s="53">
        <f t="shared" si="16"/>
        <v>3</v>
      </c>
      <c r="AF181" s="53">
        <f>IFERROR(__xludf.DUMMYFUNCTION("IFERROR(N181+IF(S181&gt;=1.2,1,0)+IF(U181&gt;=1,1,0)+IF(Z181&gt;0,1,0)+IF(AND(W181&gt;=-20,W181&lt;=0),1,0)+IF(IFERROR(GOOGLEFINANCE(A181,""eps""),0)&gt;0,1,0),"""")"),4.0)</f>
        <v>4</v>
      </c>
      <c r="AG181" s="53" t="str">
        <f t="shared" si="17"/>
        <v>REVERSE TRADE</v>
      </c>
    </row>
    <row r="182" ht="15.0" customHeight="1">
      <c r="A182" s="43" t="s">
        <v>344</v>
      </c>
      <c r="B182" s="44">
        <f>IFERROR(__xludf.DUMMYFUNCTION("GOOGLEFINANCE(A182,""price"")"),295.8)</f>
        <v>295.8</v>
      </c>
      <c r="C182" s="45">
        <f>IFERROR(__xludf.DUMMYFUNCTION("AVERAGE(QUERY(SORT(GOOGLEFINANCE(A182,""price"",TODAY()-150,TODAY()),1,0),""select Col2 limit 50""))"),287.7439999999999)</f>
        <v>287.744</v>
      </c>
      <c r="D182" s="45">
        <f>IFERROR(__xludf.DUMMYFUNCTION("AVERAGE(QUERY(SORT(GOOGLEFINANCE(A182,""price"",TODAY()-300,TODAY()),1,0),""select Col2 limit 100""))"),277.87099999999987)</f>
        <v>277.871</v>
      </c>
      <c r="E182" s="45">
        <f>IFERROR(__xludf.DUMMYFUNCTION("AVERAGE(QUERY(SORT(GOOGLEFINANCE(A182,""price"",TODAY()-500,TODAY()),1,0),""select Col2 limit 200""))"),283.6049999999999)</f>
        <v>283.605</v>
      </c>
      <c r="F182" s="46" t="str">
        <f t="shared" si="1"/>
        <v>In Bull Run</v>
      </c>
      <c r="G182" s="47">
        <f t="shared" si="2"/>
        <v>4.299994711</v>
      </c>
      <c r="H182" s="48" t="str">
        <f t="shared" si="3"/>
        <v>Inverted ✗</v>
      </c>
      <c r="I182" s="48">
        <f t="shared" si="4"/>
        <v>0</v>
      </c>
      <c r="J182" s="48">
        <f t="shared" si="5"/>
        <v>4</v>
      </c>
      <c r="K182" s="49" t="str">
        <f>IFERROR(__xludf.DUMMYFUNCTION("IFERROR(IF(A182="""",""ENTER STOCK"",LET(stock,A182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FOUND"")"),"Buy/Average Out")</f>
        <v>Buy/Average Out</v>
      </c>
      <c r="L182" s="48">
        <f t="shared" si="6"/>
        <v>2</v>
      </c>
      <c r="M182" s="48">
        <f t="shared" si="7"/>
        <v>1</v>
      </c>
      <c r="N182" s="50">
        <f t="shared" si="8"/>
        <v>7</v>
      </c>
      <c r="O182" s="51" t="s">
        <v>180</v>
      </c>
      <c r="P182" s="46" t="str">
        <f t="shared" si="9"/>
        <v>PRIME BUY</v>
      </c>
      <c r="Q182" s="52"/>
      <c r="R182" s="53">
        <f t="shared" si="10"/>
        <v>15</v>
      </c>
      <c r="S182" s="53">
        <f>IFERROR(__xludf.DUMMYFUNCTION("IFERROR(ROUND(GOOGLEFINANCE(A182,""volume"")/GOOGLEFINANCE(A182,""volumeavg""),2),"""")"),1.44)</f>
        <v>1.44</v>
      </c>
      <c r="T182" s="53" t="str">
        <f t="shared" si="11"/>
        <v>OK VOL</v>
      </c>
      <c r="U182" s="53">
        <f>IFERROR(__xludf.DUMMYFUNCTION("IFERROR(
  LET(
    sd, GOOGLEFINANCE(A182,""close"",TODAY()-100,TODAY()),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"""")"),0.52)</f>
        <v>0.52</v>
      </c>
      <c r="V182" s="53" t="str">
        <f t="shared" si="12"/>
        <v>SLOW</v>
      </c>
      <c r="W182" s="53">
        <f>IFERROR(__xludf.DUMMYFUNCTION("IFERROR(ROUND((B182/GOOGLEFINANCE(A182,""high52"")-1)*100,1),"""")"),-8.1)</f>
        <v>-8.1</v>
      </c>
      <c r="X182" s="53">
        <f>IFERROR(__xludf.DUMMYFUNCTION("IFERROR(ROUND((B182-GOOGLEFINANCE(A182,""low52""))/(GOOGLEFINANCE(A182,""high52"")-GOOGLEFINANCE(A182,""low52""))*100,1),"""")"),63.6)</f>
        <v>63.6</v>
      </c>
      <c r="Y182" s="53" t="str">
        <f t="shared" si="13"/>
        <v>UPPER</v>
      </c>
      <c r="Z182" s="53">
        <f>IFERROR(__xludf.DUMMYFUNCTION("IFERROR(ROUND(((B182 / INDEX(GOOGLEFINANCE(TRIM(A182), ""price"", TODAY()-34, TODAY()), 2, 2)) - (GOOGLEFINANCE(""NIFTY_50"") / INDEX(GOOGLEFINANCE(""NIFTY_50"", ""price"", TODAY()-34, TODAY()), 2, 2))) * 100, 2), ""Check History"")"),9.21)</f>
        <v>9.21</v>
      </c>
      <c r="AA182" s="53" t="str">
        <f t="shared" si="14"/>
        <v>STRONG RS</v>
      </c>
      <c r="AB182" s="53">
        <f>IFERROR(__xludf.DUMMYFUNCTION("IFERROR(LET(
  p, QUERY(GOOGLEFINANCE(TRIM(A182),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Loading"")"),37.0)</f>
        <v>37</v>
      </c>
      <c r="AC182" s="53" t="str">
        <f t="shared" si="15"/>
        <v>WEAK MOM</v>
      </c>
      <c r="AD182" s="53" t="str">
        <f>IFERROR(__xludf.DUMMYFUNCTION("IFERROR(IF(GOOGLEFINANCE(A182,""eps"")&gt;0,""EPS+"",""EPS-""),"""")"),"EPS+")</f>
        <v>EPS+</v>
      </c>
      <c r="AE182" s="53">
        <f t="shared" si="16"/>
        <v>5</v>
      </c>
      <c r="AF182" s="53">
        <f>IFERROR(__xludf.DUMMYFUNCTION("IFERROR(N182+IF(S182&gt;=1.2,1,0)+IF(U182&gt;=1,1,0)+IF(Z182&gt;0,1,0)+IF(AND(W182&gt;=-20,W182&lt;=0),1,0)+IF(IFERROR(GOOGLEFINANCE(A182,""eps""),0)&gt;0,1,0),"""")"),11.0)</f>
        <v>11</v>
      </c>
      <c r="AG182" s="53" t="str">
        <f t="shared" si="17"/>
        <v>PRIME BUY [10-20d]</v>
      </c>
    </row>
    <row r="183" ht="15.0" customHeight="1">
      <c r="A183" s="43" t="s">
        <v>345</v>
      </c>
      <c r="B183" s="44">
        <f>IFERROR(__xludf.DUMMYFUNCTION("GOOGLEFINANCE(A183,""price"")"),7499.5)</f>
        <v>7499.5</v>
      </c>
      <c r="C183" s="45">
        <f>IFERROR(__xludf.DUMMYFUNCTION("AVERAGE(QUERY(SORT(GOOGLEFINANCE(A183,""price"",TODAY()-150,TODAY()),1,0),""select Col2 limit 50""))"),7384.39)</f>
        <v>7384.39</v>
      </c>
      <c r="D183" s="45">
        <f>IFERROR(__xludf.DUMMYFUNCTION("AVERAGE(QUERY(SORT(GOOGLEFINANCE(A183,""price"",TODAY()-300,TODAY()),1,0),""select Col2 limit 100""))"),7328.535)</f>
        <v>7328.535</v>
      </c>
      <c r="E183" s="45">
        <f>IFERROR(__xludf.DUMMYFUNCTION("AVERAGE(QUERY(SORT(GOOGLEFINANCE(A183,""price"",TODAY()-500,TODAY()),1,0),""select Col2 limit 200""))"),7431.09)</f>
        <v>7431.09</v>
      </c>
      <c r="F183" s="46" t="str">
        <f t="shared" si="1"/>
        <v>In Bull Run</v>
      </c>
      <c r="G183" s="47">
        <f t="shared" si="2"/>
        <v>0.9205917301</v>
      </c>
      <c r="H183" s="48" t="str">
        <f t="shared" si="3"/>
        <v>Inverted ✗</v>
      </c>
      <c r="I183" s="48">
        <f t="shared" si="4"/>
        <v>0</v>
      </c>
      <c r="J183" s="48">
        <f t="shared" si="5"/>
        <v>2</v>
      </c>
      <c r="K183" s="49" t="str">
        <f>IFERROR(__xludf.DUMMYFUNCTION("IFERROR(IF(A183="""",""ENTER STOCK"",LET(stock,A183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83" s="48">
        <f t="shared" si="6"/>
        <v>0</v>
      </c>
      <c r="M183" s="48">
        <f t="shared" si="7"/>
        <v>1</v>
      </c>
      <c r="N183" s="50">
        <f t="shared" si="8"/>
        <v>3</v>
      </c>
      <c r="O183" s="51" t="s">
        <v>124</v>
      </c>
      <c r="P183" s="46" t="str">
        <f t="shared" si="9"/>
        <v>SKIP</v>
      </c>
      <c r="Q183" s="52"/>
      <c r="R183" s="53">
        <f t="shared" si="10"/>
        <v>15</v>
      </c>
      <c r="S183" s="53">
        <f>IFERROR(__xludf.DUMMYFUNCTION("IFERROR(ROUND(GOOGLEFINANCE(A183,""volume"")/GOOGLEFINANCE(A183,""volumeavg""),2),"""")"),1.86)</f>
        <v>1.86</v>
      </c>
      <c r="T183" s="53" t="str">
        <f t="shared" si="11"/>
        <v>HIGH VOL</v>
      </c>
      <c r="U183" s="53">
        <f>IFERROR(__xludf.DUMMYFUNCTION("IFERROR(
  LET(
    sd, GOOGLEFINANCE(A183,""close"",TODAY()-100,TODAY()),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"""")"),0.77)</f>
        <v>0.77</v>
      </c>
      <c r="V183" s="53" t="str">
        <f t="shared" si="12"/>
        <v>SLOW</v>
      </c>
      <c r="W183" s="53">
        <f>IFERROR(__xludf.DUMMYFUNCTION("IFERROR(ROUND((B183/GOOGLEFINANCE(A183,""high52"")-1)*100,1),"""")"),-7.4)</f>
        <v>-7.4</v>
      </c>
      <c r="X183" s="53">
        <f>IFERROR(__xludf.DUMMYFUNCTION("IFERROR(ROUND((B183-GOOGLEFINANCE(A183,""low52""))/(GOOGLEFINANCE(A183,""high52"")-GOOGLEFINANCE(A183,""low52""))*100,1),"""")"),62.7)</f>
        <v>62.7</v>
      </c>
      <c r="Y183" s="53" t="str">
        <f t="shared" si="13"/>
        <v>UPPER</v>
      </c>
      <c r="Z183" s="53">
        <f>IFERROR(__xludf.DUMMYFUNCTION("IFERROR(ROUND(((B183 / INDEX(GOOGLEFINANCE(TRIM(A183), ""price"", TODAY()-34, TODAY()), 2, 2)) - (GOOGLEFINANCE(""NIFTY_50"") / INDEX(GOOGLEFINANCE(""NIFTY_50"", ""price"", TODAY()-34, TODAY()), 2, 2))) * 100, 2), ""Check History"")"),9.3)</f>
        <v>9.3</v>
      </c>
      <c r="AA183" s="53" t="str">
        <f t="shared" si="14"/>
        <v>STRONG RS</v>
      </c>
      <c r="AB183" s="53">
        <f>IFERROR(__xludf.DUMMYFUNCTION("IFERROR(LET(
  p, QUERY(GOOGLEFINANCE(TRIM(A183),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Loading"")"),52.7)</f>
        <v>52.7</v>
      </c>
      <c r="AC183" s="53" t="str">
        <f t="shared" si="15"/>
        <v>IDEAL ENTRY</v>
      </c>
      <c r="AD183" s="53" t="str">
        <f>IFERROR(__xludf.DUMMYFUNCTION("IFERROR(IF(GOOGLEFINANCE(A183,""eps"")&gt;0,""EPS+"",""EPS-""),"""")"),"EPS+")</f>
        <v>EPS+</v>
      </c>
      <c r="AE183" s="53">
        <f t="shared" si="16"/>
        <v>7</v>
      </c>
      <c r="AF183" s="53">
        <f>IFERROR(__xludf.DUMMYFUNCTION("IFERROR(N183+IF(S183&gt;=1.2,1,0)+IF(U183&gt;=1,1,0)+IF(Z183&gt;0,1,0)+IF(AND(W183&gt;=-20,W183&lt;=0),1,0)+IF(IFERROR(GOOGLEFINANCE(A183,""eps""),0)&gt;0,1,0),"""")"),7.0)</f>
        <v>7</v>
      </c>
      <c r="AG183" s="53" t="str">
        <f t="shared" si="17"/>
        <v>WATCH</v>
      </c>
    </row>
    <row r="184" ht="15.0" customHeight="1">
      <c r="A184" s="43" t="s">
        <v>346</v>
      </c>
      <c r="B184" s="44">
        <f>IFERROR(__xludf.DUMMYFUNCTION("GOOGLEFINANCE(A184,""price"")"),150.3)</f>
        <v>150.3</v>
      </c>
      <c r="C184" s="45">
        <f>IFERROR(__xludf.DUMMYFUNCTION("AVERAGE(QUERY(SORT(GOOGLEFINANCE(A184,""price"",TODAY()-150,TODAY()),1,0),""select Col2 limit 50""))"),144.197)</f>
        <v>144.197</v>
      </c>
      <c r="D184" s="45">
        <f>IFERROR(__xludf.DUMMYFUNCTION("AVERAGE(QUERY(SORT(GOOGLEFINANCE(A184,""price"",TODAY()-300,TODAY()),1,0),""select Col2 limit 100""))"),145.37089999999998)</f>
        <v>145.3709</v>
      </c>
      <c r="E184" s="45">
        <f>IFERROR(__xludf.DUMMYFUNCTION("AVERAGE(QUERY(SORT(GOOGLEFINANCE(A184,""price"",TODAY()-500,TODAY()),1,0),""select Col2 limit 200""))"),137.39910000000003)</f>
        <v>137.3991</v>
      </c>
      <c r="F184" s="46" t="str">
        <f t="shared" si="1"/>
        <v>In Bull Run</v>
      </c>
      <c r="G184" s="47">
        <f t="shared" si="2"/>
        <v>9.389362812</v>
      </c>
      <c r="H184" s="48" t="str">
        <f t="shared" si="3"/>
        <v>Inverted ✗</v>
      </c>
      <c r="I184" s="48">
        <f t="shared" si="4"/>
        <v>0</v>
      </c>
      <c r="J184" s="48">
        <f t="shared" si="5"/>
        <v>4</v>
      </c>
      <c r="K184" s="49" t="str">
        <f>IFERROR(__xludf.DUMMYFUNCTION("IFERROR(IF(A184="""",""ENTER STOCK"",LET(stock,A184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FOUND"")"),"Buy/Average Out")</f>
        <v>Buy/Average Out</v>
      </c>
      <c r="L184" s="48">
        <f t="shared" si="6"/>
        <v>2</v>
      </c>
      <c r="M184" s="48">
        <f t="shared" si="7"/>
        <v>1</v>
      </c>
      <c r="N184" s="50">
        <f t="shared" si="8"/>
        <v>7</v>
      </c>
      <c r="O184" s="51" t="s">
        <v>295</v>
      </c>
      <c r="P184" s="46" t="str">
        <f t="shared" si="9"/>
        <v>PRIME BUY</v>
      </c>
      <c r="Q184" s="52"/>
      <c r="R184" s="53">
        <f t="shared" si="10"/>
        <v>15</v>
      </c>
      <c r="S184" s="53">
        <f>IFERROR(__xludf.DUMMYFUNCTION("IFERROR(ROUND(GOOGLEFINANCE(A184,""volume"")/GOOGLEFINANCE(A184,""volumeavg""),2),"""")"),0.93)</f>
        <v>0.93</v>
      </c>
      <c r="T184" s="53" t="str">
        <f t="shared" si="11"/>
        <v>LOW VOL</v>
      </c>
      <c r="U184" s="53">
        <f>IFERROR(__xludf.DUMMYFUNCTION("IFERROR(
  LET(
    sd, GOOGLEFINANCE(A184,""close"",TODAY()-100,TODAY()),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"""")"),1.12)</f>
        <v>1.12</v>
      </c>
      <c r="V184" s="53" t="str">
        <f t="shared" si="12"/>
        <v>MEDIUM</v>
      </c>
      <c r="W184" s="53">
        <f>IFERROR(__xludf.DUMMYFUNCTION("IFERROR(ROUND((B184/GOOGLEFINANCE(A184,""high52"")-1)*100,1),"""")"),-17.7)</f>
        <v>-17.7</v>
      </c>
      <c r="X184" s="53">
        <f>IFERROR(__xludf.DUMMYFUNCTION("IFERROR(ROUND((B184-GOOGLEFINANCE(A184,""low52""))/(GOOGLEFINANCE(A184,""high52"")-GOOGLEFINANCE(A184,""low52""))*100,1),"""")"),64.1)</f>
        <v>64.1</v>
      </c>
      <c r="Y184" s="53" t="str">
        <f t="shared" si="13"/>
        <v>UPPER</v>
      </c>
      <c r="Z184" s="53">
        <f>IFERROR(__xludf.DUMMYFUNCTION("IFERROR(ROUND(((B184 / INDEX(GOOGLEFINANCE(TRIM(A184), ""price"", TODAY()-34, TODAY()), 2, 2)) - (GOOGLEFINANCE(""NIFTY_50"") / INDEX(GOOGLEFINANCE(""NIFTY_50"", ""price"", TODAY()-34, TODAY()), 2, 2))) * 100, 2), ""Check History"")"),16.32)</f>
        <v>16.32</v>
      </c>
      <c r="AA184" s="53" t="str">
        <f t="shared" si="14"/>
        <v>STRONG RS</v>
      </c>
      <c r="AB184" s="53">
        <f>IFERROR(__xludf.DUMMYFUNCTION("IFERROR(LET(
  p, QUERY(GOOGLEFINANCE(TRIM(A184),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Loading"")"),64.0)</f>
        <v>64</v>
      </c>
      <c r="AC184" s="53" t="str">
        <f t="shared" si="15"/>
        <v>IDEAL ENTRY</v>
      </c>
      <c r="AD184" s="53" t="str">
        <f>IFERROR(__xludf.DUMMYFUNCTION("IFERROR(IF(GOOGLEFINANCE(A184,""eps"")&gt;0,""EPS+"",""EPS-""),"""")"),"EPS+")</f>
        <v>EPS+</v>
      </c>
      <c r="AE184" s="53">
        <f t="shared" si="16"/>
        <v>5</v>
      </c>
      <c r="AF184" s="53">
        <f>IFERROR(__xludf.DUMMYFUNCTION("IFERROR(N184+IF(S184&gt;=1.2,1,0)+IF(U184&gt;=1,1,0)+IF(Z184&gt;0,1,0)+IF(AND(W184&gt;=-20,W184&lt;=0),1,0)+IF(IFERROR(GOOGLEFINANCE(A184,""eps""),0)&gt;0,1,0),"""")"),11.0)</f>
        <v>11</v>
      </c>
      <c r="AG184" s="53" t="str">
        <f t="shared" si="17"/>
        <v>PRIME BUY [10-20d]</v>
      </c>
    </row>
    <row r="185" ht="15.0" customHeight="1">
      <c r="A185" s="43" t="s">
        <v>347</v>
      </c>
      <c r="B185" s="44">
        <f>IFERROR(__xludf.DUMMYFUNCTION("GOOGLEFINANCE(A185,""price"")"),1602.0)</f>
        <v>1602</v>
      </c>
      <c r="C185" s="45">
        <f>IFERROR(__xludf.DUMMYFUNCTION("AVERAGE(QUERY(SORT(GOOGLEFINANCE(A185,""price"",TODAY()-150,TODAY()),1,0),""select Col2 limit 50""))"),1496.8879999999997)</f>
        <v>1496.888</v>
      </c>
      <c r="D185" s="45">
        <f>IFERROR(__xludf.DUMMYFUNCTION("AVERAGE(QUERY(SORT(GOOGLEFINANCE(A185,""price"",TODAY()-300,TODAY()),1,0),""select Col2 limit 100""))"),1460.8889999999994)</f>
        <v>1460.889</v>
      </c>
      <c r="E185" s="45">
        <f>IFERROR(__xludf.DUMMYFUNCTION("AVERAGE(QUERY(SORT(GOOGLEFINANCE(A185,""price"",TODAY()-500,TODAY()),1,0),""select Col2 limit 200""))"),1417.7379999999998)</f>
        <v>1417.738</v>
      </c>
      <c r="F185" s="46" t="str">
        <f t="shared" si="1"/>
        <v>In Bull Run</v>
      </c>
      <c r="G185" s="47">
        <f t="shared" si="2"/>
        <v>12.9969007</v>
      </c>
      <c r="H185" s="48" t="str">
        <f t="shared" si="3"/>
        <v>Golden ✓</v>
      </c>
      <c r="I185" s="48">
        <f t="shared" si="4"/>
        <v>3</v>
      </c>
      <c r="J185" s="48">
        <f t="shared" si="5"/>
        <v>0</v>
      </c>
      <c r="K185" s="49" t="str">
        <f>IFERROR(__xludf.DUMMYFUNCTION("IFERROR(IF(A185="""",""ENTER STOCK"",LET(stock,A185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85" s="48">
        <f t="shared" si="6"/>
        <v>0</v>
      </c>
      <c r="M185" s="48">
        <f t="shared" si="7"/>
        <v>1</v>
      </c>
      <c r="N185" s="50">
        <f t="shared" si="8"/>
        <v>4</v>
      </c>
      <c r="O185" s="51" t="s">
        <v>255</v>
      </c>
      <c r="P185" s="46" t="str">
        <f t="shared" si="9"/>
        <v>SKIP</v>
      </c>
      <c r="Q185" s="52"/>
      <c r="R185" s="53">
        <f t="shared" si="10"/>
        <v>15</v>
      </c>
      <c r="S185" s="53">
        <f>IFERROR(__xludf.DUMMYFUNCTION("IFERROR(ROUND(GOOGLEFINANCE(A185,""volume"")/GOOGLEFINANCE(A185,""volumeavg""),2),"""")"),2.13)</f>
        <v>2.13</v>
      </c>
      <c r="T185" s="53" t="str">
        <f t="shared" si="11"/>
        <v>HIGH VOL</v>
      </c>
      <c r="U185" s="53">
        <f>IFERROR(__xludf.DUMMYFUNCTION("IFERROR(
  LET(
    sd, GOOGLEFINANCE(A185,""close"",TODAY()-100,TODAY()),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"""")"),0.04)</f>
        <v>0.04</v>
      </c>
      <c r="V185" s="53" t="str">
        <f t="shared" si="12"/>
        <v>SLOW</v>
      </c>
      <c r="W185" s="53">
        <f>IFERROR(__xludf.DUMMYFUNCTION("IFERROR(ROUND((B185/GOOGLEFINANCE(A185,""high52"")-1)*100,1),"""")"),-1.4)</f>
        <v>-1.4</v>
      </c>
      <c r="X185" s="53">
        <f>IFERROR(__xludf.DUMMYFUNCTION("IFERROR(ROUND((B185-GOOGLEFINANCE(A185,""low52""))/(GOOGLEFINANCE(A185,""high52"")-GOOGLEFINANCE(A185,""low52""))*100,1),"""")"),95.2)</f>
        <v>95.2</v>
      </c>
      <c r="Y185" s="53" t="str">
        <f t="shared" si="13"/>
        <v>AT HIGH</v>
      </c>
      <c r="Z185" s="53">
        <f>IFERROR(__xludf.DUMMYFUNCTION("IFERROR(ROUND(((B185 / INDEX(GOOGLEFINANCE(TRIM(A185), ""price"", TODAY()-34, TODAY()), 2, 2)) - (GOOGLEFINANCE(""NIFTY_50"") / INDEX(GOOGLEFINANCE(""NIFTY_50"", ""price"", TODAY()-34, TODAY()), 2, 2))) * 100, 2), ""Check History"")"),17.89)</f>
        <v>17.89</v>
      </c>
      <c r="AA185" s="53" t="str">
        <f t="shared" si="14"/>
        <v>STRONG RS</v>
      </c>
      <c r="AB185" s="53">
        <f>IFERROR(__xludf.DUMMYFUNCTION("IFERROR(LET(
  p, QUERY(GOOGLEFINANCE(TRIM(A185),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Loading"")"),53.5)</f>
        <v>53.5</v>
      </c>
      <c r="AC185" s="53" t="str">
        <f t="shared" si="15"/>
        <v>IDEAL ENTRY</v>
      </c>
      <c r="AD185" s="53" t="str">
        <f>IFERROR(__xludf.DUMMYFUNCTION("IFERROR(IF(GOOGLEFINANCE(A185,""eps"")&gt;0,""EPS+"",""EPS-""),"""")"),"EPS+")</f>
        <v>EPS+</v>
      </c>
      <c r="AE185" s="53">
        <f t="shared" si="16"/>
        <v>7</v>
      </c>
      <c r="AF185" s="53">
        <f>IFERROR(__xludf.DUMMYFUNCTION("IFERROR(N185+IF(S185&gt;=1.2,1,0)+IF(U185&gt;=1,1,0)+IF(Z185&gt;0,1,0)+IF(AND(W185&gt;=-20,W185&lt;=0),1,0)+IF(IFERROR(GOOGLEFINANCE(A185,""eps""),0)&gt;0,1,0),"""")"),8.0)</f>
        <v>8</v>
      </c>
      <c r="AG185" s="53" t="str">
        <f t="shared" si="17"/>
        <v>BUY</v>
      </c>
    </row>
    <row r="186" ht="15.0" customHeight="1">
      <c r="A186" s="43" t="s">
        <v>348</v>
      </c>
      <c r="B186" s="44">
        <f>IFERROR(__xludf.DUMMYFUNCTION("GOOGLEFINANCE(A186,""price"")"),136.1)</f>
        <v>136.1</v>
      </c>
      <c r="C186" s="45">
        <f>IFERROR(__xludf.DUMMYFUNCTION("AVERAGE(QUERY(SORT(GOOGLEFINANCE(A186,""price"",TODAY()-150,TODAY()),1,0),""select Col2 limit 50""))"),164.17019999999997)</f>
        <v>164.1702</v>
      </c>
      <c r="D186" s="45">
        <f>IFERROR(__xludf.DUMMYFUNCTION("AVERAGE(QUERY(SORT(GOOGLEFINANCE(A186,""price"",TODAY()-300,TODAY()),1,0),""select Col2 limit 100""))"),164.6252)</f>
        <v>164.6252</v>
      </c>
      <c r="E186" s="45">
        <f>IFERROR(__xludf.DUMMYFUNCTION("AVERAGE(QUERY(SORT(GOOGLEFINANCE(A186,""price"",TODAY()-500,TODAY()),1,0),""select Col2 limit 200""))"),155.7602)</f>
        <v>155.7602</v>
      </c>
      <c r="F186" s="46" t="str">
        <f t="shared" si="1"/>
        <v>In Bear Run</v>
      </c>
      <c r="G186" s="47">
        <f t="shared" si="2"/>
        <v>-12.62209473</v>
      </c>
      <c r="H186" s="48" t="str">
        <f t="shared" si="3"/>
        <v>Inverted ✗</v>
      </c>
      <c r="I186" s="48">
        <f t="shared" si="4"/>
        <v>0</v>
      </c>
      <c r="J186" s="48">
        <f t="shared" si="5"/>
        <v>0</v>
      </c>
      <c r="K186" s="49" t="str">
        <f>IFERROR(__xludf.DUMMYFUNCTION("IFERROR(IF(A186="""",""ENTER STOCK"",LET(stock,A186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86" s="48">
        <f t="shared" si="6"/>
        <v>0</v>
      </c>
      <c r="M186" s="48">
        <f t="shared" si="7"/>
        <v>1</v>
      </c>
      <c r="N186" s="50">
        <f t="shared" si="8"/>
        <v>1</v>
      </c>
      <c r="O186" s="51" t="s">
        <v>265</v>
      </c>
      <c r="P186" s="46" t="str">
        <f t="shared" si="9"/>
        <v>REVERSE TRADE</v>
      </c>
      <c r="Q186" s="52"/>
      <c r="R186" s="53">
        <f t="shared" si="10"/>
        <v>15</v>
      </c>
      <c r="S186" s="53">
        <f>IFERROR(__xludf.DUMMYFUNCTION("IFERROR(ROUND(GOOGLEFINANCE(A186,""volume"")/GOOGLEFINANCE(A186,""volumeavg""),2),"""")"),1.39)</f>
        <v>1.39</v>
      </c>
      <c r="T186" s="53" t="str">
        <f t="shared" si="11"/>
        <v>OK VOL</v>
      </c>
      <c r="U186" s="53">
        <f>IFERROR(__xludf.DUMMYFUNCTION("IFERROR(
  LET(
    sd, GOOGLEFINANCE(A186,""close"",TODAY()-100,TODAY()),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"""")"),0.99)</f>
        <v>0.99</v>
      </c>
      <c r="V186" s="53" t="str">
        <f t="shared" si="12"/>
        <v>MEDIUM</v>
      </c>
      <c r="W186" s="53">
        <f>IFERROR(__xludf.DUMMYFUNCTION("IFERROR(ROUND((B186/GOOGLEFINANCE(A186,""high52"")-1)*100,1),"""")"),-28.0)</f>
        <v>-28</v>
      </c>
      <c r="X186" s="53">
        <f>IFERROR(__xludf.DUMMYFUNCTION("IFERROR(ROUND((B186-GOOGLEFINANCE(A186,""low52""))/(GOOGLEFINANCE(A186,""high52"")-GOOGLEFINANCE(A186,""low52""))*100,1),"""")"),20.6)</f>
        <v>20.6</v>
      </c>
      <c r="Y186" s="53" t="str">
        <f t="shared" si="13"/>
        <v>MID</v>
      </c>
      <c r="Z186" s="53">
        <f>IFERROR(__xludf.DUMMYFUNCTION("IFERROR(ROUND(((B186 / INDEX(GOOGLEFINANCE(TRIM(A186), ""price"", TODAY()-34, TODAY()), 2, 2)) - (GOOGLEFINANCE(""NIFTY_50"") / INDEX(GOOGLEFINANCE(""NIFTY_50"", ""price"", TODAY()-34, TODAY()), 2, 2))) * 100, 2), ""Check History"")"),-12.3)</f>
        <v>-12.3</v>
      </c>
      <c r="AA186" s="53" t="str">
        <f t="shared" si="14"/>
        <v>WEAK RS</v>
      </c>
      <c r="AB186" s="53">
        <f>IFERROR(__xludf.DUMMYFUNCTION("IFERROR(LET(
  p, QUERY(GOOGLEFINANCE(TRIM(A186),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Loading"")"),26.7)</f>
        <v>26.7</v>
      </c>
      <c r="AC186" s="53" t="str">
        <f t="shared" si="15"/>
        <v>WEAK MOM</v>
      </c>
      <c r="AD186" s="53" t="str">
        <f>IFERROR(__xludf.DUMMYFUNCTION("IFERROR(IF(GOOGLEFINANCE(A186,""eps"")&gt;0,""EPS+"",""EPS-""),"""")"),"EPS+")</f>
        <v>EPS+</v>
      </c>
      <c r="AE186" s="53">
        <f t="shared" si="16"/>
        <v>4</v>
      </c>
      <c r="AF186" s="53">
        <f>IFERROR(__xludf.DUMMYFUNCTION("IFERROR(N186+IF(S186&gt;=1.2,1,0)+IF(U186&gt;=1,1,0)+IF(Z186&gt;0,1,0)+IF(AND(W186&gt;=-20,W186&lt;=0),1,0)+IF(IFERROR(GOOGLEFINANCE(A186,""eps""),0)&gt;0,1,0),"""")"),3.0)</f>
        <v>3</v>
      </c>
      <c r="AG186" s="53" t="str">
        <f t="shared" si="17"/>
        <v>REVERSE TRADE</v>
      </c>
    </row>
    <row r="187" ht="15.0" customHeight="1">
      <c r="A187" s="43" t="s">
        <v>349</v>
      </c>
      <c r="B187" s="44">
        <f>IFERROR(__xludf.DUMMYFUNCTION("GOOGLEFINANCE(A187,""price"")"),5060.0)</f>
        <v>5060</v>
      </c>
      <c r="C187" s="45">
        <f>IFERROR(__xludf.DUMMYFUNCTION("AVERAGE(QUERY(SORT(GOOGLEFINANCE(A187,""price"",TODAY()-150,TODAY()),1,0),""select Col2 limit 50""))"),5520.04)</f>
        <v>5520.04</v>
      </c>
      <c r="D187" s="45">
        <f>IFERROR(__xludf.DUMMYFUNCTION("AVERAGE(QUERY(SORT(GOOGLEFINANCE(A187,""price"",TODAY()-300,TODAY()),1,0),""select Col2 limit 100""))"),5682.575)</f>
        <v>5682.575</v>
      </c>
      <c r="E187" s="45">
        <f>IFERROR(__xludf.DUMMYFUNCTION("AVERAGE(QUERY(SORT(GOOGLEFINANCE(A187,""price"",TODAY()-500,TODAY()),1,0),""select Col2 limit 200""))"),5292.940499999998)</f>
        <v>5292.9405</v>
      </c>
      <c r="F187" s="46" t="str">
        <f t="shared" si="1"/>
        <v>In Bear Run</v>
      </c>
      <c r="G187" s="47">
        <f t="shared" si="2"/>
        <v>-4.400965777</v>
      </c>
      <c r="H187" s="48" t="str">
        <f t="shared" si="3"/>
        <v>Inverted ✗</v>
      </c>
      <c r="I187" s="48">
        <f t="shared" si="4"/>
        <v>0</v>
      </c>
      <c r="J187" s="48">
        <f t="shared" si="5"/>
        <v>0</v>
      </c>
      <c r="K187" s="49" t="str">
        <f>IFERROR(__xludf.DUMMYFUNCTION("IFERROR(IF(A187="""",""ENTER STOCK"",LET(stock,A187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87" s="48">
        <f t="shared" si="6"/>
        <v>0</v>
      </c>
      <c r="M187" s="48">
        <f t="shared" si="7"/>
        <v>1</v>
      </c>
      <c r="N187" s="50">
        <f t="shared" si="8"/>
        <v>1</v>
      </c>
      <c r="O187" s="51" t="s">
        <v>271</v>
      </c>
      <c r="P187" s="46" t="str">
        <f t="shared" si="9"/>
        <v>REVERSE TRADE</v>
      </c>
      <c r="Q187" s="52"/>
      <c r="R187" s="53">
        <f t="shared" si="10"/>
        <v>15</v>
      </c>
      <c r="S187" s="53">
        <f>IFERROR(__xludf.DUMMYFUNCTION("IFERROR(ROUND(GOOGLEFINANCE(A187,""volume"")/GOOGLEFINANCE(A187,""volumeavg""),2),"""")"),1.62)</f>
        <v>1.62</v>
      </c>
      <c r="T187" s="53" t="str">
        <f t="shared" si="11"/>
        <v>HIGH VOL</v>
      </c>
      <c r="U187" s="53">
        <f>IFERROR(__xludf.DUMMYFUNCTION("IFERROR(
  LET(
    sd, GOOGLEFINANCE(A187,""close"",TODAY()-100,TODAY()),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"""")"),1.36)</f>
        <v>1.36</v>
      </c>
      <c r="V187" s="53" t="str">
        <f t="shared" si="12"/>
        <v>FAST</v>
      </c>
      <c r="W187" s="53">
        <f>IFERROR(__xludf.DUMMYFUNCTION("IFERROR(ROUND((B187/GOOGLEFINANCE(A187,""high52"")-1)*100,1),"""")"),-20.8)</f>
        <v>-20.8</v>
      </c>
      <c r="X187" s="53">
        <f>IFERROR(__xludf.DUMMYFUNCTION("IFERROR(ROUND((B187-GOOGLEFINANCE(A187,""low52""))/(GOOGLEFINANCE(A187,""high52"")-GOOGLEFINANCE(A187,""low52""))*100,1),"""")"),56.4)</f>
        <v>56.4</v>
      </c>
      <c r="Y187" s="53" t="str">
        <f t="shared" si="13"/>
        <v>MID</v>
      </c>
      <c r="Z187" s="53">
        <f>IFERROR(__xludf.DUMMYFUNCTION("IFERROR(ROUND(((B187 / INDEX(GOOGLEFINANCE(TRIM(A187), ""price"", TODAY()-34, TODAY()), 2, 2)) - (GOOGLEFINANCE(""NIFTY_50"") / INDEX(GOOGLEFINANCE(""NIFTY_50"", ""price"", TODAY()-34, TODAY()), 2, 2))) * 100, 2), ""Check History"")"),3.98)</f>
        <v>3.98</v>
      </c>
      <c r="AA187" s="53" t="str">
        <f t="shared" si="14"/>
        <v>MILD RS</v>
      </c>
      <c r="AB187" s="53">
        <f>IFERROR(__xludf.DUMMYFUNCTION("IFERROR(LET(
  p, QUERY(GOOGLEFINANCE(TRIM(A187),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Loading"")"),39.4)</f>
        <v>39.4</v>
      </c>
      <c r="AC187" s="53" t="str">
        <f t="shared" si="15"/>
        <v>WEAK MOM</v>
      </c>
      <c r="AD187" s="53" t="str">
        <f>IFERROR(__xludf.DUMMYFUNCTION("IFERROR(IF(GOOGLEFINANCE(A187,""eps"")&gt;0,""EPS+"",""EPS-""),"""")"),"EPS+")</f>
        <v>EPS+</v>
      </c>
      <c r="AE187" s="53">
        <f t="shared" si="16"/>
        <v>8</v>
      </c>
      <c r="AF187" s="53">
        <f>IFERROR(__xludf.DUMMYFUNCTION("IFERROR(N187+IF(S187&gt;=1.2,1,0)+IF(U187&gt;=1,1,0)+IF(Z187&gt;0,1,0)+IF(AND(W187&gt;=-20,W187&lt;=0),1,0)+IF(IFERROR(GOOGLEFINANCE(A187,""eps""),0)&gt;0,1,0),"""")"),5.0)</f>
        <v>5</v>
      </c>
      <c r="AG187" s="53" t="str">
        <f t="shared" si="17"/>
        <v>REVERSE TRADE</v>
      </c>
    </row>
    <row r="188" ht="15.0" customHeight="1">
      <c r="A188" s="43" t="s">
        <v>350</v>
      </c>
      <c r="B188" s="44">
        <f>IFERROR(__xludf.DUMMYFUNCTION("GOOGLEFINANCE(A188,""price"")"),236.8)</f>
        <v>236.8</v>
      </c>
      <c r="C188" s="45">
        <f>IFERROR(__xludf.DUMMYFUNCTION("AVERAGE(QUERY(SORT(GOOGLEFINANCE(A188,""price"",TODAY()-150,TODAY()),1,0),""select Col2 limit 50""))"),253.33720000000008)</f>
        <v>253.3372</v>
      </c>
      <c r="D188" s="45">
        <f>IFERROR(__xludf.DUMMYFUNCTION("AVERAGE(QUERY(SORT(GOOGLEFINANCE(A188,""price"",TODAY()-300,TODAY()),1,0),""select Col2 limit 100""))"),255.93430000000004)</f>
        <v>255.9343</v>
      </c>
      <c r="E188" s="45">
        <f>IFERROR(__xludf.DUMMYFUNCTION("AVERAGE(QUERY(SORT(GOOGLEFINANCE(A188,""price"",TODAY()-500,TODAY()),1,0),""select Col2 limit 200""))"),241.21689999999995)</f>
        <v>241.2169</v>
      </c>
      <c r="F188" s="46" t="str">
        <f t="shared" si="1"/>
        <v>In Bear Run</v>
      </c>
      <c r="G188" s="47">
        <f t="shared" si="2"/>
        <v>-1.831090608</v>
      </c>
      <c r="H188" s="48" t="str">
        <f t="shared" si="3"/>
        <v>Inverted ✗</v>
      </c>
      <c r="I188" s="48">
        <f t="shared" si="4"/>
        <v>0</v>
      </c>
      <c r="J188" s="48">
        <f t="shared" si="5"/>
        <v>0</v>
      </c>
      <c r="K188" s="49" t="str">
        <f>IFERROR(__xludf.DUMMYFUNCTION("IFERROR(IF(A188="""",""ENTER STOCK"",LET(stock,A188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88" s="48">
        <f t="shared" si="6"/>
        <v>0</v>
      </c>
      <c r="M188" s="48">
        <f t="shared" si="7"/>
        <v>1</v>
      </c>
      <c r="N188" s="50">
        <f t="shared" si="8"/>
        <v>1</v>
      </c>
      <c r="O188" s="51" t="s">
        <v>145</v>
      </c>
      <c r="P188" s="46" t="str">
        <f t="shared" si="9"/>
        <v>REVERSE TRADE</v>
      </c>
      <c r="Q188" s="52"/>
      <c r="R188" s="53">
        <f t="shared" si="10"/>
        <v>15</v>
      </c>
      <c r="S188" s="53">
        <f>IFERROR(__xludf.DUMMYFUNCTION("IFERROR(ROUND(GOOGLEFINANCE(A188,""volume"")/GOOGLEFINANCE(A188,""volumeavg""),2),"""")"),1.51)</f>
        <v>1.51</v>
      </c>
      <c r="T188" s="53" t="str">
        <f t="shared" si="11"/>
        <v>HIGH VOL</v>
      </c>
      <c r="U188" s="53">
        <f>IFERROR(__xludf.DUMMYFUNCTION("IFERROR(
  LET(
    sd, GOOGLEFINANCE(A188,""close"",TODAY()-100,TODAY()),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"""")"),1.15)</f>
        <v>1.15</v>
      </c>
      <c r="V188" s="53" t="str">
        <f t="shared" si="12"/>
        <v>MEDIUM</v>
      </c>
      <c r="W188" s="53">
        <f>IFERROR(__xludf.DUMMYFUNCTION("IFERROR(ROUND((B188/GOOGLEFINANCE(A188,""high52"")-1)*100,1),"""")"),-17.1)</f>
        <v>-17.1</v>
      </c>
      <c r="X188" s="53">
        <f>IFERROR(__xludf.DUMMYFUNCTION("IFERROR(ROUND((B188-GOOGLEFINANCE(A188,""low52""))/(GOOGLEFINANCE(A188,""high52"")-GOOGLEFINANCE(A188,""low52""))*100,1),"""")"),59.2)</f>
        <v>59.2</v>
      </c>
      <c r="Y188" s="53" t="str">
        <f t="shared" si="13"/>
        <v>UPPER</v>
      </c>
      <c r="Z188" s="53">
        <f>IFERROR(__xludf.DUMMYFUNCTION("IFERROR(ROUND(((B188 / INDEX(GOOGLEFINANCE(TRIM(A188), ""price"", TODAY()-34, TODAY()), 2, 2)) - (GOOGLEFINANCE(""NIFTY_50"") / INDEX(GOOGLEFINANCE(""NIFTY_50"", ""price"", TODAY()-34, TODAY()), 2, 2))) * 100, 2), ""Check History"")"),2.77)</f>
        <v>2.77</v>
      </c>
      <c r="AA188" s="53" t="str">
        <f t="shared" si="14"/>
        <v>MILD RS</v>
      </c>
      <c r="AB188" s="53">
        <f>IFERROR(__xludf.DUMMYFUNCTION("IFERROR(LET(
  p, QUERY(GOOGLEFINANCE(TRIM(A188),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Loading"")"),45.4)</f>
        <v>45.4</v>
      </c>
      <c r="AC188" s="53" t="str">
        <f t="shared" si="15"/>
        <v>IDEAL ENTRY</v>
      </c>
      <c r="AD188" s="53" t="str">
        <f>IFERROR(__xludf.DUMMYFUNCTION("IFERROR(IF(GOOGLEFINANCE(A188,""eps"")&gt;0,""EPS+"",""EPS-""),"""")"),"EPS+")</f>
        <v>EPS+</v>
      </c>
      <c r="AE188" s="53">
        <f t="shared" si="16"/>
        <v>7</v>
      </c>
      <c r="AF188" s="53">
        <f>IFERROR(__xludf.DUMMYFUNCTION("IFERROR(N188+IF(S188&gt;=1.2,1,0)+IF(U188&gt;=1,1,0)+IF(Z188&gt;0,1,0)+IF(AND(W188&gt;=-20,W188&lt;=0),1,0)+IF(IFERROR(GOOGLEFINANCE(A188,""eps""),0)&gt;0,1,0),"""")"),6.0)</f>
        <v>6</v>
      </c>
      <c r="AG188" s="53" t="str">
        <f t="shared" si="17"/>
        <v>REVERSE TRADE</v>
      </c>
    </row>
    <row r="189" ht="15.0" customHeight="1">
      <c r="A189" s="43" t="s">
        <v>351</v>
      </c>
      <c r="B189" s="44">
        <f>IFERROR(__xludf.DUMMYFUNCTION("GOOGLEFINANCE(A189,""price"")"),30000.0)</f>
        <v>30000</v>
      </c>
      <c r="C189" s="45">
        <f>IFERROR(__xludf.DUMMYFUNCTION("AVERAGE(QUERY(SORT(GOOGLEFINANCE(A189,""price"",TODAY()-150,TODAY()),1,0),""select Col2 limit 50""))"),34544.4)</f>
        <v>34544.4</v>
      </c>
      <c r="D189" s="45">
        <f>IFERROR(__xludf.DUMMYFUNCTION("AVERAGE(QUERY(SORT(GOOGLEFINANCE(A189,""price"",TODAY()-300,TODAY()),1,0),""select Col2 limit 100""))"),34852.35)</f>
        <v>34852.35</v>
      </c>
      <c r="E189" s="45">
        <f>IFERROR(__xludf.DUMMYFUNCTION("AVERAGE(QUERY(SORT(GOOGLEFINANCE(A189,""price"",TODAY()-500,TODAY()),1,0),""select Col2 limit 200""))"),32397.725)</f>
        <v>32397.725</v>
      </c>
      <c r="F189" s="46" t="str">
        <f t="shared" si="1"/>
        <v>In Bear Run</v>
      </c>
      <c r="G189" s="47">
        <f t="shared" si="2"/>
        <v>-7.400905465</v>
      </c>
      <c r="H189" s="48" t="str">
        <f t="shared" si="3"/>
        <v>Inverted ✗</v>
      </c>
      <c r="I189" s="48">
        <f t="shared" si="4"/>
        <v>0</v>
      </c>
      <c r="J189" s="48">
        <f t="shared" si="5"/>
        <v>0</v>
      </c>
      <c r="K189" s="49" t="str">
        <f>IFERROR(__xludf.DUMMYFUNCTION("IFERROR(IF(A189="""",""ENTER STOCK"",LET(stock,A189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89" s="48">
        <f t="shared" si="6"/>
        <v>0</v>
      </c>
      <c r="M189" s="48">
        <f t="shared" si="7"/>
        <v>1</v>
      </c>
      <c r="N189" s="50">
        <f t="shared" si="8"/>
        <v>1</v>
      </c>
      <c r="O189" s="51" t="s">
        <v>175</v>
      </c>
      <c r="P189" s="46" t="str">
        <f t="shared" si="9"/>
        <v>REVERSE TRADE</v>
      </c>
      <c r="Q189" s="52"/>
      <c r="R189" s="53">
        <f t="shared" si="10"/>
        <v>15</v>
      </c>
      <c r="S189" s="53">
        <f>IFERROR(__xludf.DUMMYFUNCTION("IFERROR(ROUND(GOOGLEFINANCE(A189,""volume"")/GOOGLEFINANCE(A189,""volumeavg""),2),"""")"),0.9)</f>
        <v>0.9</v>
      </c>
      <c r="T189" s="53" t="str">
        <f t="shared" si="11"/>
        <v>LOW VOL</v>
      </c>
      <c r="U189" s="53">
        <f>IFERROR(__xludf.DUMMYFUNCTION("IFERROR(
  LET(
    sd, GOOGLEFINANCE(A189,""close"",TODAY()-100,TODAY()),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"""")"),1.0)</f>
        <v>1</v>
      </c>
      <c r="V189" s="53" t="str">
        <f t="shared" si="12"/>
        <v>MEDIUM</v>
      </c>
      <c r="W189" s="53">
        <f>IFERROR(__xludf.DUMMYFUNCTION("IFERROR(ROUND((B189/GOOGLEFINANCE(A189,""high52"")-1)*100,1),"""")"),-21.1)</f>
        <v>-21.1</v>
      </c>
      <c r="X189" s="53">
        <f>IFERROR(__xludf.DUMMYFUNCTION("IFERROR(ROUND((B189-GOOGLEFINANCE(A189,""low52""))/(GOOGLEFINANCE(A189,""high52"")-GOOGLEFINANCE(A189,""low52""))*100,1),"""")"),28.4)</f>
        <v>28.4</v>
      </c>
      <c r="Y189" s="53" t="str">
        <f t="shared" si="13"/>
        <v>MID</v>
      </c>
      <c r="Z189" s="53">
        <f>IFERROR(__xludf.DUMMYFUNCTION("IFERROR(ROUND(((B189 / INDEX(GOOGLEFINANCE(TRIM(A189), ""price"", TODAY()-34, TODAY()), 2, 2)) - (GOOGLEFINANCE(""NIFTY_50"") / INDEX(GOOGLEFINANCE(""NIFTY_50"", ""price"", TODAY()-34, TODAY()), 2, 2))) * 100, 2), ""Check History"")"),-4.21)</f>
        <v>-4.21</v>
      </c>
      <c r="AA189" s="53" t="str">
        <f t="shared" si="14"/>
        <v>WEAK RS</v>
      </c>
      <c r="AB189" s="53">
        <f>IFERROR(__xludf.DUMMYFUNCTION("IFERROR(LET(
  p, QUERY(GOOGLEFINANCE(TRIM(A189),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Loading"")"),33.0)</f>
        <v>33</v>
      </c>
      <c r="AC189" s="53" t="str">
        <f t="shared" si="15"/>
        <v>WEAK MOM</v>
      </c>
      <c r="AD189" s="53" t="str">
        <f>IFERROR(__xludf.DUMMYFUNCTION("IFERROR(IF(GOOGLEFINANCE(A189,""eps"")&gt;0,""EPS+"",""EPS-""),"""")"),"EPS+")</f>
        <v>EPS+</v>
      </c>
      <c r="AE189" s="53">
        <f t="shared" si="16"/>
        <v>2</v>
      </c>
      <c r="AF189" s="53">
        <f>IFERROR(__xludf.DUMMYFUNCTION("IFERROR(N189+IF(S189&gt;=1.2,1,0)+IF(U189&gt;=1,1,0)+IF(Z189&gt;0,1,0)+IF(AND(W189&gt;=-20,W189&lt;=0),1,0)+IF(IFERROR(GOOGLEFINANCE(A189,""eps""),0)&gt;0,1,0),"""")"),3.0)</f>
        <v>3</v>
      </c>
      <c r="AG189" s="53" t="str">
        <f t="shared" si="17"/>
        <v>REVERSE TRADE</v>
      </c>
    </row>
    <row r="190" ht="15.0" customHeight="1">
      <c r="A190" s="43" t="s">
        <v>352</v>
      </c>
      <c r="B190" s="44">
        <f>IFERROR(__xludf.DUMMYFUNCTION("GOOGLEFINANCE(A190,""price"")"),481.0)</f>
        <v>481</v>
      </c>
      <c r="C190" s="45">
        <f>IFERROR(__xludf.DUMMYFUNCTION("AVERAGE(QUERY(SORT(GOOGLEFINANCE(A190,""price"",TODAY()-150,TODAY()),1,0),""select Col2 limit 50""))"),505.7979999999999)</f>
        <v>505.798</v>
      </c>
      <c r="D190" s="45">
        <f>IFERROR(__xludf.DUMMYFUNCTION("AVERAGE(QUERY(SORT(GOOGLEFINANCE(A190,""price"",TODAY()-300,TODAY()),1,0),""select Col2 limit 100""))"),496.7395)</f>
        <v>496.7395</v>
      </c>
      <c r="E190" s="45">
        <f>IFERROR(__xludf.DUMMYFUNCTION("AVERAGE(QUERY(SORT(GOOGLEFINANCE(A190,""price"",TODAY()-500,TODAY()),1,0),""select Col2 limit 200""))"),476.5265000000002)</f>
        <v>476.5265</v>
      </c>
      <c r="F190" s="46" t="str">
        <f t="shared" si="1"/>
        <v>Unconfirmed</v>
      </c>
      <c r="G190" s="47">
        <f t="shared" si="2"/>
        <v>0.9387725551</v>
      </c>
      <c r="H190" s="48" t="str">
        <f t="shared" si="3"/>
        <v>Golden ✓</v>
      </c>
      <c r="I190" s="48">
        <f t="shared" si="4"/>
        <v>3</v>
      </c>
      <c r="J190" s="48">
        <f t="shared" si="5"/>
        <v>2</v>
      </c>
      <c r="K190" s="49" t="str">
        <f>IFERROR(__xludf.DUMMYFUNCTION("IFERROR(IF(A190="""",""ENTER STOCK"",LET(stock,A190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FOUND"")"),"Buy/Average Out")</f>
        <v>Buy/Average Out</v>
      </c>
      <c r="L190" s="48">
        <f t="shared" si="6"/>
        <v>2</v>
      </c>
      <c r="M190" s="48">
        <f t="shared" si="7"/>
        <v>1</v>
      </c>
      <c r="N190" s="50">
        <f t="shared" si="8"/>
        <v>8</v>
      </c>
      <c r="O190" s="51" t="s">
        <v>198</v>
      </c>
      <c r="P190" s="46" t="str">
        <f t="shared" si="9"/>
        <v>WAIT</v>
      </c>
      <c r="Q190" s="52"/>
      <c r="R190" s="53">
        <f t="shared" si="10"/>
        <v>15</v>
      </c>
      <c r="S190" s="53">
        <f>IFERROR(__xludf.DUMMYFUNCTION("IFERROR(ROUND(GOOGLEFINANCE(A190,""volume"")/GOOGLEFINANCE(A190,""volumeavg""),2),"""")"),2.2)</f>
        <v>2.2</v>
      </c>
      <c r="T190" s="53" t="str">
        <f t="shared" si="11"/>
        <v>HIGH VOL</v>
      </c>
      <c r="U190" s="53">
        <f>IFERROR(__xludf.DUMMYFUNCTION("IFERROR(
  LET(
    sd, GOOGLEFINANCE(A190,""close"",TODAY()-100,TODAY()),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"""")"),1.54)</f>
        <v>1.54</v>
      </c>
      <c r="V190" s="53" t="str">
        <f t="shared" si="12"/>
        <v>FAST</v>
      </c>
      <c r="W190" s="53">
        <f>IFERROR(__xludf.DUMMYFUNCTION("IFERROR(ROUND((B190/GOOGLEFINANCE(A190,""high52"")-1)*100,1),"""")"),-14.0)</f>
        <v>-14</v>
      </c>
      <c r="X190" s="53">
        <f>IFERROR(__xludf.DUMMYFUNCTION("IFERROR(ROUND((B190-GOOGLEFINANCE(A190,""low52""))/(GOOGLEFINANCE(A190,""high52"")-GOOGLEFINANCE(A190,""low52""))*100,1),"""")"),56.3)</f>
        <v>56.3</v>
      </c>
      <c r="Y190" s="53" t="str">
        <f t="shared" si="13"/>
        <v>UPPER</v>
      </c>
      <c r="Z190" s="53">
        <f>IFERROR(__xludf.DUMMYFUNCTION("IFERROR(ROUND(((B190 / INDEX(GOOGLEFINANCE(TRIM(A190), ""price"", TODAY()-34, TODAY()), 2, 2)) - (GOOGLEFINANCE(""NIFTY_50"") / INDEX(GOOGLEFINANCE(""NIFTY_50"", ""price"", TODAY()-34, TODAY()), 2, 2))) * 100, 2), ""Check History"")"),3.02)</f>
        <v>3.02</v>
      </c>
      <c r="AA190" s="53" t="str">
        <f t="shared" si="14"/>
        <v>MILD RS</v>
      </c>
      <c r="AB190" s="53">
        <f>IFERROR(__xludf.DUMMYFUNCTION("IFERROR(LET(
  p, QUERY(GOOGLEFINANCE(TRIM(A190),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Loading"")"),37.4)</f>
        <v>37.4</v>
      </c>
      <c r="AC190" s="53" t="str">
        <f t="shared" si="15"/>
        <v>WEAK MOM</v>
      </c>
      <c r="AD190" s="53" t="str">
        <f>IFERROR(__xludf.DUMMYFUNCTION("IFERROR(IF(GOOGLEFINANCE(A190,""eps"")&gt;0,""EPS+"",""EPS-""),"""")"),"EPS+")</f>
        <v>EPS+</v>
      </c>
      <c r="AE190" s="53">
        <f t="shared" si="16"/>
        <v>8</v>
      </c>
      <c r="AF190" s="53">
        <f>IFERROR(__xludf.DUMMYFUNCTION("IFERROR(N190+IF(S190&gt;=1.2,1,0)+IF(U190&gt;=1,1,0)+IF(Z190&gt;0,1,0)+IF(AND(W190&gt;=-20,W190&lt;=0),1,0)+IF(IFERROR(GOOGLEFINANCE(A190,""eps""),0)&gt;0,1,0),"""")"),13.0)</f>
        <v>13</v>
      </c>
      <c r="AG190" s="53" t="str">
        <f t="shared" si="17"/>
        <v>WAIT</v>
      </c>
    </row>
    <row r="191" ht="15.0" customHeight="1">
      <c r="A191" s="43" t="s">
        <v>353</v>
      </c>
      <c r="B191" s="44">
        <f>IFERROR(__xludf.DUMMYFUNCTION("GOOGLEFINANCE(A191,""price"")"),7000.0)</f>
        <v>7000</v>
      </c>
      <c r="C191" s="45">
        <f>IFERROR(__xludf.DUMMYFUNCTION("AVERAGE(QUERY(SORT(GOOGLEFINANCE(A191,""price"",TODAY()-150,TODAY()),1,0),""select Col2 limit 50""))"),6550.84)</f>
        <v>6550.84</v>
      </c>
      <c r="D191" s="45">
        <f>IFERROR(__xludf.DUMMYFUNCTION("AVERAGE(QUERY(SORT(GOOGLEFINANCE(A191,""price"",TODAY()-300,TODAY()),1,0),""select Col2 limit 100""))"),6232.905)</f>
        <v>6232.905</v>
      </c>
      <c r="E191" s="45">
        <f>IFERROR(__xludf.DUMMYFUNCTION("AVERAGE(QUERY(SORT(GOOGLEFINANCE(A191,""price"",TODAY()-500,TODAY()),1,0),""select Col2 limit 200""))"),6363.83)</f>
        <v>6363.83</v>
      </c>
      <c r="F191" s="46" t="str">
        <f t="shared" si="1"/>
        <v>In Bull Run</v>
      </c>
      <c r="G191" s="47">
        <f t="shared" si="2"/>
        <v>9.996652959</v>
      </c>
      <c r="H191" s="48" t="str">
        <f t="shared" si="3"/>
        <v>Inverted ✗</v>
      </c>
      <c r="I191" s="48">
        <f t="shared" si="4"/>
        <v>0</v>
      </c>
      <c r="J191" s="48">
        <f t="shared" si="5"/>
        <v>4</v>
      </c>
      <c r="K191" s="49" t="str">
        <f>IFERROR(__xludf.DUMMYFUNCTION("IFERROR(IF(A191="""",""ENTER STOCK"",LET(stock,A191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FOUND"")"),"Buy/Average Out")</f>
        <v>Buy/Average Out</v>
      </c>
      <c r="L191" s="48">
        <f t="shared" si="6"/>
        <v>2</v>
      </c>
      <c r="M191" s="48">
        <f t="shared" si="7"/>
        <v>1</v>
      </c>
      <c r="N191" s="50">
        <f t="shared" si="8"/>
        <v>7</v>
      </c>
      <c r="O191" s="51" t="s">
        <v>354</v>
      </c>
      <c r="P191" s="46" t="str">
        <f t="shared" si="9"/>
        <v>PRIME BUY</v>
      </c>
      <c r="Q191" s="52"/>
      <c r="R191" s="53">
        <f t="shared" si="10"/>
        <v>15</v>
      </c>
      <c r="S191" s="53">
        <f>IFERROR(__xludf.DUMMYFUNCTION("IFERROR(ROUND(GOOGLEFINANCE(A191,""volume"")/GOOGLEFINANCE(A191,""volumeavg""),2),"""")"),1.48)</f>
        <v>1.48</v>
      </c>
      <c r="T191" s="53" t="str">
        <f t="shared" si="11"/>
        <v>OK VOL</v>
      </c>
      <c r="U191" s="53">
        <f>IFERROR(__xludf.DUMMYFUNCTION("IFERROR(
  LET(
    sd, GOOGLEFINANCE(A191,""close"",TODAY()-100,TODAY()),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"""")"),-0.3)</f>
        <v>-0.3</v>
      </c>
      <c r="V191" s="53" t="str">
        <f t="shared" si="12"/>
        <v>SLOW</v>
      </c>
      <c r="W191" s="53">
        <f>IFERROR(__xludf.DUMMYFUNCTION("IFERROR(ROUND((B191/GOOGLEFINANCE(A191,""high52"")-1)*100,1),"""")"),-11.1)</f>
        <v>-11.1</v>
      </c>
      <c r="X191" s="53">
        <f>IFERROR(__xludf.DUMMYFUNCTION("IFERROR(ROUND((B191-GOOGLEFINANCE(A191,""low52""))/(GOOGLEFINANCE(A191,""high52"")-GOOGLEFINANCE(A191,""low52""))*100,1),"""")"),66.9)</f>
        <v>66.9</v>
      </c>
      <c r="Y191" s="53" t="str">
        <f t="shared" si="13"/>
        <v>UPPER</v>
      </c>
      <c r="Z191" s="53">
        <f>IFERROR(__xludf.DUMMYFUNCTION("IFERROR(ROUND(((B191 / INDEX(GOOGLEFINANCE(TRIM(A191), ""price"", TODAY()-34, TODAY()), 2, 2)) - (GOOGLEFINANCE(""NIFTY_50"") / INDEX(GOOGLEFINANCE(""NIFTY_50"", ""price"", TODAY()-34, TODAY()), 2, 2))) * 100, 2), ""Check History"")"),17.64)</f>
        <v>17.64</v>
      </c>
      <c r="AA191" s="53" t="str">
        <f t="shared" si="14"/>
        <v>STRONG RS</v>
      </c>
      <c r="AB191" s="53">
        <f>IFERROR(__xludf.DUMMYFUNCTION("IFERROR(LET(
  p, QUERY(GOOGLEFINANCE(TRIM(A191),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Loading"")"),54.5)</f>
        <v>54.5</v>
      </c>
      <c r="AC191" s="53" t="str">
        <f t="shared" si="15"/>
        <v>IDEAL ENTRY</v>
      </c>
      <c r="AD191" s="53" t="str">
        <f>IFERROR(__xludf.DUMMYFUNCTION("IFERROR(IF(GOOGLEFINANCE(A191,""eps"")&gt;0,""EPS+"",""EPS-""),"""")"),"EPS+")</f>
        <v>EPS+</v>
      </c>
      <c r="AE191" s="53">
        <f t="shared" si="16"/>
        <v>5</v>
      </c>
      <c r="AF191" s="53">
        <f>IFERROR(__xludf.DUMMYFUNCTION("IFERROR(N191+IF(S191&gt;=1.2,1,0)+IF(U191&gt;=1,1,0)+IF(Z191&gt;0,1,0)+IF(AND(W191&gt;=-20,W191&lt;=0),1,0)+IF(IFERROR(GOOGLEFINANCE(A191,""eps""),0)&gt;0,1,0),"""")"),11.0)</f>
        <v>11</v>
      </c>
      <c r="AG191" s="53" t="str">
        <f t="shared" si="17"/>
        <v>PRIME BUY [10-20d]</v>
      </c>
    </row>
    <row r="192" ht="15.0" customHeight="1">
      <c r="A192" s="43" t="s">
        <v>355</v>
      </c>
      <c r="B192" s="44">
        <f>IFERROR(__xludf.DUMMYFUNCTION("GOOGLEFINANCE(A192,""price"")"),295.7)</f>
        <v>295.7</v>
      </c>
      <c r="C192" s="45">
        <f>IFERROR(__xludf.DUMMYFUNCTION("AVERAGE(QUERY(SORT(GOOGLEFINANCE(A192,""price"",TODAY()-150,TODAY()),1,0),""select Col2 limit 50""))"),336.3909999999999)</f>
        <v>336.391</v>
      </c>
      <c r="D192" s="45">
        <f>IFERROR(__xludf.DUMMYFUNCTION("AVERAGE(QUERY(SORT(GOOGLEFINANCE(A192,""price"",TODAY()-300,TODAY()),1,0),""select Col2 limit 100""))"),341.71099999999984)</f>
        <v>341.711</v>
      </c>
      <c r="E192" s="45">
        <f>IFERROR(__xludf.DUMMYFUNCTION("AVERAGE(QUERY(SORT(GOOGLEFINANCE(A192,""price"",TODAY()-500,TODAY()),1,0),""select Col2 limit 200""))"),311.0165999999999)</f>
        <v>311.0166</v>
      </c>
      <c r="F192" s="46" t="str">
        <f t="shared" si="1"/>
        <v>In Bear Run</v>
      </c>
      <c r="G192" s="47">
        <f t="shared" si="2"/>
        <v>-4.924688907</v>
      </c>
      <c r="H192" s="48" t="str">
        <f t="shared" si="3"/>
        <v>Inverted ✗</v>
      </c>
      <c r="I192" s="48">
        <f t="shared" si="4"/>
        <v>0</v>
      </c>
      <c r="J192" s="48">
        <f t="shared" si="5"/>
        <v>0</v>
      </c>
      <c r="K192" s="49" t="str">
        <f>IFERROR(__xludf.DUMMYFUNCTION("IFERROR(IF(A192="""",""ENTER STOCK"",LET(stock,A192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92" s="48">
        <f t="shared" si="6"/>
        <v>0</v>
      </c>
      <c r="M192" s="48">
        <f t="shared" si="7"/>
        <v>1</v>
      </c>
      <c r="N192" s="50">
        <f t="shared" si="8"/>
        <v>1</v>
      </c>
      <c r="O192" s="51" t="s">
        <v>173</v>
      </c>
      <c r="P192" s="46" t="str">
        <f t="shared" si="9"/>
        <v>REVERSE TRADE</v>
      </c>
      <c r="Q192" s="52"/>
      <c r="R192" s="53">
        <f t="shared" si="10"/>
        <v>15</v>
      </c>
      <c r="S192" s="53">
        <f>IFERROR(__xludf.DUMMYFUNCTION("IFERROR(ROUND(GOOGLEFINANCE(A192,""volume"")/GOOGLEFINANCE(A192,""volumeavg""),2),"""")"),0.72)</f>
        <v>0.72</v>
      </c>
      <c r="T192" s="53" t="str">
        <f t="shared" si="11"/>
        <v>LOW VOL</v>
      </c>
      <c r="U192" s="53">
        <f>IFERROR(__xludf.DUMMYFUNCTION("IFERROR(
  LET(
    sd, GOOGLEFINANCE(A192,""close"",TODAY()-100,TODAY()),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"""")"),1.61)</f>
        <v>1.61</v>
      </c>
      <c r="V192" s="53" t="str">
        <f t="shared" si="12"/>
        <v>FAST</v>
      </c>
      <c r="W192" s="53">
        <f>IFERROR(__xludf.DUMMYFUNCTION("IFERROR(ROUND((B192/GOOGLEFINANCE(A192,""high52"")-1)*100,1),"""")"),-19.9)</f>
        <v>-19.9</v>
      </c>
      <c r="X192" s="53">
        <f>IFERROR(__xludf.DUMMYFUNCTION("IFERROR(ROUND((B192-GOOGLEFINANCE(A192,""low52""))/(GOOGLEFINANCE(A192,""high52"")-GOOGLEFINANCE(A192,""low52""))*100,1),"""")"),63.2)</f>
        <v>63.2</v>
      </c>
      <c r="Y192" s="53" t="str">
        <f t="shared" si="13"/>
        <v>UPPER</v>
      </c>
      <c r="Z192" s="53">
        <f>IFERROR(__xludf.DUMMYFUNCTION("IFERROR(ROUND(((B192 / INDEX(GOOGLEFINANCE(TRIM(A192), ""price"", TODAY()-34, TODAY()), 2, 2)) - (GOOGLEFINANCE(""NIFTY_50"") / INDEX(GOOGLEFINANCE(""NIFTY_50"", ""price"", TODAY()-34, TODAY()), 2, 2))) * 100, 2), ""Check History"")"),-3.18)</f>
        <v>-3.18</v>
      </c>
      <c r="AA192" s="53" t="str">
        <f t="shared" si="14"/>
        <v>WEAK RS</v>
      </c>
      <c r="AB192" s="53">
        <f>IFERROR(__xludf.DUMMYFUNCTION("IFERROR(LET(
  p, QUERY(GOOGLEFINANCE(TRIM(A192),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Loading"")"),43.9)</f>
        <v>43.9</v>
      </c>
      <c r="AC192" s="53" t="str">
        <f t="shared" si="15"/>
        <v>WEAK MOM</v>
      </c>
      <c r="AD192" s="53" t="str">
        <f>IFERROR(__xludf.DUMMYFUNCTION("IFERROR(IF(GOOGLEFINANCE(A192,""eps"")&gt;0,""EPS+"",""EPS-""),"""")"),"EPS+")</f>
        <v>EPS+</v>
      </c>
      <c r="AE192" s="53">
        <f t="shared" si="16"/>
        <v>4</v>
      </c>
      <c r="AF192" s="53">
        <f>IFERROR(__xludf.DUMMYFUNCTION("IFERROR(N192+IF(S192&gt;=1.2,1,0)+IF(U192&gt;=1,1,0)+IF(Z192&gt;0,1,0)+IF(AND(W192&gt;=-20,W192&lt;=0),1,0)+IF(IFERROR(GOOGLEFINANCE(A192,""eps""),0)&gt;0,1,0),"""")"),4.0)</f>
        <v>4</v>
      </c>
      <c r="AG192" s="53" t="str">
        <f t="shared" si="17"/>
        <v>REVERSE TRADE</v>
      </c>
    </row>
    <row r="193" ht="15.0" customHeight="1">
      <c r="A193" s="43" t="s">
        <v>356</v>
      </c>
      <c r="B193" s="44">
        <f>IFERROR(__xludf.DUMMYFUNCTION("GOOGLEFINANCE(A193,""price"")"),241.15)</f>
        <v>241.15</v>
      </c>
      <c r="C193" s="45">
        <f>IFERROR(__xludf.DUMMYFUNCTION("AVERAGE(QUERY(SORT(GOOGLEFINANCE(A193,""price"",TODAY()-150,TODAY()),1,0),""select Col2 limit 50""))"),280.48299999999983)</f>
        <v>280.483</v>
      </c>
      <c r="D193" s="45">
        <f>IFERROR(__xludf.DUMMYFUNCTION("AVERAGE(QUERY(SORT(GOOGLEFINANCE(A193,""price"",TODAY()-300,TODAY()),1,0),""select Col2 limit 100""))"),291.0334999999999)</f>
        <v>291.0335</v>
      </c>
      <c r="E193" s="45">
        <f>IFERROR(__xludf.DUMMYFUNCTION("AVERAGE(QUERY(SORT(GOOGLEFINANCE(A193,""price"",TODAY()-500,TODAY()),1,0),""select Col2 limit 200""))"),257.5752499999998)</f>
        <v>257.57525</v>
      </c>
      <c r="F193" s="46" t="str">
        <f t="shared" si="1"/>
        <v>In Bear Run</v>
      </c>
      <c r="G193" s="47">
        <f t="shared" si="2"/>
        <v>-6.376874331</v>
      </c>
      <c r="H193" s="48" t="str">
        <f t="shared" si="3"/>
        <v>Inverted ✗</v>
      </c>
      <c r="I193" s="48">
        <f t="shared" si="4"/>
        <v>0</v>
      </c>
      <c r="J193" s="48">
        <f t="shared" si="5"/>
        <v>0</v>
      </c>
      <c r="K193" s="49" t="str">
        <f>IFERROR(__xludf.DUMMYFUNCTION("IFERROR(IF(A193="""",""ENTER STOCK"",LET(stock,A193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93" s="48">
        <f t="shared" si="6"/>
        <v>0</v>
      </c>
      <c r="M193" s="48">
        <f t="shared" si="7"/>
        <v>1</v>
      </c>
      <c r="N193" s="50">
        <f t="shared" si="8"/>
        <v>1</v>
      </c>
      <c r="O193" s="51" t="s">
        <v>153</v>
      </c>
      <c r="P193" s="46" t="str">
        <f t="shared" si="9"/>
        <v>REVERSE TRADE</v>
      </c>
      <c r="Q193" s="52"/>
      <c r="R193" s="53">
        <f t="shared" si="10"/>
        <v>15</v>
      </c>
      <c r="S193" s="53">
        <f>IFERROR(__xludf.DUMMYFUNCTION("IFERROR(ROUND(GOOGLEFINANCE(A193,""volume"")/GOOGLEFINANCE(A193,""volumeavg""),2),"""")"),1.21)</f>
        <v>1.21</v>
      </c>
      <c r="T193" s="53" t="str">
        <f t="shared" si="11"/>
        <v>OK VOL</v>
      </c>
      <c r="U193" s="53">
        <f>IFERROR(__xludf.DUMMYFUNCTION("IFERROR(
  LET(
    sd, GOOGLEFINANCE(A193,""close"",TODAY()-100,TODAY()),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"""")"),1.7)</f>
        <v>1.7</v>
      </c>
      <c r="V193" s="53" t="str">
        <f t="shared" si="12"/>
        <v>FAST</v>
      </c>
      <c r="W193" s="53">
        <f>IFERROR(__xludf.DUMMYFUNCTION("IFERROR(ROUND((B193/GOOGLEFINANCE(A193,""high52"")-1)*100,1),"""")"),-26.8)</f>
        <v>-26.8</v>
      </c>
      <c r="X193" s="53">
        <f>IFERROR(__xludf.DUMMYFUNCTION("IFERROR(ROUND((B193-GOOGLEFINANCE(A193,""low52""))/(GOOGLEFINANCE(A193,""high52"")-GOOGLEFINANCE(A193,""low52""))*100,1),"""")"),53.4)</f>
        <v>53.4</v>
      </c>
      <c r="Y193" s="53" t="str">
        <f t="shared" si="13"/>
        <v>MID</v>
      </c>
      <c r="Z193" s="53">
        <f>IFERROR(__xludf.DUMMYFUNCTION("IFERROR(ROUND(((B193 / INDEX(GOOGLEFINANCE(TRIM(A193), ""price"", TODAY()-34, TODAY()), 2, 2)) - (GOOGLEFINANCE(""NIFTY_50"") / INDEX(GOOGLEFINANCE(""NIFTY_50"", ""price"", TODAY()-34, TODAY()), 2, 2))) * 100, 2), ""Check History"")"),-6.76)</f>
        <v>-6.76</v>
      </c>
      <c r="AA193" s="53" t="str">
        <f t="shared" si="14"/>
        <v>WEAK RS</v>
      </c>
      <c r="AB193" s="53">
        <f>IFERROR(__xludf.DUMMYFUNCTION("IFERROR(LET(
  p, QUERY(GOOGLEFINANCE(TRIM(A193),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Loading"")"),37.0)</f>
        <v>37</v>
      </c>
      <c r="AC193" s="53" t="str">
        <f t="shared" si="15"/>
        <v>WEAK MOM</v>
      </c>
      <c r="AD193" s="53" t="str">
        <f>IFERROR(__xludf.DUMMYFUNCTION("IFERROR(IF(GOOGLEFINANCE(A193,""eps"")&gt;0,""EPS+"",""EPS-""),"""")"),"")</f>
        <v/>
      </c>
      <c r="AE193" s="53">
        <f t="shared" si="16"/>
        <v>6</v>
      </c>
      <c r="AF193" s="53">
        <f>IFERROR(__xludf.DUMMYFUNCTION("IFERROR(N193+IF(S193&gt;=1.2,1,0)+IF(U193&gt;=1,1,0)+IF(Z193&gt;0,1,0)+IF(AND(W193&gt;=-20,W193&lt;=0),1,0)+IF(IFERROR(GOOGLEFINANCE(A193,""eps""),0)&gt;0,1,0),"""")"),3.0)</f>
        <v>3</v>
      </c>
      <c r="AG193" s="53" t="str">
        <f t="shared" si="17"/>
        <v>REVERSE TRADE</v>
      </c>
    </row>
    <row r="194" ht="15.0" customHeight="1">
      <c r="A194" s="43" t="s">
        <v>357</v>
      </c>
      <c r="B194" s="44">
        <f>IFERROR(__xludf.DUMMYFUNCTION("GOOGLEFINANCE(A194,""price"")"),12033.0)</f>
        <v>12033</v>
      </c>
      <c r="C194" s="45">
        <f>IFERROR(__xludf.DUMMYFUNCTION("AVERAGE(QUERY(SORT(GOOGLEFINANCE(A194,""price"",TODAY()-150,TODAY()),1,0),""select Col2 limit 50""))"),13440.54)</f>
        <v>13440.54</v>
      </c>
      <c r="D194" s="45">
        <f>IFERROR(__xludf.DUMMYFUNCTION("AVERAGE(QUERY(SORT(GOOGLEFINANCE(A194,""price"",TODAY()-300,TODAY()),1,0),""select Col2 limit 100""))"),13210.96)</f>
        <v>13210.96</v>
      </c>
      <c r="E194" s="45">
        <f>IFERROR(__xludf.DUMMYFUNCTION("AVERAGE(QUERY(SORT(GOOGLEFINANCE(A194,""price"",TODAY()-500,TODAY()),1,0),""select Col2 limit 200""))"),14075.96)</f>
        <v>14075.96</v>
      </c>
      <c r="F194" s="46" t="str">
        <f t="shared" si="1"/>
        <v>In Bear Run</v>
      </c>
      <c r="G194" s="47">
        <f t="shared" si="2"/>
        <v>-14.51382357</v>
      </c>
      <c r="H194" s="48" t="str">
        <f t="shared" si="3"/>
        <v>Inverted ✗</v>
      </c>
      <c r="I194" s="48">
        <f t="shared" si="4"/>
        <v>0</v>
      </c>
      <c r="J194" s="48">
        <f t="shared" si="5"/>
        <v>0</v>
      </c>
      <c r="K194" s="49" t="str">
        <f>IFERROR(__xludf.DUMMYFUNCTION("IFERROR(IF(A194="""",""ENTER STOCK"",LET(stock,A194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94" s="48">
        <f t="shared" si="6"/>
        <v>0</v>
      </c>
      <c r="M194" s="48">
        <f t="shared" si="7"/>
        <v>1</v>
      </c>
      <c r="N194" s="50">
        <f t="shared" si="8"/>
        <v>1</v>
      </c>
      <c r="O194" s="51" t="s">
        <v>137</v>
      </c>
      <c r="P194" s="46" t="str">
        <f t="shared" si="9"/>
        <v>REVERSE TRADE</v>
      </c>
      <c r="Q194" s="52"/>
      <c r="R194" s="53">
        <f t="shared" si="10"/>
        <v>15</v>
      </c>
      <c r="S194" s="53">
        <f>IFERROR(__xludf.DUMMYFUNCTION("IFERROR(ROUND(GOOGLEFINANCE(A194,""volume"")/GOOGLEFINANCE(A194,""volumeavg""),2),"""")"),1.16)</f>
        <v>1.16</v>
      </c>
      <c r="T194" s="53" t="str">
        <f t="shared" si="11"/>
        <v>LOW VOL</v>
      </c>
      <c r="U194" s="53">
        <f>IFERROR(__xludf.DUMMYFUNCTION("IFERROR(
  LET(
    sd, GOOGLEFINANCE(A194,""close"",TODAY()-100,TODAY()),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"""")"),0.95)</f>
        <v>0.95</v>
      </c>
      <c r="V194" s="53" t="str">
        <f t="shared" si="12"/>
        <v>MEDIUM</v>
      </c>
      <c r="W194" s="53">
        <f>IFERROR(__xludf.DUMMYFUNCTION("IFERROR(ROUND((B194/GOOGLEFINANCE(A194,""high52"")-1)*100,1),"""")"),-32.5)</f>
        <v>-32.5</v>
      </c>
      <c r="X194" s="53">
        <f>IFERROR(__xludf.DUMMYFUNCTION("IFERROR(ROUND((B194-GOOGLEFINANCE(A194,""low52""))/(GOOGLEFINANCE(A194,""high52"")-GOOGLEFINANCE(A194,""low52""))*100,1),"""")"),27.0)</f>
        <v>27</v>
      </c>
      <c r="Y194" s="53" t="str">
        <f t="shared" si="13"/>
        <v>MID</v>
      </c>
      <c r="Z194" s="53">
        <f>IFERROR(__xludf.DUMMYFUNCTION("IFERROR(ROUND(((B194 / INDEX(GOOGLEFINANCE(TRIM(A194), ""price"", TODAY()-34, TODAY()), 2, 2)) - (GOOGLEFINANCE(""NIFTY_50"") / INDEX(GOOGLEFINANCE(""NIFTY_50"", ""price"", TODAY()-34, TODAY()), 2, 2))) * 100, 2), ""Check History"")"),2.78)</f>
        <v>2.78</v>
      </c>
      <c r="AA194" s="53" t="str">
        <f t="shared" si="14"/>
        <v>MILD RS</v>
      </c>
      <c r="AB194" s="53">
        <f>IFERROR(__xludf.DUMMYFUNCTION("IFERROR(LET(
  p, QUERY(GOOGLEFINANCE(TRIM(A194),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Loading"")"),33.8)</f>
        <v>33.8</v>
      </c>
      <c r="AC194" s="53" t="str">
        <f t="shared" si="15"/>
        <v>WEAK MOM</v>
      </c>
      <c r="AD194" s="53" t="str">
        <f>IFERROR(__xludf.DUMMYFUNCTION("IFERROR(IF(GOOGLEFINANCE(A194,""eps"")&gt;0,""EPS+"",""EPS-""),"""")"),"EPS+")</f>
        <v>EPS+</v>
      </c>
      <c r="AE194" s="53">
        <f t="shared" si="16"/>
        <v>4</v>
      </c>
      <c r="AF194" s="53">
        <f>IFERROR(__xludf.DUMMYFUNCTION("IFERROR(N194+IF(S194&gt;=1.2,1,0)+IF(U194&gt;=1,1,0)+IF(Z194&gt;0,1,0)+IF(AND(W194&gt;=-20,W194&lt;=0),1,0)+IF(IFERROR(GOOGLEFINANCE(A194,""eps""),0)&gt;0,1,0),"""")"),3.0)</f>
        <v>3</v>
      </c>
      <c r="AG194" s="53" t="str">
        <f t="shared" si="17"/>
        <v>REVERSE TRADE</v>
      </c>
    </row>
    <row r="195" ht="15.0" customHeight="1">
      <c r="A195" s="43" t="s">
        <v>358</v>
      </c>
      <c r="B195" s="44">
        <f>IFERROR(__xludf.DUMMYFUNCTION("GOOGLEFINANCE(A195,""price"")"),1612.5)</f>
        <v>1612.5</v>
      </c>
      <c r="C195" s="45">
        <f>IFERROR(__xludf.DUMMYFUNCTION("AVERAGE(QUERY(SORT(GOOGLEFINANCE(A195,""price"",TODAY()-150,TODAY()),1,0),""select Col2 limit 50""))"),1846.0119999999997)</f>
        <v>1846.012</v>
      </c>
      <c r="D195" s="45">
        <f>IFERROR(__xludf.DUMMYFUNCTION("AVERAGE(QUERY(SORT(GOOGLEFINANCE(A195,""price"",TODAY()-300,TODAY()),1,0),""select Col2 limit 100""))"),1814.899)</f>
        <v>1814.899</v>
      </c>
      <c r="E195" s="45">
        <f>IFERROR(__xludf.DUMMYFUNCTION("AVERAGE(QUERY(SORT(GOOGLEFINANCE(A195,""price"",TODAY()-500,TODAY()),1,0),""select Col2 limit 200""))"),1825.361)</f>
        <v>1825.361</v>
      </c>
      <c r="F195" s="46" t="str">
        <f t="shared" si="1"/>
        <v>In Bear Run</v>
      </c>
      <c r="G195" s="47">
        <f t="shared" si="2"/>
        <v>-11.66130974</v>
      </c>
      <c r="H195" s="48" t="str">
        <f t="shared" si="3"/>
        <v>Inverted ✗</v>
      </c>
      <c r="I195" s="48">
        <f t="shared" si="4"/>
        <v>0</v>
      </c>
      <c r="J195" s="48">
        <f t="shared" si="5"/>
        <v>0</v>
      </c>
      <c r="K195" s="49" t="str">
        <f>IFERROR(__xludf.DUMMYFUNCTION("IFERROR(IF(A195="""",""ENTER STOCK"",LET(stock,A195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95" s="48">
        <f t="shared" si="6"/>
        <v>0</v>
      </c>
      <c r="M195" s="48">
        <f t="shared" si="7"/>
        <v>1</v>
      </c>
      <c r="N195" s="50">
        <f t="shared" si="8"/>
        <v>1</v>
      </c>
      <c r="O195" s="51" t="s">
        <v>175</v>
      </c>
      <c r="P195" s="46" t="str">
        <f t="shared" si="9"/>
        <v>REVERSE TRADE</v>
      </c>
      <c r="Q195" s="52"/>
      <c r="R195" s="53">
        <f t="shared" si="10"/>
        <v>15</v>
      </c>
      <c r="S195" s="53">
        <f>IFERROR(__xludf.DUMMYFUNCTION("IFERROR(ROUND(GOOGLEFINANCE(A195,""volume"")/GOOGLEFINANCE(A195,""volumeavg""),2),"""")"),1.77)</f>
        <v>1.77</v>
      </c>
      <c r="T195" s="53" t="str">
        <f t="shared" si="11"/>
        <v>HIGH VOL</v>
      </c>
      <c r="U195" s="53">
        <f>IFERROR(__xludf.DUMMYFUNCTION("IFERROR(
  LET(
    sd, GOOGLEFINANCE(A195,""close"",TODAY()-100,TODAY()),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"""")"),1.24)</f>
        <v>1.24</v>
      </c>
      <c r="V195" s="53" t="str">
        <f t="shared" si="12"/>
        <v>FAST</v>
      </c>
      <c r="W195" s="53">
        <f>IFERROR(__xludf.DUMMYFUNCTION("IFERROR(ROUND((B195/GOOGLEFINANCE(A195,""high52"")-1)*100,1),"""")"),-25.0)</f>
        <v>-25</v>
      </c>
      <c r="X195" s="53">
        <f>IFERROR(__xludf.DUMMYFUNCTION("IFERROR(ROUND((B195-GOOGLEFINANCE(A195,""low52""))/(GOOGLEFINANCE(A195,""high52"")-GOOGLEFINANCE(A195,""low52""))*100,1),"""")"),14.6)</f>
        <v>14.6</v>
      </c>
      <c r="Y195" s="53" t="str">
        <f t="shared" si="13"/>
        <v>MID</v>
      </c>
      <c r="Z195" s="53">
        <f>IFERROR(__xludf.DUMMYFUNCTION("IFERROR(ROUND(((B195 / INDEX(GOOGLEFINANCE(TRIM(A195), ""price"", TODAY()-34, TODAY()), 2, 2)) - (GOOGLEFINANCE(""NIFTY_50"") / INDEX(GOOGLEFINANCE(""NIFTY_50"", ""price"", TODAY()-34, TODAY()), 2, 2))) * 100, 2), ""Check History"")"),-5.54)</f>
        <v>-5.54</v>
      </c>
      <c r="AA195" s="53" t="str">
        <f t="shared" si="14"/>
        <v>WEAK RS</v>
      </c>
      <c r="AB195" s="53">
        <f>IFERROR(__xludf.DUMMYFUNCTION("IFERROR(LET(
  p, QUERY(GOOGLEFINANCE(TRIM(A195),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Loading"")"),31.1)</f>
        <v>31.1</v>
      </c>
      <c r="AC195" s="53" t="str">
        <f t="shared" si="15"/>
        <v>WEAK MOM</v>
      </c>
      <c r="AD195" s="53" t="str">
        <f>IFERROR(__xludf.DUMMYFUNCTION("IFERROR(IF(GOOGLEFINANCE(A195,""eps"")&gt;0,""EPS+"",""EPS-""),"""")"),"EPS+")</f>
        <v>EPS+</v>
      </c>
      <c r="AE195" s="53">
        <f t="shared" si="16"/>
        <v>6</v>
      </c>
      <c r="AF195" s="53">
        <f>IFERROR(__xludf.DUMMYFUNCTION("IFERROR(N195+IF(S195&gt;=1.2,1,0)+IF(U195&gt;=1,1,0)+IF(Z195&gt;0,1,0)+IF(AND(W195&gt;=-20,W195&lt;=0),1,0)+IF(IFERROR(GOOGLEFINANCE(A195,""eps""),0)&gt;0,1,0),"""")"),4.0)</f>
        <v>4</v>
      </c>
      <c r="AG195" s="53" t="str">
        <f t="shared" si="17"/>
        <v>REVERSE TRADE</v>
      </c>
    </row>
    <row r="196" ht="15.0" customHeight="1">
      <c r="A196" s="43" t="s">
        <v>359</v>
      </c>
      <c r="B196" s="44">
        <f>IFERROR(__xludf.DUMMYFUNCTION("GOOGLEFINANCE(A196,""price"")"),61.3)</f>
        <v>61.3</v>
      </c>
      <c r="C196" s="45">
        <f>IFERROR(__xludf.DUMMYFUNCTION("AVERAGE(QUERY(SORT(GOOGLEFINANCE(A196,""price"",TODAY()-150,TODAY()),1,0),""select Col2 limit 50""))"),98.46720000000003)</f>
        <v>98.4672</v>
      </c>
      <c r="D196" s="45">
        <f>IFERROR(__xludf.DUMMYFUNCTION("AVERAGE(QUERY(SORT(GOOGLEFINANCE(A196,""price"",TODAY()-300,TODAY()),1,0),""select Col2 limit 100""))"),99.69090000000001)</f>
        <v>99.6909</v>
      </c>
      <c r="E196" s="45">
        <f>IFERROR(__xludf.DUMMYFUNCTION("AVERAGE(QUERY(SORT(GOOGLEFINANCE(A196,""price"",TODAY()-500,TODAY()),1,0),""select Col2 limit 200""))"),96.88529999999999)</f>
        <v>96.8853</v>
      </c>
      <c r="F196" s="46" t="str">
        <f t="shared" si="1"/>
        <v>In Bear Run</v>
      </c>
      <c r="G196" s="47">
        <f t="shared" si="2"/>
        <v>-36.72930775</v>
      </c>
      <c r="H196" s="48" t="str">
        <f t="shared" si="3"/>
        <v>Inverted ✗</v>
      </c>
      <c r="I196" s="48">
        <f t="shared" si="4"/>
        <v>0</v>
      </c>
      <c r="J196" s="48">
        <f t="shared" si="5"/>
        <v>0</v>
      </c>
      <c r="K196" s="49" t="str">
        <f>IFERROR(__xludf.DUMMYFUNCTION("IFERROR(IF(A196="""",""ENTER STOCK"",LET(stock,A196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96" s="48">
        <f t="shared" si="6"/>
        <v>0</v>
      </c>
      <c r="M196" s="48">
        <f t="shared" si="7"/>
        <v>1</v>
      </c>
      <c r="N196" s="50">
        <f t="shared" si="8"/>
        <v>1</v>
      </c>
      <c r="O196" s="51" t="s">
        <v>236</v>
      </c>
      <c r="P196" s="46" t="str">
        <f t="shared" si="9"/>
        <v>REVERSE TRADE</v>
      </c>
      <c r="Q196" s="52"/>
      <c r="R196" s="53">
        <f t="shared" si="10"/>
        <v>15</v>
      </c>
      <c r="S196" s="53">
        <f>IFERROR(__xludf.DUMMYFUNCTION("IFERROR(ROUND(GOOGLEFINANCE(A196,""volume"")/GOOGLEFINANCE(A196,""volumeavg""),2),"""")"),0.71)</f>
        <v>0.71</v>
      </c>
      <c r="T196" s="53" t="str">
        <f t="shared" si="11"/>
        <v>LOW VOL</v>
      </c>
      <c r="U196" s="53">
        <f>IFERROR(__xludf.DUMMYFUNCTION("IFERROR(
  LET(
    sd, GOOGLEFINANCE(A196,""close"",TODAY()-100,TODAY()),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"""")"),1.58)</f>
        <v>1.58</v>
      </c>
      <c r="V196" s="53" t="str">
        <f t="shared" si="12"/>
        <v>FAST</v>
      </c>
      <c r="W196" s="53">
        <f>IFERROR(__xludf.DUMMYFUNCTION("IFERROR(ROUND((B196/GOOGLEFINANCE(A196,""high52"")-1)*100,1),"""")"),-48.2)</f>
        <v>-48.2</v>
      </c>
      <c r="X196" s="53">
        <f>IFERROR(__xludf.DUMMYFUNCTION("IFERROR(ROUND((B196-GOOGLEFINANCE(A196,""low52""))/(GOOGLEFINANCE(A196,""high52"")-GOOGLEFINANCE(A196,""low52""))*100,1),"""")"),0.5)</f>
        <v>0.5</v>
      </c>
      <c r="Y196" s="53" t="str">
        <f t="shared" si="13"/>
        <v>DEEP RECOVERY</v>
      </c>
      <c r="Z196" s="53">
        <f>IFERROR(__xludf.DUMMYFUNCTION("IFERROR(ROUND(((B196 / INDEX(GOOGLEFINANCE(TRIM(A196), ""price"", TODAY()-34, TODAY()), 2, 2)) - (GOOGLEFINANCE(""NIFTY_50"") / INDEX(GOOGLEFINANCE(""NIFTY_50"", ""price"", TODAY()-34, TODAY()), 2, 2))) * 100, 2), ""Check History"")"),-33.65)</f>
        <v>-33.65</v>
      </c>
      <c r="AA196" s="53" t="str">
        <f t="shared" si="14"/>
        <v>WEAK RS</v>
      </c>
      <c r="AB196" s="53">
        <f>IFERROR(__xludf.DUMMYFUNCTION("IFERROR(LET(
  p, QUERY(GOOGLEFINANCE(TRIM(A196),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Loading"")"),30.2)</f>
        <v>30.2</v>
      </c>
      <c r="AC196" s="53" t="str">
        <f t="shared" si="15"/>
        <v>WEAK MOM</v>
      </c>
      <c r="AD196" s="53" t="str">
        <f>IFERROR(__xludf.DUMMYFUNCTION("IFERROR(IF(GOOGLEFINANCE(A196,""eps"")&gt;0,""EPS+"",""EPS-""),"""")"),"EPS+")</f>
        <v>EPS+</v>
      </c>
      <c r="AE196" s="53">
        <f t="shared" si="16"/>
        <v>3</v>
      </c>
      <c r="AF196" s="53">
        <f>IFERROR(__xludf.DUMMYFUNCTION("IFERROR(N196+IF(S196&gt;=1.2,1,0)+IF(U196&gt;=1,1,0)+IF(Z196&gt;0,1,0)+IF(AND(W196&gt;=-20,W196&lt;=0),1,0)+IF(IFERROR(GOOGLEFINANCE(A196,""eps""),0)&gt;0,1,0),"""")"),3.0)</f>
        <v>3</v>
      </c>
      <c r="AG196" s="53" t="str">
        <f t="shared" si="17"/>
        <v>REVERSE TRADE</v>
      </c>
    </row>
    <row r="197" ht="15.0" customHeight="1">
      <c r="A197" s="43" t="s">
        <v>360</v>
      </c>
      <c r="B197" s="44">
        <f>IFERROR(__xludf.DUMMYFUNCTION("GOOGLEFINANCE(A197,""price"")"),76.3)</f>
        <v>76.3</v>
      </c>
      <c r="C197" s="45">
        <f>IFERROR(__xludf.DUMMYFUNCTION("AVERAGE(QUERY(SORT(GOOGLEFINANCE(A197,""price"",TODAY()-150,TODAY()),1,0),""select Col2 limit 50""))"),80.37959999999998)</f>
        <v>80.3796</v>
      </c>
      <c r="D197" s="45">
        <f>IFERROR(__xludf.DUMMYFUNCTION("AVERAGE(QUERY(SORT(GOOGLEFINANCE(A197,""price"",TODAY()-300,TODAY()),1,0),""select Col2 limit 100""))"),79.0416)</f>
        <v>79.0416</v>
      </c>
      <c r="E197" s="45">
        <f>IFERROR(__xludf.DUMMYFUNCTION("AVERAGE(QUERY(SORT(GOOGLEFINANCE(A197,""price"",TODAY()-500,TODAY()),1,0),""select Col2 limit 200""))"),75.7989)</f>
        <v>75.7989</v>
      </c>
      <c r="F197" s="46" t="str">
        <f t="shared" si="1"/>
        <v>Unconfirmed</v>
      </c>
      <c r="G197" s="47">
        <f t="shared" si="2"/>
        <v>0.6610913879</v>
      </c>
      <c r="H197" s="48" t="str">
        <f t="shared" si="3"/>
        <v>Golden ✓</v>
      </c>
      <c r="I197" s="48">
        <f t="shared" si="4"/>
        <v>3</v>
      </c>
      <c r="J197" s="48">
        <f t="shared" si="5"/>
        <v>2</v>
      </c>
      <c r="K197" s="49" t="str">
        <f>IFERROR(__xludf.DUMMYFUNCTION("IFERROR(IF(A197="""",""ENTER STOCK"",LET(stock,A197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97" s="48">
        <f t="shared" si="6"/>
        <v>0</v>
      </c>
      <c r="M197" s="48">
        <f t="shared" si="7"/>
        <v>1</v>
      </c>
      <c r="N197" s="50">
        <f t="shared" si="8"/>
        <v>6</v>
      </c>
      <c r="O197" s="51" t="s">
        <v>361</v>
      </c>
      <c r="P197" s="46" t="str">
        <f t="shared" si="9"/>
        <v>WAIT</v>
      </c>
      <c r="Q197" s="52"/>
      <c r="R197" s="53">
        <f t="shared" si="10"/>
        <v>15</v>
      </c>
      <c r="S197" s="53">
        <f>IFERROR(__xludf.DUMMYFUNCTION("IFERROR(ROUND(GOOGLEFINANCE(A197,""volume"")/GOOGLEFINANCE(A197,""volumeavg""),2),"""")"),0.94)</f>
        <v>0.94</v>
      </c>
      <c r="T197" s="53" t="str">
        <f t="shared" si="11"/>
        <v>LOW VOL</v>
      </c>
      <c r="U197" s="53">
        <f>IFERROR(__xludf.DUMMYFUNCTION("IFERROR(
  LET(
    sd, GOOGLEFINANCE(A197,""close"",TODAY()-100,TODAY()),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"""")"),1.11)</f>
        <v>1.11</v>
      </c>
      <c r="V197" s="53" t="str">
        <f t="shared" si="12"/>
        <v>MEDIUM</v>
      </c>
      <c r="W197" s="53">
        <f>IFERROR(__xludf.DUMMYFUNCTION("IFERROR(ROUND((B197/GOOGLEFINANCE(A197,""high52"")-1)*100,1),"""")"),-12.0)</f>
        <v>-12</v>
      </c>
      <c r="X197" s="53">
        <f>IFERROR(__xludf.DUMMYFUNCTION("IFERROR(ROUND((B197-GOOGLEFINANCE(A197,""low52""))/(GOOGLEFINANCE(A197,""high52"")-GOOGLEFINANCE(A197,""low52""))*100,1),"""")"),61.7)</f>
        <v>61.7</v>
      </c>
      <c r="Y197" s="53" t="str">
        <f t="shared" si="13"/>
        <v>UPPER</v>
      </c>
      <c r="Z197" s="53">
        <f>IFERROR(__xludf.DUMMYFUNCTION("IFERROR(ROUND(((B197 / INDEX(GOOGLEFINANCE(TRIM(A197), ""price"", TODAY()-34, TODAY()), 2, 2)) - (GOOGLEFINANCE(""NIFTY_50"") / INDEX(GOOGLEFINANCE(""NIFTY_50"", ""price"", TODAY()-34, TODAY()), 2, 2))) * 100, 2), ""Check History"")"),6.6)</f>
        <v>6.6</v>
      </c>
      <c r="AA197" s="53" t="str">
        <f t="shared" si="14"/>
        <v>STRONG RS</v>
      </c>
      <c r="AB197" s="53">
        <f>IFERROR(__xludf.DUMMYFUNCTION("IFERROR(LET(
  p, QUERY(GOOGLEFINANCE(TRIM(A197),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Loading"")"),35.8)</f>
        <v>35.8</v>
      </c>
      <c r="AC197" s="53" t="str">
        <f t="shared" si="15"/>
        <v>WEAK MOM</v>
      </c>
      <c r="AD197" s="53" t="str">
        <f>IFERROR(__xludf.DUMMYFUNCTION("IFERROR(IF(GOOGLEFINANCE(A197,""eps"")&gt;0,""EPS+"",""EPS-""),"""")"),"EPS+")</f>
        <v>EPS+</v>
      </c>
      <c r="AE197" s="53">
        <f t="shared" si="16"/>
        <v>5</v>
      </c>
      <c r="AF197" s="53">
        <f>IFERROR(__xludf.DUMMYFUNCTION("IFERROR(N197+IF(S197&gt;=1.2,1,0)+IF(U197&gt;=1,1,0)+IF(Z197&gt;0,1,0)+IF(AND(W197&gt;=-20,W197&lt;=0),1,0)+IF(IFERROR(GOOGLEFINANCE(A197,""eps""),0)&gt;0,1,0),"""")"),10.0)</f>
        <v>10</v>
      </c>
      <c r="AG197" s="53" t="str">
        <f t="shared" si="17"/>
        <v>WAIT</v>
      </c>
    </row>
    <row r="198" ht="15.0" customHeight="1">
      <c r="A198" s="43" t="s">
        <v>362</v>
      </c>
      <c r="B198" s="44">
        <f>IFERROR(__xludf.DUMMYFUNCTION("GOOGLEFINANCE(A198,""price"")"),3834.1)</f>
        <v>3834.1</v>
      </c>
      <c r="C198" s="45">
        <f>IFERROR(__xludf.DUMMYFUNCTION("AVERAGE(QUERY(SORT(GOOGLEFINANCE(A198,""price"",TODAY()-150,TODAY()),1,0),""select Col2 limit 50""))"),3916.5360000000005)</f>
        <v>3916.536</v>
      </c>
      <c r="D198" s="45">
        <f>IFERROR(__xludf.DUMMYFUNCTION("AVERAGE(QUERY(SORT(GOOGLEFINANCE(A198,""price"",TODAY()-300,TODAY()),1,0),""select Col2 limit 100""))"),3919.079999999999)</f>
        <v>3919.08</v>
      </c>
      <c r="E198" s="45">
        <f>IFERROR(__xludf.DUMMYFUNCTION("AVERAGE(QUERY(SORT(GOOGLEFINANCE(A198,""price"",TODAY()-500,TODAY()),1,0),""select Col2 limit 200""))"),3974.6075000000023)</f>
        <v>3974.6075</v>
      </c>
      <c r="F198" s="46" t="str">
        <f t="shared" si="1"/>
        <v>In Bear Run</v>
      </c>
      <c r="G198" s="47">
        <f t="shared" si="2"/>
        <v>-3.53512894</v>
      </c>
      <c r="H198" s="48" t="str">
        <f t="shared" si="3"/>
        <v>Inverted ✗</v>
      </c>
      <c r="I198" s="48">
        <f t="shared" si="4"/>
        <v>0</v>
      </c>
      <c r="J198" s="48">
        <f t="shared" si="5"/>
        <v>0</v>
      </c>
      <c r="K198" s="49" t="str">
        <f>IFERROR(__xludf.DUMMYFUNCTION("IFERROR(IF(A198="""",""ENTER STOCK"",LET(stock,A198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98" s="48">
        <f t="shared" si="6"/>
        <v>0</v>
      </c>
      <c r="M198" s="48">
        <f t="shared" si="7"/>
        <v>1</v>
      </c>
      <c r="N198" s="50">
        <f t="shared" si="8"/>
        <v>1</v>
      </c>
      <c r="O198" s="51" t="s">
        <v>198</v>
      </c>
      <c r="P198" s="46" t="str">
        <f t="shared" si="9"/>
        <v>REVERSE TRADE</v>
      </c>
      <c r="Q198" s="52"/>
      <c r="R198" s="53">
        <f t="shared" si="10"/>
        <v>15</v>
      </c>
      <c r="S198" s="53">
        <f>IFERROR(__xludf.DUMMYFUNCTION("IFERROR(ROUND(GOOGLEFINANCE(A198,""volume"")/GOOGLEFINANCE(A198,""volumeavg""),2),"""")"),0.7)</f>
        <v>0.7</v>
      </c>
      <c r="T198" s="53" t="str">
        <f t="shared" si="11"/>
        <v>LOW VOL</v>
      </c>
      <c r="U198" s="53">
        <f>IFERROR(__xludf.DUMMYFUNCTION("IFERROR(
  LET(
    sd, GOOGLEFINANCE(A198,""close"",TODAY()-100,TODAY()),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"""")"),1.4)</f>
        <v>1.4</v>
      </c>
      <c r="V198" s="53" t="str">
        <f t="shared" si="12"/>
        <v>FAST</v>
      </c>
      <c r="W198" s="53">
        <f>IFERROR(__xludf.DUMMYFUNCTION("IFERROR(ROUND((B198/GOOGLEFINANCE(A198,""high52"")-1)*100,1),"""")"),-14.2)</f>
        <v>-14.2</v>
      </c>
      <c r="X198" s="53">
        <f>IFERROR(__xludf.DUMMYFUNCTION("IFERROR(ROUND((B198-GOOGLEFINANCE(A198,""low52""))/(GOOGLEFINANCE(A198,""high52"")-GOOGLEFINANCE(A198,""low52""))*100,1),"""")"),61.5)</f>
        <v>61.5</v>
      </c>
      <c r="Y198" s="53" t="str">
        <f t="shared" si="13"/>
        <v>UPPER</v>
      </c>
      <c r="Z198" s="53">
        <f>IFERROR(__xludf.DUMMYFUNCTION("IFERROR(ROUND(((B198 / INDEX(GOOGLEFINANCE(TRIM(A198), ""price"", TODAY()-34, TODAY()), 2, 2)) - (GOOGLEFINANCE(""NIFTY_50"") / INDEX(GOOGLEFINANCE(""NIFTY_50"", ""price"", TODAY()-34, TODAY()), 2, 2))) * 100, 2), ""Check History"")"),6.03)</f>
        <v>6.03</v>
      </c>
      <c r="AA198" s="53" t="str">
        <f t="shared" si="14"/>
        <v>STRONG RS</v>
      </c>
      <c r="AB198" s="53">
        <f>IFERROR(__xludf.DUMMYFUNCTION("IFERROR(LET(
  p, QUERY(GOOGLEFINANCE(TRIM(A198),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Loading"")"),54.1)</f>
        <v>54.1</v>
      </c>
      <c r="AC198" s="53" t="str">
        <f t="shared" si="15"/>
        <v>IDEAL ENTRY</v>
      </c>
      <c r="AD198" s="53" t="str">
        <f>IFERROR(__xludf.DUMMYFUNCTION("IFERROR(IF(GOOGLEFINANCE(A198,""eps"")&gt;0,""EPS+"",""EPS-""),"""")"),"EPS+")</f>
        <v>EPS+</v>
      </c>
      <c r="AE198" s="53">
        <f t="shared" si="16"/>
        <v>6</v>
      </c>
      <c r="AF198" s="53">
        <f>IFERROR(__xludf.DUMMYFUNCTION("IFERROR(N198+IF(S198&gt;=1.2,1,0)+IF(U198&gt;=1,1,0)+IF(Z198&gt;0,1,0)+IF(AND(W198&gt;=-20,W198&lt;=0),1,0)+IF(IFERROR(GOOGLEFINANCE(A198,""eps""),0)&gt;0,1,0),"""")"),5.0)</f>
        <v>5</v>
      </c>
      <c r="AG198" s="53" t="str">
        <f t="shared" si="17"/>
        <v>REVERSE TRADE</v>
      </c>
    </row>
    <row r="199" ht="15.0" customHeight="1">
      <c r="A199" s="43" t="s">
        <v>363</v>
      </c>
      <c r="B199" s="44">
        <f>IFERROR(__xludf.DUMMYFUNCTION("GOOGLEFINANCE(A199,""price"")"),1307.0)</f>
        <v>1307</v>
      </c>
      <c r="C199" s="45">
        <f>IFERROR(__xludf.DUMMYFUNCTION("AVERAGE(QUERY(SORT(GOOGLEFINANCE(A199,""price"",TODAY()-150,TODAY()),1,0),""select Col2 limit 50""))"),1429.3499999999997)</f>
        <v>1429.35</v>
      </c>
      <c r="D199" s="45">
        <f>IFERROR(__xludf.DUMMYFUNCTION("AVERAGE(QUERY(SORT(GOOGLEFINANCE(A199,""price"",TODAY()-300,TODAY()),1,0),""select Col2 limit 100""))"),1368.509)</f>
        <v>1368.509</v>
      </c>
      <c r="E199" s="45">
        <f>IFERROR(__xludf.DUMMYFUNCTION("AVERAGE(QUERY(SORT(GOOGLEFINANCE(A199,""price"",TODAY()-500,TODAY()),1,0),""select Col2 limit 200""))"),1348.8365)</f>
        <v>1348.8365</v>
      </c>
      <c r="F199" s="46" t="str">
        <f t="shared" si="1"/>
        <v>In Bear Run</v>
      </c>
      <c r="G199" s="47">
        <f t="shared" si="2"/>
        <v>-3.101673183</v>
      </c>
      <c r="H199" s="48" t="str">
        <f t="shared" si="3"/>
        <v>Golden ✓</v>
      </c>
      <c r="I199" s="48">
        <f t="shared" si="4"/>
        <v>3</v>
      </c>
      <c r="J199" s="48">
        <f t="shared" si="5"/>
        <v>0</v>
      </c>
      <c r="K199" s="49" t="str">
        <f>IFERROR(__xludf.DUMMYFUNCTION("IFERROR(IF(A199="""",""ENTER STOCK"",LET(stock,A199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199" s="48">
        <f t="shared" si="6"/>
        <v>0</v>
      </c>
      <c r="M199" s="48">
        <f t="shared" si="7"/>
        <v>1</v>
      </c>
      <c r="N199" s="50">
        <f t="shared" si="8"/>
        <v>4</v>
      </c>
      <c r="O199" s="51" t="s">
        <v>295</v>
      </c>
      <c r="P199" s="46" t="str">
        <f t="shared" si="9"/>
        <v>REVERSE TRADE</v>
      </c>
      <c r="Q199" s="52"/>
      <c r="R199" s="53">
        <f t="shared" si="10"/>
        <v>15</v>
      </c>
      <c r="S199" s="53">
        <f>IFERROR(__xludf.DUMMYFUNCTION("IFERROR(ROUND(GOOGLEFINANCE(A199,""volume"")/GOOGLEFINANCE(A199,""volumeavg""),2),"""")"),1.48)</f>
        <v>1.48</v>
      </c>
      <c r="T199" s="53" t="str">
        <f t="shared" si="11"/>
        <v>OK VOL</v>
      </c>
      <c r="U199" s="53">
        <f>IFERROR(__xludf.DUMMYFUNCTION("IFERROR(
  LET(
    sd, GOOGLEFINANCE(A199,""close"",TODAY()-100,TODAY()),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"""")"),1.31)</f>
        <v>1.31</v>
      </c>
      <c r="V199" s="53" t="str">
        <f t="shared" si="12"/>
        <v>FAST</v>
      </c>
      <c r="W199" s="53">
        <f>IFERROR(__xludf.DUMMYFUNCTION("IFERROR(ROUND((B199/GOOGLEFINANCE(A199,""high52"")-1)*100,1),"""")"),-20.3)</f>
        <v>-20.3</v>
      </c>
      <c r="X199" s="53">
        <f>IFERROR(__xludf.DUMMYFUNCTION("IFERROR(ROUND((B199-GOOGLEFINANCE(A199,""low52""))/(GOOGLEFINANCE(A199,""high52"")-GOOGLEFINANCE(A199,""low52""))*100,1),"""")"),26.3)</f>
        <v>26.3</v>
      </c>
      <c r="Y199" s="53" t="str">
        <f t="shared" si="13"/>
        <v>MID</v>
      </c>
      <c r="Z199" s="53">
        <f>IFERROR(__xludf.DUMMYFUNCTION("IFERROR(ROUND(((B199 / INDEX(GOOGLEFINANCE(TRIM(A199), ""price"", TODAY()-34, TODAY()), 2, 2)) - (GOOGLEFINANCE(""NIFTY_50"") / INDEX(GOOGLEFINANCE(""NIFTY_50"", ""price"", TODAY()-34, TODAY()), 2, 2))) * 100, 2), ""Check History"")"),-3.06)</f>
        <v>-3.06</v>
      </c>
      <c r="AA199" s="53" t="str">
        <f t="shared" si="14"/>
        <v>WEAK RS</v>
      </c>
      <c r="AB199" s="53">
        <f>IFERROR(__xludf.DUMMYFUNCTION("IFERROR(LET(
  p, QUERY(GOOGLEFINANCE(TRIM(A199),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Loading"")"),40.9)</f>
        <v>40.9</v>
      </c>
      <c r="AC199" s="53" t="str">
        <f t="shared" si="15"/>
        <v>WEAK MOM</v>
      </c>
      <c r="AD199" s="53" t="str">
        <f>IFERROR(__xludf.DUMMYFUNCTION("IFERROR(IF(GOOGLEFINANCE(A199,""eps"")&gt;0,""EPS+"",""EPS-""),"""")"),"EPS+")</f>
        <v>EPS+</v>
      </c>
      <c r="AE199" s="53">
        <f t="shared" si="16"/>
        <v>5</v>
      </c>
      <c r="AF199" s="53">
        <f>IFERROR(__xludf.DUMMYFUNCTION("IFERROR(N199+IF(S199&gt;=1.2,1,0)+IF(U199&gt;=1,1,0)+IF(Z199&gt;0,1,0)+IF(AND(W199&gt;=-20,W199&lt;=0),1,0)+IF(IFERROR(GOOGLEFINANCE(A199,""eps""),0)&gt;0,1,0),"""")"),7.0)</f>
        <v>7</v>
      </c>
      <c r="AG199" s="53" t="str">
        <f t="shared" si="17"/>
        <v>REVERSE TRADE</v>
      </c>
    </row>
    <row r="200" ht="15.0" customHeight="1">
      <c r="A200" s="43" t="s">
        <v>364</v>
      </c>
      <c r="B200" s="44">
        <f>IFERROR(__xludf.DUMMYFUNCTION("GOOGLEFINANCE(A200,""price"")"),1280.0)</f>
        <v>1280</v>
      </c>
      <c r="C200" s="45">
        <f>IFERROR(__xludf.DUMMYFUNCTION("AVERAGE(QUERY(SORT(GOOGLEFINANCE(A200,""price"",TODAY()-150,TODAY()),1,0),""select Col2 limit 50""))"),1426.1059999999998)</f>
        <v>1426.106</v>
      </c>
      <c r="D200" s="45">
        <f>IFERROR(__xludf.DUMMYFUNCTION("AVERAGE(QUERY(SORT(GOOGLEFINANCE(A200,""price"",TODAY()-300,TODAY()),1,0),""select Col2 limit 100""))"),1403.2159999999994)</f>
        <v>1403.216</v>
      </c>
      <c r="E200" s="45">
        <f>IFERROR(__xludf.DUMMYFUNCTION("AVERAGE(QUERY(SORT(GOOGLEFINANCE(A200,""price"",TODAY()-500,TODAY()),1,0),""select Col2 limit 200""))"),1382.8854999999999)</f>
        <v>1382.8855</v>
      </c>
      <c r="F200" s="46" t="str">
        <f t="shared" si="1"/>
        <v>In Bear Run</v>
      </c>
      <c r="G200" s="47">
        <f t="shared" si="2"/>
        <v>-7.439914584</v>
      </c>
      <c r="H200" s="48" t="str">
        <f t="shared" si="3"/>
        <v>Golden ✓</v>
      </c>
      <c r="I200" s="48">
        <f t="shared" si="4"/>
        <v>3</v>
      </c>
      <c r="J200" s="48">
        <f t="shared" si="5"/>
        <v>0</v>
      </c>
      <c r="K200" s="49" t="str">
        <f>IFERROR(__xludf.DUMMYFUNCTION("IFERROR(IF(A200="""",""ENTER STOCK"",LET(stock,A200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00" s="48">
        <f t="shared" si="6"/>
        <v>0</v>
      </c>
      <c r="M200" s="48">
        <f t="shared" si="7"/>
        <v>1</v>
      </c>
      <c r="N200" s="50">
        <f t="shared" si="8"/>
        <v>4</v>
      </c>
      <c r="O200" s="51" t="s">
        <v>175</v>
      </c>
      <c r="P200" s="46" t="str">
        <f t="shared" si="9"/>
        <v>REVERSE TRADE</v>
      </c>
      <c r="Q200" s="52"/>
      <c r="R200" s="53">
        <f t="shared" si="10"/>
        <v>15</v>
      </c>
      <c r="S200" s="53">
        <f>IFERROR(__xludf.DUMMYFUNCTION("IFERROR(ROUND(GOOGLEFINANCE(A200,""volume"")/GOOGLEFINANCE(A200,""volumeavg""),2),"""")"),1.79)</f>
        <v>1.79</v>
      </c>
      <c r="T200" s="53" t="str">
        <f t="shared" si="11"/>
        <v>HIGH VOL</v>
      </c>
      <c r="U200" s="53">
        <f>IFERROR(__xludf.DUMMYFUNCTION("IFERROR(
  LET(
    sd, GOOGLEFINANCE(A200,""close"",TODAY()-100,TODAY()),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"""")"),1.54)</f>
        <v>1.54</v>
      </c>
      <c r="V200" s="53" t="str">
        <f t="shared" si="12"/>
        <v>FAST</v>
      </c>
      <c r="W200" s="53">
        <f>IFERROR(__xludf.DUMMYFUNCTION("IFERROR(ROUND((B200/GOOGLEFINANCE(A200,""high52"")-1)*100,1),"""")"),-19.1)</f>
        <v>-19.1</v>
      </c>
      <c r="X200" s="53">
        <f>IFERROR(__xludf.DUMMYFUNCTION("IFERROR(ROUND((B200-GOOGLEFINANCE(A200,""low52""))/(GOOGLEFINANCE(A200,""high52"")-GOOGLEFINANCE(A200,""low52""))*100,1),"""")"),22.9)</f>
        <v>22.9</v>
      </c>
      <c r="Y200" s="53" t="str">
        <f t="shared" si="13"/>
        <v>UPPER</v>
      </c>
      <c r="Z200" s="53">
        <f>IFERROR(__xludf.DUMMYFUNCTION("IFERROR(ROUND(((B200 / INDEX(GOOGLEFINANCE(TRIM(A200), ""price"", TODAY()-34, TODAY()), 2, 2)) - (GOOGLEFINANCE(""NIFTY_50"") / INDEX(GOOGLEFINANCE(""NIFTY_50"", ""price"", TODAY()-34, TODAY()), 2, 2))) * 100, 2), ""Check History"")"),-4.61)</f>
        <v>-4.61</v>
      </c>
      <c r="AA200" s="53" t="str">
        <f t="shared" si="14"/>
        <v>WEAK RS</v>
      </c>
      <c r="AB200" s="53">
        <f>IFERROR(__xludf.DUMMYFUNCTION("IFERROR(LET(
  p, QUERY(GOOGLEFINANCE(TRIM(A200),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Loading"")"),40.4)</f>
        <v>40.4</v>
      </c>
      <c r="AC200" s="53" t="str">
        <f t="shared" si="15"/>
        <v>WEAK MOM</v>
      </c>
      <c r="AD200" s="53" t="str">
        <f>IFERROR(__xludf.DUMMYFUNCTION("IFERROR(IF(GOOGLEFINANCE(A200,""eps"")&gt;0,""EPS+"",""EPS-""),"""")"),"EPS+")</f>
        <v>EPS+</v>
      </c>
      <c r="AE200" s="53">
        <f t="shared" si="16"/>
        <v>6</v>
      </c>
      <c r="AF200" s="53">
        <f>IFERROR(__xludf.DUMMYFUNCTION("IFERROR(N200+IF(S200&gt;=1.2,1,0)+IF(U200&gt;=1,1,0)+IF(Z200&gt;0,1,0)+IF(AND(W200&gt;=-20,W200&lt;=0),1,0)+IF(IFERROR(GOOGLEFINANCE(A200,""eps""),0)&gt;0,1,0),"""")"),8.0)</f>
        <v>8</v>
      </c>
      <c r="AG200" s="53" t="str">
        <f t="shared" si="17"/>
        <v>REVERSE TRADE</v>
      </c>
    </row>
    <row r="201" ht="15.0" customHeight="1">
      <c r="A201" s="43" t="s">
        <v>365</v>
      </c>
      <c r="B201" s="44">
        <f>IFERROR(__xludf.DUMMYFUNCTION("GOOGLEFINANCE(A201,""price"")"),1168.4)</f>
        <v>1168.4</v>
      </c>
      <c r="C201" s="45">
        <f>IFERROR(__xludf.DUMMYFUNCTION("AVERAGE(QUERY(SORT(GOOGLEFINANCE(A201,""price"",TODAY()-150,TODAY()),1,0),""select Col2 limit 50""))"),1306.1580000000001)</f>
        <v>1306.158</v>
      </c>
      <c r="D201" s="45">
        <f>IFERROR(__xludf.DUMMYFUNCTION("AVERAGE(QUERY(SORT(GOOGLEFINANCE(A201,""price"",TODAY()-300,TODAY()),1,0),""select Col2 limit 100""))"),1282.013)</f>
        <v>1282.013</v>
      </c>
      <c r="E201" s="45">
        <f>IFERROR(__xludf.DUMMYFUNCTION("AVERAGE(QUERY(SORT(GOOGLEFINANCE(A201,""price"",TODAY()-500,TODAY()),1,0),""select Col2 limit 200""))"),1212.8074999999997)</f>
        <v>1212.8075</v>
      </c>
      <c r="F201" s="46" t="str">
        <f t="shared" si="1"/>
        <v>In Bear Run</v>
      </c>
      <c r="G201" s="47">
        <f t="shared" si="2"/>
        <v>-3.661545629</v>
      </c>
      <c r="H201" s="48" t="str">
        <f t="shared" si="3"/>
        <v>Golden ✓</v>
      </c>
      <c r="I201" s="48">
        <f t="shared" si="4"/>
        <v>3</v>
      </c>
      <c r="J201" s="48">
        <f t="shared" si="5"/>
        <v>0</v>
      </c>
      <c r="K201" s="49" t="str">
        <f>IFERROR(__xludf.DUMMYFUNCTION("IFERROR(IF(A201="""",""ENTER STOCK"",LET(stock,A201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01" s="48">
        <f t="shared" si="6"/>
        <v>0</v>
      </c>
      <c r="M201" s="48">
        <f t="shared" si="7"/>
        <v>1</v>
      </c>
      <c r="N201" s="50">
        <f t="shared" si="8"/>
        <v>4</v>
      </c>
      <c r="O201" s="51" t="s">
        <v>236</v>
      </c>
      <c r="P201" s="46" t="str">
        <f t="shared" si="9"/>
        <v>REVERSE TRADE</v>
      </c>
      <c r="Q201" s="52"/>
      <c r="R201" s="53">
        <f t="shared" si="10"/>
        <v>15</v>
      </c>
      <c r="S201" s="53">
        <f>IFERROR(__xludf.DUMMYFUNCTION("IFERROR(ROUND(GOOGLEFINANCE(A201,""volume"")/GOOGLEFINANCE(A201,""volumeavg""),2),"""")"),2.87)</f>
        <v>2.87</v>
      </c>
      <c r="T201" s="53" t="str">
        <f t="shared" si="11"/>
        <v>HIGH VOL</v>
      </c>
      <c r="U201" s="53">
        <f>IFERROR(__xludf.DUMMYFUNCTION("IFERROR(
  LET(
    sd, GOOGLEFINANCE(A201,""close"",TODAY()-100,TODAY()),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"""")"),1.3)</f>
        <v>1.3</v>
      </c>
      <c r="V201" s="53" t="str">
        <f t="shared" si="12"/>
        <v>FAST</v>
      </c>
      <c r="W201" s="53">
        <f>IFERROR(__xludf.DUMMYFUNCTION("IFERROR(ROUND((B201/GOOGLEFINANCE(A201,""high52"")-1)*100,1),"""")"),-17.6)</f>
        <v>-17.6</v>
      </c>
      <c r="X201" s="53">
        <f>IFERROR(__xludf.DUMMYFUNCTION("IFERROR(ROUND((B201-GOOGLEFINANCE(A201,""low52""))/(GOOGLEFINANCE(A201,""high52"")-GOOGLEFINANCE(A201,""low52""))*100,1),"""")"),35.3)</f>
        <v>35.3</v>
      </c>
      <c r="Y201" s="53" t="str">
        <f t="shared" si="13"/>
        <v>UPPER</v>
      </c>
      <c r="Z201" s="53">
        <f>IFERROR(__xludf.DUMMYFUNCTION("IFERROR(ROUND(((B201 / INDEX(GOOGLEFINANCE(TRIM(A201), ""price"", TODAY()-34, TODAY()), 2, 2)) - (GOOGLEFINANCE(""NIFTY_50"") / INDEX(GOOGLEFINANCE(""NIFTY_50"", ""price"", TODAY()-34, TODAY()), 2, 2))) * 100, 2), ""Check History"")"),-3.63)</f>
        <v>-3.63</v>
      </c>
      <c r="AA201" s="53" t="str">
        <f t="shared" si="14"/>
        <v>WEAK RS</v>
      </c>
      <c r="AB201" s="53">
        <f>IFERROR(__xludf.DUMMYFUNCTION("IFERROR(LET(
  p, QUERY(GOOGLEFINANCE(TRIM(A201),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Loading"")"),40.6)</f>
        <v>40.6</v>
      </c>
      <c r="AC201" s="53" t="str">
        <f t="shared" si="15"/>
        <v>WEAK MOM</v>
      </c>
      <c r="AD201" s="53" t="str">
        <f>IFERROR(__xludf.DUMMYFUNCTION("IFERROR(IF(GOOGLEFINANCE(A201,""eps"")&gt;0,""EPS+"",""EPS-""),"""")"),"EPS+")</f>
        <v>EPS+</v>
      </c>
      <c r="AE201" s="53">
        <f t="shared" si="16"/>
        <v>6</v>
      </c>
      <c r="AF201" s="53">
        <f>IFERROR(__xludf.DUMMYFUNCTION("IFERROR(N201+IF(S201&gt;=1.2,1,0)+IF(U201&gt;=1,1,0)+IF(Z201&gt;0,1,0)+IF(AND(W201&gt;=-20,W201&lt;=0),1,0)+IF(IFERROR(GOOGLEFINANCE(A201,""eps""),0)&gt;0,1,0),"""")"),8.0)</f>
        <v>8</v>
      </c>
      <c r="AG201" s="53" t="str">
        <f t="shared" si="17"/>
        <v>REVERSE TRADE</v>
      </c>
    </row>
    <row r="202" ht="15.0" customHeight="1">
      <c r="A202" s="43" t="s">
        <v>366</v>
      </c>
      <c r="B202" s="44">
        <f>IFERROR(__xludf.DUMMYFUNCTION("GOOGLEFINANCE(A202,""price"")"),2684.5)</f>
        <v>2684.5</v>
      </c>
      <c r="C202" s="45">
        <f>IFERROR(__xludf.DUMMYFUNCTION("AVERAGE(QUERY(SORT(GOOGLEFINANCE(A202,""price"",TODAY()-150,TODAY()),1,0),""select Col2 limit 50""))"),2818.9460000000004)</f>
        <v>2818.946</v>
      </c>
      <c r="D202" s="45">
        <f>IFERROR(__xludf.DUMMYFUNCTION("AVERAGE(QUERY(SORT(GOOGLEFINANCE(A202,""price"",TODAY()-300,TODAY()),1,0),""select Col2 limit 100""))"),2773.4279999999994)</f>
        <v>2773.428</v>
      </c>
      <c r="E202" s="45">
        <f>IFERROR(__xludf.DUMMYFUNCTION("AVERAGE(QUERY(SORT(GOOGLEFINANCE(A202,""price"",TODAY()-500,TODAY()),1,0),""select Col2 limit 200""))"),2602.4170000000004)</f>
        <v>2602.417</v>
      </c>
      <c r="F202" s="46" t="str">
        <f t="shared" si="1"/>
        <v>Unconfirmed</v>
      </c>
      <c r="G202" s="47">
        <f t="shared" si="2"/>
        <v>3.154106356</v>
      </c>
      <c r="H202" s="48" t="str">
        <f t="shared" si="3"/>
        <v>Golden ✓</v>
      </c>
      <c r="I202" s="48">
        <f t="shared" si="4"/>
        <v>3</v>
      </c>
      <c r="J202" s="48">
        <f t="shared" si="5"/>
        <v>4</v>
      </c>
      <c r="K202" s="49" t="str">
        <f>IFERROR(__xludf.DUMMYFUNCTION("IFERROR(IF(A202="""",""ENTER STOCK"",LET(stock,A202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02" s="48">
        <f t="shared" si="6"/>
        <v>0</v>
      </c>
      <c r="M202" s="48">
        <f t="shared" si="7"/>
        <v>1</v>
      </c>
      <c r="N202" s="50">
        <f t="shared" si="8"/>
        <v>8</v>
      </c>
      <c r="O202" s="51" t="s">
        <v>173</v>
      </c>
      <c r="P202" s="46" t="str">
        <f t="shared" si="9"/>
        <v>WAIT</v>
      </c>
      <c r="Q202" s="52"/>
      <c r="R202" s="53">
        <f t="shared" si="10"/>
        <v>15</v>
      </c>
      <c r="S202" s="53">
        <f>IFERROR(__xludf.DUMMYFUNCTION("IFERROR(ROUND(GOOGLEFINANCE(A202,""volume"")/GOOGLEFINANCE(A202,""volumeavg""),2),"""")"),0.88)</f>
        <v>0.88</v>
      </c>
      <c r="T202" s="53" t="str">
        <f t="shared" si="11"/>
        <v>LOW VOL</v>
      </c>
      <c r="U202" s="53">
        <f>IFERROR(__xludf.DUMMYFUNCTION("IFERROR(
  LET(
    sd, GOOGLEFINANCE(A202,""close"",TODAY()-100,TODAY()),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"""")"),1.54)</f>
        <v>1.54</v>
      </c>
      <c r="V202" s="53" t="str">
        <f t="shared" si="12"/>
        <v>FAST</v>
      </c>
      <c r="W202" s="53">
        <f>IFERROR(__xludf.DUMMYFUNCTION("IFERROR(ROUND((B202/GOOGLEFINANCE(A202,""high52"")-1)*100,1),"""")"),-16.8)</f>
        <v>-16.8</v>
      </c>
      <c r="X202" s="53">
        <f>IFERROR(__xludf.DUMMYFUNCTION("IFERROR(ROUND((B202-GOOGLEFINANCE(A202,""low52""))/(GOOGLEFINANCE(A202,""high52"")-GOOGLEFINANCE(A202,""low52""))*100,1),"""")"),65.4)</f>
        <v>65.4</v>
      </c>
      <c r="Y202" s="53" t="str">
        <f t="shared" si="13"/>
        <v>UPPER</v>
      </c>
      <c r="Z202" s="53">
        <f>IFERROR(__xludf.DUMMYFUNCTION("IFERROR(ROUND(((B202 / INDEX(GOOGLEFINANCE(TRIM(A202), ""price"", TODAY()-34, TODAY()), 2, 2)) - (GOOGLEFINANCE(""NIFTY_50"") / INDEX(GOOGLEFINANCE(""NIFTY_50"", ""price"", TODAY()-34, TODAY()), 2, 2))) * 100, 2), ""Check History"")"),9.75)</f>
        <v>9.75</v>
      </c>
      <c r="AA202" s="53" t="str">
        <f t="shared" si="14"/>
        <v>STRONG RS</v>
      </c>
      <c r="AB202" s="53">
        <f>IFERROR(__xludf.DUMMYFUNCTION("IFERROR(LET(
  p, QUERY(GOOGLEFINANCE(TRIM(A202),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Loading"")"),45.9)</f>
        <v>45.9</v>
      </c>
      <c r="AC202" s="53" t="str">
        <f t="shared" si="15"/>
        <v>IDEAL ENTRY</v>
      </c>
      <c r="AD202" s="53" t="str">
        <f>IFERROR(__xludf.DUMMYFUNCTION("IFERROR(IF(GOOGLEFINANCE(A202,""eps"")&gt;0,""EPS+"",""EPS-""),"""")"),"EPS+")</f>
        <v>EPS+</v>
      </c>
      <c r="AE202" s="53">
        <f t="shared" si="16"/>
        <v>6</v>
      </c>
      <c r="AF202" s="53">
        <f>IFERROR(__xludf.DUMMYFUNCTION("IFERROR(N202+IF(S202&gt;=1.2,1,0)+IF(U202&gt;=1,1,0)+IF(Z202&gt;0,1,0)+IF(AND(W202&gt;=-20,W202&lt;=0),1,0)+IF(IFERROR(GOOGLEFINANCE(A202,""eps""),0)&gt;0,1,0),"""")"),12.0)</f>
        <v>12</v>
      </c>
      <c r="AG202" s="53" t="str">
        <f t="shared" si="17"/>
        <v>WAIT</v>
      </c>
    </row>
    <row r="203" ht="15.0" customHeight="1">
      <c r="A203" s="43" t="s">
        <v>367</v>
      </c>
      <c r="B203" s="44">
        <f>IFERROR(__xludf.DUMMYFUNCTION("GOOGLEFINANCE(A203,""price"")"),1762.0)</f>
        <v>1762</v>
      </c>
      <c r="C203" s="45">
        <f>IFERROR(__xludf.DUMMYFUNCTION("AVERAGE(QUERY(SORT(GOOGLEFINANCE(A203,""price"",TODAY()-150,TODAY()),1,0),""select Col2 limit 50""))"),1723.3179999999995)</f>
        <v>1723.318</v>
      </c>
      <c r="D203" s="45">
        <f>IFERROR(__xludf.DUMMYFUNCTION("AVERAGE(QUERY(SORT(GOOGLEFINANCE(A203,""price"",TODAY()-300,TODAY()),1,0),""select Col2 limit 100""))"),1741.2149999999988)</f>
        <v>1741.215</v>
      </c>
      <c r="E203" s="45">
        <f>IFERROR(__xludf.DUMMYFUNCTION("AVERAGE(QUERY(SORT(GOOGLEFINANCE(A203,""price"",TODAY()-500,TODAY()),1,0),""select Col2 limit 200""))"),1696.461)</f>
        <v>1696.461</v>
      </c>
      <c r="F203" s="46" t="str">
        <f t="shared" si="1"/>
        <v>In Bull Run</v>
      </c>
      <c r="G203" s="47">
        <f t="shared" si="2"/>
        <v>3.863277729</v>
      </c>
      <c r="H203" s="48" t="str">
        <f t="shared" si="3"/>
        <v>Inverted ✗</v>
      </c>
      <c r="I203" s="48">
        <f t="shared" si="4"/>
        <v>0</v>
      </c>
      <c r="J203" s="48">
        <f t="shared" si="5"/>
        <v>4</v>
      </c>
      <c r="K203" s="49" t="str">
        <f>IFERROR(__xludf.DUMMYFUNCTION("IFERROR(IF(A203="""",""ENTER STOCK"",LET(stock,A203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FOUND"")"),"Buy/Average Out")</f>
        <v>Buy/Average Out</v>
      </c>
      <c r="L203" s="48">
        <f t="shared" si="6"/>
        <v>2</v>
      </c>
      <c r="M203" s="48">
        <f t="shared" si="7"/>
        <v>1</v>
      </c>
      <c r="N203" s="50">
        <f t="shared" si="8"/>
        <v>7</v>
      </c>
      <c r="O203" s="51" t="s">
        <v>255</v>
      </c>
      <c r="P203" s="46" t="str">
        <f t="shared" si="9"/>
        <v>PRIME BUY</v>
      </c>
      <c r="Q203" s="52"/>
      <c r="R203" s="53">
        <f t="shared" si="10"/>
        <v>15</v>
      </c>
      <c r="S203" s="53">
        <f>IFERROR(__xludf.DUMMYFUNCTION("IFERROR(ROUND(GOOGLEFINANCE(A203,""volume"")/GOOGLEFINANCE(A203,""volumeavg""),2),"""")"),1.79)</f>
        <v>1.79</v>
      </c>
      <c r="T203" s="53" t="str">
        <f t="shared" si="11"/>
        <v>HIGH VOL</v>
      </c>
      <c r="U203" s="53">
        <f>IFERROR(__xludf.DUMMYFUNCTION("IFERROR(
  LET(
    sd, GOOGLEFINANCE(A203,""close"",TODAY()-100,TODAY()),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"""")"),0.57)</f>
        <v>0.57</v>
      </c>
      <c r="V203" s="53" t="str">
        <f t="shared" si="12"/>
        <v>SLOW</v>
      </c>
      <c r="W203" s="53">
        <f>IFERROR(__xludf.DUMMYFUNCTION("IFERROR(ROUND((B203/GOOGLEFINANCE(A203,""high52"")-1)*100,1),"""")"),-4.8)</f>
        <v>-4.8</v>
      </c>
      <c r="X203" s="53">
        <f>IFERROR(__xludf.DUMMYFUNCTION("IFERROR(ROUND((B203-GOOGLEFINANCE(A203,""low52""))/(GOOGLEFINANCE(A203,""high52"")-GOOGLEFINANCE(A203,""low52""))*100,1),"""")"),70.6)</f>
        <v>70.6</v>
      </c>
      <c r="Y203" s="53" t="str">
        <f t="shared" si="13"/>
        <v>AT HIGH</v>
      </c>
      <c r="Z203" s="53">
        <f>IFERROR(__xludf.DUMMYFUNCTION("IFERROR(ROUND(((B203 / INDEX(GOOGLEFINANCE(TRIM(A203), ""price"", TODAY()-34, TODAY()), 2, 2)) - (GOOGLEFINANCE(""NIFTY_50"") / INDEX(GOOGLEFINANCE(""NIFTY_50"", ""price"", TODAY()-34, TODAY()), 2, 2))) * 100, 2), ""Check History"")"),13.91)</f>
        <v>13.91</v>
      </c>
      <c r="AA203" s="53" t="str">
        <f t="shared" si="14"/>
        <v>STRONG RS</v>
      </c>
      <c r="AB203" s="53">
        <f>IFERROR(__xludf.DUMMYFUNCTION("IFERROR(LET(
  p, QUERY(GOOGLEFINANCE(TRIM(A203),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Loading"")"),54.9)</f>
        <v>54.9</v>
      </c>
      <c r="AC203" s="53" t="str">
        <f t="shared" si="15"/>
        <v>IDEAL ENTRY</v>
      </c>
      <c r="AD203" s="53" t="str">
        <f>IFERROR(__xludf.DUMMYFUNCTION("IFERROR(IF(GOOGLEFINANCE(A203,""eps"")&gt;0,""EPS+"",""EPS-""),"""")"),"EPS+")</f>
        <v>EPS+</v>
      </c>
      <c r="AE203" s="53">
        <f t="shared" si="16"/>
        <v>6</v>
      </c>
      <c r="AF203" s="53">
        <f>IFERROR(__xludf.DUMMYFUNCTION("IFERROR(N203+IF(S203&gt;=1.2,1,0)+IF(U203&gt;=1,1,0)+IF(Z203&gt;0,1,0)+IF(AND(W203&gt;=-20,W203&lt;=0),1,0)+IF(IFERROR(GOOGLEFINANCE(A203,""eps""),0)&gt;0,1,0),"""")"),11.0)</f>
        <v>11</v>
      </c>
      <c r="AG203" s="53" t="str">
        <f t="shared" si="17"/>
        <v>PRIME BUY [10-20d]</v>
      </c>
    </row>
    <row r="204" ht="15.0" customHeight="1">
      <c r="A204" s="43" t="s">
        <v>368</v>
      </c>
      <c r="B204" s="44">
        <f>IFERROR(__xludf.DUMMYFUNCTION("GOOGLEFINANCE(A204,""price"")"),8761.5)</f>
        <v>8761.5</v>
      </c>
      <c r="C204" s="45">
        <f>IFERROR(__xludf.DUMMYFUNCTION("AVERAGE(QUERY(SORT(GOOGLEFINANCE(A204,""price"",TODAY()-150,TODAY()),1,0),""select Col2 limit 50""))"),9491.18)</f>
        <v>9491.18</v>
      </c>
      <c r="D204" s="45">
        <f>IFERROR(__xludf.DUMMYFUNCTION("AVERAGE(QUERY(SORT(GOOGLEFINANCE(A204,""price"",TODAY()-300,TODAY()),1,0),""select Col2 limit 100""))"),9295.425)</f>
        <v>9295.425</v>
      </c>
      <c r="E204" s="45">
        <f>IFERROR(__xludf.DUMMYFUNCTION("AVERAGE(QUERY(SORT(GOOGLEFINANCE(A204,""price"",TODAY()-500,TODAY()),1,0),""select Col2 limit 200""))"),8970.23)</f>
        <v>8970.23</v>
      </c>
      <c r="F204" s="46" t="str">
        <f t="shared" si="1"/>
        <v>In Bear Run</v>
      </c>
      <c r="G204" s="47">
        <f t="shared" si="2"/>
        <v>-2.326919154</v>
      </c>
      <c r="H204" s="48" t="str">
        <f t="shared" si="3"/>
        <v>Golden ✓</v>
      </c>
      <c r="I204" s="48">
        <f t="shared" si="4"/>
        <v>3</v>
      </c>
      <c r="J204" s="48">
        <f t="shared" si="5"/>
        <v>0</v>
      </c>
      <c r="K204" s="49" t="str">
        <f>IFERROR(__xludf.DUMMYFUNCTION("IFERROR(IF(A204="""",""ENTER STOCK"",LET(stock,A204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04" s="48">
        <f t="shared" si="6"/>
        <v>0</v>
      </c>
      <c r="M204" s="48">
        <f t="shared" si="7"/>
        <v>1</v>
      </c>
      <c r="N204" s="50">
        <f t="shared" si="8"/>
        <v>4</v>
      </c>
      <c r="O204" s="51" t="s">
        <v>271</v>
      </c>
      <c r="P204" s="46" t="str">
        <f t="shared" si="9"/>
        <v>REVERSE TRADE</v>
      </c>
      <c r="Q204" s="52"/>
      <c r="R204" s="53">
        <f t="shared" si="10"/>
        <v>15</v>
      </c>
      <c r="S204" s="53">
        <f>IFERROR(__xludf.DUMMYFUNCTION("IFERROR(ROUND(GOOGLEFINANCE(A204,""volume"")/GOOGLEFINANCE(A204,""volumeavg""),2),"""")"),1.07)</f>
        <v>1.07</v>
      </c>
      <c r="T204" s="53" t="str">
        <f t="shared" si="11"/>
        <v>LOW VOL</v>
      </c>
      <c r="U204" s="53">
        <f>IFERROR(__xludf.DUMMYFUNCTION("IFERROR(
  LET(
    sd, GOOGLEFINANCE(A204,""close"",TODAY()-100,TODAY()),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"""")"),1.17)</f>
        <v>1.17</v>
      </c>
      <c r="V204" s="53" t="str">
        <f t="shared" si="12"/>
        <v>MEDIUM</v>
      </c>
      <c r="W204" s="53">
        <f>IFERROR(__xludf.DUMMYFUNCTION("IFERROR(ROUND((B204/GOOGLEFINANCE(A204,""high52"")-1)*100,1),"""")"),-14.0)</f>
        <v>-14</v>
      </c>
      <c r="X204" s="53">
        <f>IFERROR(__xludf.DUMMYFUNCTION("IFERROR(ROUND((B204-GOOGLEFINANCE(A204,""low52""))/(GOOGLEFINANCE(A204,""high52"")-GOOGLEFINANCE(A204,""low52""))*100,1),"""")"),54.0)</f>
        <v>54</v>
      </c>
      <c r="Y204" s="53" t="str">
        <f t="shared" si="13"/>
        <v>UPPER</v>
      </c>
      <c r="Z204" s="53">
        <f>IFERROR(__xludf.DUMMYFUNCTION("IFERROR(ROUND(((B204 / INDEX(GOOGLEFINANCE(TRIM(A204), ""price"", TODAY()-34, TODAY()), 2, 2)) - (GOOGLEFINANCE(""NIFTY_50"") / INDEX(GOOGLEFINANCE(""NIFTY_50"", ""price"", TODAY()-34, TODAY()), 2, 2))) * 100, 2), ""Check History"")"),1.31)</f>
        <v>1.31</v>
      </c>
      <c r="AA204" s="53" t="str">
        <f t="shared" si="14"/>
        <v>MILD RS</v>
      </c>
      <c r="AB204" s="53">
        <f>IFERROR(__xludf.DUMMYFUNCTION("IFERROR(LET(
  p, QUERY(GOOGLEFINANCE(TRIM(A204),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Loading"")"),39.1)</f>
        <v>39.1</v>
      </c>
      <c r="AC204" s="53" t="str">
        <f t="shared" si="15"/>
        <v>WEAK MOM</v>
      </c>
      <c r="AD204" s="53" t="str">
        <f>IFERROR(__xludf.DUMMYFUNCTION("IFERROR(IF(GOOGLEFINANCE(A204,""eps"")&gt;0,""EPS+"",""EPS-""),"""")"),"EPS+")</f>
        <v>EPS+</v>
      </c>
      <c r="AE204" s="53">
        <f t="shared" si="16"/>
        <v>5</v>
      </c>
      <c r="AF204" s="53">
        <f>IFERROR(__xludf.DUMMYFUNCTION("IFERROR(N204+IF(S204&gt;=1.2,1,0)+IF(U204&gt;=1,1,0)+IF(Z204&gt;0,1,0)+IF(AND(W204&gt;=-20,W204&lt;=0),1,0)+IF(IFERROR(GOOGLEFINANCE(A204,""eps""),0)&gt;0,1,0),"""")"),8.0)</f>
        <v>8</v>
      </c>
      <c r="AG204" s="53" t="str">
        <f t="shared" si="17"/>
        <v>REVERSE TRADE</v>
      </c>
    </row>
    <row r="205" ht="15.0" customHeight="1">
      <c r="A205" s="43" t="s">
        <v>369</v>
      </c>
      <c r="B205" s="44">
        <f>IFERROR(__xludf.DUMMYFUNCTION("GOOGLEFINANCE(A205,""price"")"),4380.0)</f>
        <v>4380</v>
      </c>
      <c r="C205" s="45">
        <f>IFERROR(__xludf.DUMMYFUNCTION("AVERAGE(QUERY(SORT(GOOGLEFINANCE(A205,""price"",TODAY()-150,TODAY()),1,0),""select Col2 limit 50""))"),5189.16)</f>
        <v>5189.16</v>
      </c>
      <c r="D205" s="45">
        <f>IFERROR(__xludf.DUMMYFUNCTION("AVERAGE(QUERY(SORT(GOOGLEFINANCE(A205,""price"",TODAY()-300,TODAY()),1,0),""select Col2 limit 100""))"),5044.001999999999)</f>
        <v>5044.002</v>
      </c>
      <c r="E205" s="45">
        <f>IFERROR(__xludf.DUMMYFUNCTION("AVERAGE(QUERY(SORT(GOOGLEFINANCE(A205,""price"",TODAY()-500,TODAY()),1,0),""select Col2 limit 200""))"),4892.719999999998)</f>
        <v>4892.72</v>
      </c>
      <c r="F205" s="46" t="str">
        <f t="shared" si="1"/>
        <v>In Bear Run</v>
      </c>
      <c r="G205" s="47">
        <f t="shared" si="2"/>
        <v>-10.47924263</v>
      </c>
      <c r="H205" s="48" t="str">
        <f t="shared" si="3"/>
        <v>Golden ✓</v>
      </c>
      <c r="I205" s="48">
        <f t="shared" si="4"/>
        <v>3</v>
      </c>
      <c r="J205" s="48">
        <f t="shared" si="5"/>
        <v>0</v>
      </c>
      <c r="K205" s="49" t="str">
        <f>IFERROR(__xludf.DUMMYFUNCTION("IFERROR(IF(A205="""",""ENTER STOCK"",LET(stock,A205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05" s="48">
        <f t="shared" si="6"/>
        <v>0</v>
      </c>
      <c r="M205" s="48">
        <f t="shared" si="7"/>
        <v>1</v>
      </c>
      <c r="N205" s="50">
        <f t="shared" si="8"/>
        <v>4</v>
      </c>
      <c r="O205" s="51" t="s">
        <v>153</v>
      </c>
      <c r="P205" s="46" t="str">
        <f t="shared" si="9"/>
        <v>REVERSE TRADE</v>
      </c>
      <c r="Q205" s="52"/>
      <c r="R205" s="53">
        <f t="shared" si="10"/>
        <v>15</v>
      </c>
      <c r="S205" s="53">
        <f>IFERROR(__xludf.DUMMYFUNCTION("IFERROR(ROUND(GOOGLEFINANCE(A205,""volume"")/GOOGLEFINANCE(A205,""volumeavg""),2),"""")"),2.34)</f>
        <v>2.34</v>
      </c>
      <c r="T205" s="53" t="str">
        <f t="shared" si="11"/>
        <v>HIGH VOL</v>
      </c>
      <c r="U205" s="53">
        <f>IFERROR(__xludf.DUMMYFUNCTION("IFERROR(
  LET(
    sd, GOOGLEFINANCE(A205,""close"",TODAY()-100,TODAY()),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"""")"),0.97)</f>
        <v>0.97</v>
      </c>
      <c r="V205" s="53" t="str">
        <f t="shared" si="12"/>
        <v>MEDIUM</v>
      </c>
      <c r="W205" s="53">
        <f>IFERROR(__xludf.DUMMYFUNCTION("IFERROR(ROUND((B205/GOOGLEFINANCE(A205,""high52"")-1)*100,1),"""")"),-22.4)</f>
        <v>-22.4</v>
      </c>
      <c r="X205" s="53">
        <f>IFERROR(__xludf.DUMMYFUNCTION("IFERROR(ROUND((B205-GOOGLEFINANCE(A205,""low52""))/(GOOGLEFINANCE(A205,""high52"")-GOOGLEFINANCE(A205,""low52""))*100,1),"""")"),12.5)</f>
        <v>12.5</v>
      </c>
      <c r="Y205" s="53" t="str">
        <f t="shared" si="13"/>
        <v>MID</v>
      </c>
      <c r="Z205" s="53">
        <f>IFERROR(__xludf.DUMMYFUNCTION("IFERROR(ROUND(((B205 / INDEX(GOOGLEFINANCE(TRIM(A205), ""price"", TODAY()-34, TODAY()), 2, 2)) - (GOOGLEFINANCE(""NIFTY_50"") / INDEX(GOOGLEFINANCE(""NIFTY_50"", ""price"", TODAY()-34, TODAY()), 2, 2))) * 100, 2), ""Check History"")"),-7.72)</f>
        <v>-7.72</v>
      </c>
      <c r="AA205" s="53" t="str">
        <f t="shared" si="14"/>
        <v>WEAK RS</v>
      </c>
      <c r="AB205" s="53">
        <f>IFERROR(__xludf.DUMMYFUNCTION("IFERROR(LET(
  p, QUERY(GOOGLEFINANCE(TRIM(A205),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Loading"")"),36.3)</f>
        <v>36.3</v>
      </c>
      <c r="AC205" s="53" t="str">
        <f t="shared" si="15"/>
        <v>WEAK MOM</v>
      </c>
      <c r="AD205" s="53" t="str">
        <f>IFERROR(__xludf.DUMMYFUNCTION("IFERROR(IF(GOOGLEFINANCE(A205,""eps"")&gt;0,""EPS+"",""EPS-""),"""")"),"EPS+")</f>
        <v>EPS+</v>
      </c>
      <c r="AE205" s="53">
        <f t="shared" si="16"/>
        <v>5</v>
      </c>
      <c r="AF205" s="53">
        <f>IFERROR(__xludf.DUMMYFUNCTION("IFERROR(N205+IF(S205&gt;=1.2,1,0)+IF(U205&gt;=1,1,0)+IF(Z205&gt;0,1,0)+IF(AND(W205&gt;=-20,W205&lt;=0),1,0)+IF(IFERROR(GOOGLEFINANCE(A205,""eps""),0)&gt;0,1,0),"""")"),6.0)</f>
        <v>6</v>
      </c>
      <c r="AG205" s="53" t="str">
        <f t="shared" si="17"/>
        <v>REVERSE TRADE</v>
      </c>
    </row>
    <row r="206" ht="15.0" customHeight="1">
      <c r="A206" s="43" t="s">
        <v>370</v>
      </c>
      <c r="B206" s="44">
        <f>IFERROR(__xludf.DUMMYFUNCTION("GOOGLEFINANCE(A206,""price"")"),1115.0)</f>
        <v>1115</v>
      </c>
      <c r="C206" s="45">
        <f>IFERROR(__xludf.DUMMYFUNCTION("AVERAGE(QUERY(SORT(GOOGLEFINANCE(A206,""price"",TODAY()-150,TODAY()),1,0),""select Col2 limit 50""))"),1205.8219999999997)</f>
        <v>1205.822</v>
      </c>
      <c r="D206" s="45">
        <f>IFERROR(__xludf.DUMMYFUNCTION("AVERAGE(QUERY(SORT(GOOGLEFINANCE(A206,""price"",TODAY()-300,TODAY()),1,0),""select Col2 limit 100""))"),1175.253)</f>
        <v>1175.253</v>
      </c>
      <c r="E206" s="45">
        <f>IFERROR(__xludf.DUMMYFUNCTION("AVERAGE(QUERY(SORT(GOOGLEFINANCE(A206,""price"",TODAY()-500,TODAY()),1,0),""select Col2 limit 200""))"),1126.4864999999995)</f>
        <v>1126.4865</v>
      </c>
      <c r="F206" s="46" t="str">
        <f t="shared" si="1"/>
        <v>In Bear Run</v>
      </c>
      <c r="G206" s="47">
        <f t="shared" si="2"/>
        <v>-1.019674892</v>
      </c>
      <c r="H206" s="48" t="str">
        <f t="shared" si="3"/>
        <v>Golden ✓</v>
      </c>
      <c r="I206" s="48">
        <f t="shared" si="4"/>
        <v>3</v>
      </c>
      <c r="J206" s="48">
        <f t="shared" si="5"/>
        <v>0</v>
      </c>
      <c r="K206" s="49" t="str">
        <f>IFERROR(__xludf.DUMMYFUNCTION("IFERROR(IF(A206="""",""ENTER STOCK"",LET(stock,A206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06" s="48">
        <f t="shared" si="6"/>
        <v>0</v>
      </c>
      <c r="M206" s="48">
        <f t="shared" si="7"/>
        <v>1</v>
      </c>
      <c r="N206" s="50">
        <f t="shared" si="8"/>
        <v>4</v>
      </c>
      <c r="O206" s="51" t="s">
        <v>312</v>
      </c>
      <c r="P206" s="46" t="str">
        <f t="shared" si="9"/>
        <v>REVERSE TRADE</v>
      </c>
      <c r="Q206" s="52"/>
      <c r="R206" s="53">
        <f t="shared" si="10"/>
        <v>15</v>
      </c>
      <c r="S206" s="53">
        <f>IFERROR(__xludf.DUMMYFUNCTION("IFERROR(ROUND(GOOGLEFINANCE(A206,""volume"")/GOOGLEFINANCE(A206,""volumeavg""),2),"""")"),1.59)</f>
        <v>1.59</v>
      </c>
      <c r="T206" s="53" t="str">
        <f t="shared" si="11"/>
        <v>HIGH VOL</v>
      </c>
      <c r="U206" s="53">
        <f>IFERROR(__xludf.DUMMYFUNCTION("IFERROR(
  LET(
    sd, GOOGLEFINANCE(A206,""close"",TODAY()-100,TODAY()),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"""")"),1.5)</f>
        <v>1.5</v>
      </c>
      <c r="V206" s="53" t="str">
        <f t="shared" si="12"/>
        <v>FAST</v>
      </c>
      <c r="W206" s="53">
        <f>IFERROR(__xludf.DUMMYFUNCTION("IFERROR(ROUND((B206/GOOGLEFINANCE(A206,""high52"")-1)*100,1),"""")"),-13.2)</f>
        <v>-13.2</v>
      </c>
      <c r="X206" s="53">
        <f>IFERROR(__xludf.DUMMYFUNCTION("IFERROR(ROUND((B206-GOOGLEFINANCE(A206,""low52""))/(GOOGLEFINANCE(A206,""high52"")-GOOGLEFINANCE(A206,""low52""))*100,1),"""")"),55.3)</f>
        <v>55.3</v>
      </c>
      <c r="Y206" s="53" t="str">
        <f t="shared" si="13"/>
        <v>UPPER</v>
      </c>
      <c r="Z206" s="53">
        <f>IFERROR(__xludf.DUMMYFUNCTION("IFERROR(ROUND(((B206 / INDEX(GOOGLEFINANCE(TRIM(A206), ""price"", TODAY()-34, TODAY()), 2, 2)) - (GOOGLEFINANCE(""NIFTY_50"") / INDEX(GOOGLEFINANCE(""NIFTY_50"", ""price"", TODAY()-34, TODAY()), 2, 2))) * 100, 2), ""Check History"")"),1.05)</f>
        <v>1.05</v>
      </c>
      <c r="AA206" s="53" t="str">
        <f t="shared" si="14"/>
        <v>MILD RS</v>
      </c>
      <c r="AB206" s="53">
        <f>IFERROR(__xludf.DUMMYFUNCTION("IFERROR(LET(
  p, QUERY(GOOGLEFINANCE(TRIM(A206),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Loading"")"),41.4)</f>
        <v>41.4</v>
      </c>
      <c r="AC206" s="53" t="str">
        <f t="shared" si="15"/>
        <v>WEAK MOM</v>
      </c>
      <c r="AD206" s="53" t="str">
        <f>IFERROR(__xludf.DUMMYFUNCTION("IFERROR(IF(GOOGLEFINANCE(A206,""eps"")&gt;0,""EPS+"",""EPS-""),"""")"),"EPS+")</f>
        <v>EPS+</v>
      </c>
      <c r="AE206" s="53">
        <f t="shared" si="16"/>
        <v>8</v>
      </c>
      <c r="AF206" s="53">
        <f>IFERROR(__xludf.DUMMYFUNCTION("IFERROR(N206+IF(S206&gt;=1.2,1,0)+IF(U206&gt;=1,1,0)+IF(Z206&gt;0,1,0)+IF(AND(W206&gt;=-20,W206&lt;=0),1,0)+IF(IFERROR(GOOGLEFINANCE(A206,""eps""),0)&gt;0,1,0),"""")"),9.0)</f>
        <v>9</v>
      </c>
      <c r="AG206" s="53" t="str">
        <f t="shared" si="17"/>
        <v>REVERSE TRADE</v>
      </c>
    </row>
    <row r="207" ht="15.0" customHeight="1">
      <c r="A207" s="43" t="s">
        <v>371</v>
      </c>
      <c r="B207" s="44">
        <f>IFERROR(__xludf.DUMMYFUNCTION("GOOGLEFINANCE(A207,""price"")"),754.0)</f>
        <v>754</v>
      </c>
      <c r="C207" s="45">
        <f>IFERROR(__xludf.DUMMYFUNCTION("AVERAGE(QUERY(SORT(GOOGLEFINANCE(A207,""price"",TODAY()-150,TODAY()),1,0),""select Col2 limit 50""))"),894.42)</f>
        <v>894.42</v>
      </c>
      <c r="D207" s="45">
        <f>IFERROR(__xludf.DUMMYFUNCTION("AVERAGE(QUERY(SORT(GOOGLEFINANCE(A207,""price"",TODAY()-300,TODAY()),1,0),""select Col2 limit 100""))"),872.7769999999997)</f>
        <v>872.777</v>
      </c>
      <c r="E207" s="45">
        <f>IFERROR(__xludf.DUMMYFUNCTION("AVERAGE(QUERY(SORT(GOOGLEFINANCE(A207,""price"",TODAY()-500,TODAY()),1,0),""select Col2 limit 200""))"),832.4542499999998)</f>
        <v>832.45425</v>
      </c>
      <c r="F207" s="46" t="str">
        <f t="shared" si="1"/>
        <v>In Bear Run</v>
      </c>
      <c r="G207" s="47">
        <f t="shared" si="2"/>
        <v>-9.424451854</v>
      </c>
      <c r="H207" s="48" t="str">
        <f t="shared" si="3"/>
        <v>Golden ✓</v>
      </c>
      <c r="I207" s="48">
        <f t="shared" si="4"/>
        <v>3</v>
      </c>
      <c r="J207" s="48">
        <f t="shared" si="5"/>
        <v>0</v>
      </c>
      <c r="K207" s="49" t="str">
        <f>IFERROR(__xludf.DUMMYFUNCTION("IFERROR(IF(A207="""",""ENTER STOCK"",LET(stock,A207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07" s="48">
        <f t="shared" si="6"/>
        <v>0</v>
      </c>
      <c r="M207" s="48">
        <f t="shared" si="7"/>
        <v>1</v>
      </c>
      <c r="N207" s="50">
        <f t="shared" si="8"/>
        <v>4</v>
      </c>
      <c r="O207" s="51" t="s">
        <v>236</v>
      </c>
      <c r="P207" s="46" t="str">
        <f t="shared" si="9"/>
        <v>REVERSE TRADE</v>
      </c>
      <c r="Q207" s="52"/>
      <c r="R207" s="53">
        <f t="shared" si="10"/>
        <v>15</v>
      </c>
      <c r="S207" s="53">
        <f>IFERROR(__xludf.DUMMYFUNCTION("IFERROR(ROUND(GOOGLEFINANCE(A207,""volume"")/GOOGLEFINANCE(A207,""volumeavg""),2),"""")"),1.76)</f>
        <v>1.76</v>
      </c>
      <c r="T207" s="53" t="str">
        <f t="shared" si="11"/>
        <v>HIGH VOL</v>
      </c>
      <c r="U207" s="53">
        <f>IFERROR(__xludf.DUMMYFUNCTION("IFERROR(
  LET(
    sd, GOOGLEFINANCE(A207,""close"",TODAY()-100,TODAY()),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"""")"),1.34)</f>
        <v>1.34</v>
      </c>
      <c r="V207" s="53" t="str">
        <f t="shared" si="12"/>
        <v>FAST</v>
      </c>
      <c r="W207" s="53">
        <f>IFERROR(__xludf.DUMMYFUNCTION("IFERROR(ROUND((B207/GOOGLEFINANCE(A207,""high52"")-1)*100,1),"""")"),-22.2)</f>
        <v>-22.2</v>
      </c>
      <c r="X207" s="53">
        <f>IFERROR(__xludf.DUMMYFUNCTION("IFERROR(ROUND((B207-GOOGLEFINANCE(A207,""low52""))/(GOOGLEFINANCE(A207,""high52"")-GOOGLEFINANCE(A207,""low52""))*100,1),"""")"),35.3)</f>
        <v>35.3</v>
      </c>
      <c r="Y207" s="53" t="str">
        <f t="shared" si="13"/>
        <v>MID</v>
      </c>
      <c r="Z207" s="53">
        <f>IFERROR(__xludf.DUMMYFUNCTION("IFERROR(ROUND(((B207 / INDEX(GOOGLEFINANCE(TRIM(A207), ""price"", TODAY()-34, TODAY()), 2, 2)) - (GOOGLEFINANCE(""NIFTY_50"") / INDEX(GOOGLEFINANCE(""NIFTY_50"", ""price"", TODAY()-34, TODAY()), 2, 2))) * 100, 2), ""Check History"")"),-6.88)</f>
        <v>-6.88</v>
      </c>
      <c r="AA207" s="53" t="str">
        <f t="shared" si="14"/>
        <v>WEAK RS</v>
      </c>
      <c r="AB207" s="53">
        <f>IFERROR(__xludf.DUMMYFUNCTION("IFERROR(LET(
  p, QUERY(GOOGLEFINANCE(TRIM(A207),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Loading"")"),35.7)</f>
        <v>35.7</v>
      </c>
      <c r="AC207" s="53" t="str">
        <f t="shared" si="15"/>
        <v>WEAK MOM</v>
      </c>
      <c r="AD207" s="53" t="str">
        <f>IFERROR(__xludf.DUMMYFUNCTION("IFERROR(IF(GOOGLEFINANCE(A207,""eps"")&gt;0,""EPS+"",""EPS-""),"""")"),"EPS-")</f>
        <v>EPS-</v>
      </c>
      <c r="AE207" s="53">
        <f t="shared" si="16"/>
        <v>6</v>
      </c>
      <c r="AF207" s="53">
        <f>IFERROR(__xludf.DUMMYFUNCTION("IFERROR(N207+IF(S207&gt;=1.2,1,0)+IF(U207&gt;=1,1,0)+IF(Z207&gt;0,1,0)+IF(AND(W207&gt;=-20,W207&lt;=0),1,0)+IF(IFERROR(GOOGLEFINANCE(A207,""eps""),0)&gt;0,1,0),"""")"),6.0)</f>
        <v>6</v>
      </c>
      <c r="AG207" s="53" t="str">
        <f t="shared" si="17"/>
        <v>REVERSE TRADE</v>
      </c>
    </row>
    <row r="208" ht="15.0" customHeight="1">
      <c r="A208" s="43" t="s">
        <v>372</v>
      </c>
      <c r="B208" s="44">
        <f>IFERROR(__xludf.DUMMYFUNCTION("GOOGLEFINANCE(A208,""price"")"),247.1)</f>
        <v>247.1</v>
      </c>
      <c r="C208" s="45">
        <f>IFERROR(__xludf.DUMMYFUNCTION("AVERAGE(QUERY(SORT(GOOGLEFINANCE(A208,""price"",TODAY()-150,TODAY()),1,0),""select Col2 limit 50""))"),293.8400000000001)</f>
        <v>293.84</v>
      </c>
      <c r="D208" s="45">
        <f>IFERROR(__xludf.DUMMYFUNCTION("AVERAGE(QUERY(SORT(GOOGLEFINANCE(A208,""price"",TODAY()-300,TODAY()),1,0),""select Col2 limit 100""))"),292.51099999999997)</f>
        <v>292.511</v>
      </c>
      <c r="E208" s="45">
        <f>IFERROR(__xludf.DUMMYFUNCTION("AVERAGE(QUERY(SORT(GOOGLEFINANCE(A208,""price"",TODAY()-500,TODAY()),1,0),""select Col2 limit 200""))"),269.8731)</f>
        <v>269.8731</v>
      </c>
      <c r="F208" s="46" t="str">
        <f t="shared" si="1"/>
        <v>In Bear Run</v>
      </c>
      <c r="G208" s="47">
        <f t="shared" si="2"/>
        <v>-8.438447552</v>
      </c>
      <c r="H208" s="48" t="str">
        <f t="shared" si="3"/>
        <v>Golden ✓</v>
      </c>
      <c r="I208" s="48">
        <f t="shared" si="4"/>
        <v>3</v>
      </c>
      <c r="J208" s="48">
        <f t="shared" si="5"/>
        <v>0</v>
      </c>
      <c r="K208" s="49" t="str">
        <f>IFERROR(__xludf.DUMMYFUNCTION("IFERROR(IF(A208="""",""ENTER STOCK"",LET(stock,A208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08" s="48">
        <f t="shared" si="6"/>
        <v>0</v>
      </c>
      <c r="M208" s="48">
        <f t="shared" si="7"/>
        <v>1</v>
      </c>
      <c r="N208" s="50">
        <f t="shared" si="8"/>
        <v>4</v>
      </c>
      <c r="O208" s="51" t="s">
        <v>236</v>
      </c>
      <c r="P208" s="46" t="str">
        <f t="shared" si="9"/>
        <v>REVERSE TRADE</v>
      </c>
      <c r="Q208" s="52"/>
      <c r="R208" s="53">
        <f t="shared" si="10"/>
        <v>15</v>
      </c>
      <c r="S208" s="53">
        <f>IFERROR(__xludf.DUMMYFUNCTION("IFERROR(ROUND(GOOGLEFINANCE(A208,""volume"")/GOOGLEFINANCE(A208,""volumeavg""),2),"""")"),1.6)</f>
        <v>1.6</v>
      </c>
      <c r="T208" s="53" t="str">
        <f t="shared" si="11"/>
        <v>HIGH VOL</v>
      </c>
      <c r="U208" s="53">
        <f>IFERROR(__xludf.DUMMYFUNCTION("IFERROR(
  LET(
    sd, GOOGLEFINANCE(A208,""close"",TODAY()-100,TODAY()),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"""")"),1.5)</f>
        <v>1.5</v>
      </c>
      <c r="V208" s="53" t="str">
        <f t="shared" si="12"/>
        <v>FAST</v>
      </c>
      <c r="W208" s="53">
        <f>IFERROR(__xludf.DUMMYFUNCTION("IFERROR(ROUND((B208/GOOGLEFINANCE(A208,""high52"")-1)*100,1),"""")"),-24.1)</f>
        <v>-24.1</v>
      </c>
      <c r="X208" s="53">
        <f>IFERROR(__xludf.DUMMYFUNCTION("IFERROR(ROUND((B208-GOOGLEFINANCE(A208,""low52""))/(GOOGLEFINANCE(A208,""high52"")-GOOGLEFINANCE(A208,""low52""))*100,1),"""")"),30.6)</f>
        <v>30.6</v>
      </c>
      <c r="Y208" s="53" t="str">
        <f t="shared" si="13"/>
        <v>MID</v>
      </c>
      <c r="Z208" s="53">
        <f>IFERROR(__xludf.DUMMYFUNCTION("IFERROR(ROUND(((B208 / INDEX(GOOGLEFINANCE(TRIM(A208), ""price"", TODAY()-34, TODAY()), 2, 2)) - (GOOGLEFINANCE(""NIFTY_50"") / INDEX(GOOGLEFINANCE(""NIFTY_50"", ""price"", TODAY()-34, TODAY()), 2, 2))) * 100, 2), ""Check History"")"),-8.91)</f>
        <v>-8.91</v>
      </c>
      <c r="AA208" s="53" t="str">
        <f t="shared" si="14"/>
        <v>WEAK RS</v>
      </c>
      <c r="AB208" s="53">
        <f>IFERROR(__xludf.DUMMYFUNCTION("IFERROR(LET(
  p, QUERY(GOOGLEFINANCE(TRIM(A208),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Loading"")"),40.0)</f>
        <v>40</v>
      </c>
      <c r="AC208" s="53" t="str">
        <f t="shared" si="15"/>
        <v>WEAK MOM</v>
      </c>
      <c r="AD208" s="53" t="str">
        <f>IFERROR(__xludf.DUMMYFUNCTION("IFERROR(IF(GOOGLEFINANCE(A208,""eps"")&gt;0,""EPS+"",""EPS-""),"""")"),"EPS+")</f>
        <v>EPS+</v>
      </c>
      <c r="AE208" s="53">
        <f t="shared" si="16"/>
        <v>6</v>
      </c>
      <c r="AF208" s="53">
        <f>IFERROR(__xludf.DUMMYFUNCTION("IFERROR(N208+IF(S208&gt;=1.2,1,0)+IF(U208&gt;=1,1,0)+IF(Z208&gt;0,1,0)+IF(AND(W208&gt;=-20,W208&lt;=0),1,0)+IF(IFERROR(GOOGLEFINANCE(A208,""eps""),0)&gt;0,1,0),"""")"),7.0)</f>
        <v>7</v>
      </c>
      <c r="AG208" s="53" t="str">
        <f t="shared" si="17"/>
        <v>REVERSE TRADE</v>
      </c>
    </row>
    <row r="209" ht="15.0" customHeight="1">
      <c r="A209" s="43" t="s">
        <v>373</v>
      </c>
      <c r="B209" s="44">
        <f>IFERROR(__xludf.DUMMYFUNCTION("GOOGLEFINANCE(A209,""price"")"),732.0)</f>
        <v>732</v>
      </c>
      <c r="C209" s="45">
        <f>IFERROR(__xludf.DUMMYFUNCTION("AVERAGE(QUERY(SORT(GOOGLEFINANCE(A209,""price"",TODAY()-150,TODAY()),1,0),""select Col2 limit 50""))"),760.633)</f>
        <v>760.633</v>
      </c>
      <c r="D209" s="45">
        <f>IFERROR(__xludf.DUMMYFUNCTION("AVERAGE(QUERY(SORT(GOOGLEFINANCE(A209,""price"",TODAY()-300,TODAY()),1,0),""select Col2 limit 100""))"),748.9619999999999)</f>
        <v>748.962</v>
      </c>
      <c r="E209" s="45">
        <f>IFERROR(__xludf.DUMMYFUNCTION("AVERAGE(QUERY(SORT(GOOGLEFINANCE(A209,""price"",TODAY()-500,TODAY()),1,0),""select Col2 limit 200""))"),732.85225)</f>
        <v>732.85225</v>
      </c>
      <c r="F209" s="46" t="str">
        <f t="shared" si="1"/>
        <v>In Bear Run</v>
      </c>
      <c r="G209" s="47">
        <f t="shared" si="2"/>
        <v>-0.1162921994</v>
      </c>
      <c r="H209" s="48" t="str">
        <f t="shared" si="3"/>
        <v>Golden ✓</v>
      </c>
      <c r="I209" s="48">
        <f t="shared" si="4"/>
        <v>3</v>
      </c>
      <c r="J209" s="48">
        <f t="shared" si="5"/>
        <v>0</v>
      </c>
      <c r="K209" s="49" t="str">
        <f>IFERROR(__xludf.DUMMYFUNCTION("IFERROR(IF(A209="""",""ENTER STOCK"",LET(stock,A209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09" s="48">
        <f t="shared" si="6"/>
        <v>0</v>
      </c>
      <c r="M209" s="48">
        <f t="shared" si="7"/>
        <v>1</v>
      </c>
      <c r="N209" s="50">
        <f t="shared" si="8"/>
        <v>4</v>
      </c>
      <c r="O209" s="51" t="s">
        <v>131</v>
      </c>
      <c r="P209" s="46" t="str">
        <f t="shared" si="9"/>
        <v>REVERSE TRADE</v>
      </c>
      <c r="Q209" s="52"/>
      <c r="R209" s="53">
        <f t="shared" si="10"/>
        <v>15</v>
      </c>
      <c r="S209" s="53">
        <f>IFERROR(__xludf.DUMMYFUNCTION("IFERROR(ROUND(GOOGLEFINANCE(A209,""volume"")/GOOGLEFINANCE(A209,""volumeavg""),2),"""")"),2.27)</f>
        <v>2.27</v>
      </c>
      <c r="T209" s="53" t="str">
        <f t="shared" si="11"/>
        <v>HIGH VOL</v>
      </c>
      <c r="U209" s="53">
        <f>IFERROR(__xludf.DUMMYFUNCTION("IFERROR(
  LET(
    sd, GOOGLEFINANCE(A209,""close"",TODAY()-100,TODAY()),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"""")"),0.77)</f>
        <v>0.77</v>
      </c>
      <c r="V209" s="53" t="str">
        <f t="shared" si="12"/>
        <v>SLOW</v>
      </c>
      <c r="W209" s="53">
        <f>IFERROR(__xludf.DUMMYFUNCTION("IFERROR(ROUND((B209/GOOGLEFINANCE(A209,""high52"")-1)*100,1),"""")"),-10.0)</f>
        <v>-10</v>
      </c>
      <c r="X209" s="53">
        <f>IFERROR(__xludf.DUMMYFUNCTION("IFERROR(ROUND((B209-GOOGLEFINANCE(A209,""low52""))/(GOOGLEFINANCE(A209,""high52"")-GOOGLEFINANCE(A209,""low52""))*100,1),"""")"),52.8)</f>
        <v>52.8</v>
      </c>
      <c r="Y209" s="53" t="str">
        <f t="shared" si="13"/>
        <v>UPPER</v>
      </c>
      <c r="Z209" s="53">
        <f>IFERROR(__xludf.DUMMYFUNCTION("IFERROR(ROUND(((B209 / INDEX(GOOGLEFINANCE(TRIM(A209), ""price"", TODAY()-34, TODAY()), 2, 2)) - (GOOGLEFINANCE(""NIFTY_50"") / INDEX(GOOGLEFINANCE(""NIFTY_50"", ""price"", TODAY()-34, TODAY()), 2, 2))) * 100, 2), ""Check History"")"),2.5)</f>
        <v>2.5</v>
      </c>
      <c r="AA209" s="53" t="str">
        <f t="shared" si="14"/>
        <v>MILD RS</v>
      </c>
      <c r="AB209" s="53">
        <f>IFERROR(__xludf.DUMMYFUNCTION("IFERROR(LET(
  p, QUERY(GOOGLEFINANCE(TRIM(A209),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Loading"")"),41.8)</f>
        <v>41.8</v>
      </c>
      <c r="AC209" s="53" t="str">
        <f t="shared" si="15"/>
        <v>WEAK MOM</v>
      </c>
      <c r="AD209" s="53" t="str">
        <f>IFERROR(__xludf.DUMMYFUNCTION("IFERROR(IF(GOOGLEFINANCE(A209,""eps"")&gt;0,""EPS+"",""EPS-""),"""")"),"EPS+")</f>
        <v>EPS+</v>
      </c>
      <c r="AE209" s="53">
        <f t="shared" si="16"/>
        <v>6</v>
      </c>
      <c r="AF209" s="53">
        <f>IFERROR(__xludf.DUMMYFUNCTION("IFERROR(N209+IF(S209&gt;=1.2,1,0)+IF(U209&gt;=1,1,0)+IF(Z209&gt;0,1,0)+IF(AND(W209&gt;=-20,W209&lt;=0),1,0)+IF(IFERROR(GOOGLEFINANCE(A209,""eps""),0)&gt;0,1,0),"""")"),8.0)</f>
        <v>8</v>
      </c>
      <c r="AG209" s="53" t="str">
        <f t="shared" si="17"/>
        <v>REVERSE TRADE</v>
      </c>
    </row>
    <row r="210" ht="15.0" customHeight="1">
      <c r="A210" s="43" t="s">
        <v>374</v>
      </c>
      <c r="B210" s="44">
        <f>IFERROR(__xludf.DUMMYFUNCTION("GOOGLEFINANCE(A210,""price"")"),932.4)</f>
        <v>932.4</v>
      </c>
      <c r="C210" s="45">
        <f>IFERROR(__xludf.DUMMYFUNCTION("AVERAGE(QUERY(SORT(GOOGLEFINANCE(A210,""price"",TODAY()-150,TODAY()),1,0),""select Col2 limit 50""))"),973.4869999999999)</f>
        <v>973.487</v>
      </c>
      <c r="D210" s="45">
        <f>IFERROR(__xludf.DUMMYFUNCTION("AVERAGE(QUERY(SORT(GOOGLEFINANCE(A210,""price"",TODAY()-300,TODAY()),1,0),""select Col2 limit 100""))"),984.2155000000001)</f>
        <v>984.2155</v>
      </c>
      <c r="E210" s="45">
        <f>IFERROR(__xludf.DUMMYFUNCTION("AVERAGE(QUERY(SORT(GOOGLEFINANCE(A210,""price"",TODAY()-500,TODAY()),1,0),""select Col2 limit 200""))"),921.6655000000002)</f>
        <v>921.6655</v>
      </c>
      <c r="F210" s="46" t="str">
        <f t="shared" si="1"/>
        <v>Unconfirmed</v>
      </c>
      <c r="G210" s="47">
        <f t="shared" si="2"/>
        <v>1.164685019</v>
      </c>
      <c r="H210" s="48" t="str">
        <f t="shared" si="3"/>
        <v>Inverted ✗</v>
      </c>
      <c r="I210" s="48">
        <f t="shared" si="4"/>
        <v>0</v>
      </c>
      <c r="J210" s="48">
        <f t="shared" si="5"/>
        <v>2</v>
      </c>
      <c r="K210" s="49" t="str">
        <f>IFERROR(__xludf.DUMMYFUNCTION("IFERROR(IF(A210="""",""ENTER STOCK"",LET(stock,A210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10" s="48">
        <f t="shared" si="6"/>
        <v>0</v>
      </c>
      <c r="M210" s="48">
        <f t="shared" si="7"/>
        <v>1</v>
      </c>
      <c r="N210" s="50">
        <f t="shared" si="8"/>
        <v>3</v>
      </c>
      <c r="O210" s="51" t="s">
        <v>295</v>
      </c>
      <c r="P210" s="46" t="str">
        <f t="shared" si="9"/>
        <v>WAIT</v>
      </c>
      <c r="Q210" s="52"/>
      <c r="R210" s="53">
        <f t="shared" si="10"/>
        <v>15</v>
      </c>
      <c r="S210" s="53">
        <f>IFERROR(__xludf.DUMMYFUNCTION("IFERROR(ROUND(GOOGLEFINANCE(A210,""volume"")/GOOGLEFINANCE(A210,""volumeavg""),2),"""")"),1.1)</f>
        <v>1.1</v>
      </c>
      <c r="T210" s="53" t="str">
        <f t="shared" si="11"/>
        <v>LOW VOL</v>
      </c>
      <c r="U210" s="53">
        <f>IFERROR(__xludf.DUMMYFUNCTION("IFERROR(
  LET(
    sd, GOOGLEFINANCE(A210,""close"",TODAY()-100,TODAY()),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"""")"),1.79)</f>
        <v>1.79</v>
      </c>
      <c r="V210" s="53" t="str">
        <f t="shared" si="12"/>
        <v>FAST</v>
      </c>
      <c r="W210" s="53">
        <f>IFERROR(__xludf.DUMMYFUNCTION("IFERROR(ROUND((B210/GOOGLEFINANCE(A210,""high52"")-1)*100,1),"""")"),-12.7)</f>
        <v>-12.7</v>
      </c>
      <c r="X210" s="53">
        <f>IFERROR(__xludf.DUMMYFUNCTION("IFERROR(ROUND((B210-GOOGLEFINANCE(A210,""low52""))/(GOOGLEFINANCE(A210,""high52"")-GOOGLEFINANCE(A210,""low52""))*100,1),"""")"),58.1)</f>
        <v>58.1</v>
      </c>
      <c r="Y210" s="53" t="str">
        <f t="shared" si="13"/>
        <v>UPPER</v>
      </c>
      <c r="Z210" s="53">
        <f>IFERROR(__xludf.DUMMYFUNCTION("IFERROR(ROUND(((B210 / INDEX(GOOGLEFINANCE(TRIM(A210), ""price"", TODAY()-34, TODAY()), 2, 2)) - (GOOGLEFINANCE(""NIFTY_50"") / INDEX(GOOGLEFINANCE(""NIFTY_50"", ""price"", TODAY()-34, TODAY()), 2, 2))) * 100, 2), ""Check History"")"),2.07)</f>
        <v>2.07</v>
      </c>
      <c r="AA210" s="53" t="str">
        <f t="shared" si="14"/>
        <v>MILD RS</v>
      </c>
      <c r="AB210" s="53">
        <f>IFERROR(__xludf.DUMMYFUNCTION("IFERROR(LET(
  p, QUERY(GOOGLEFINANCE(TRIM(A210),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Loading"")"),35.9)</f>
        <v>35.9</v>
      </c>
      <c r="AC210" s="53" t="str">
        <f t="shared" si="15"/>
        <v>WEAK MOM</v>
      </c>
      <c r="AD210" s="53" t="str">
        <f>IFERROR(__xludf.DUMMYFUNCTION("IFERROR(IF(GOOGLEFINANCE(A210,""eps"")&gt;0,""EPS+"",""EPS-""),"""")"),"EPS+")</f>
        <v>EPS+</v>
      </c>
      <c r="AE210" s="53">
        <f t="shared" si="16"/>
        <v>6</v>
      </c>
      <c r="AF210" s="53">
        <f>IFERROR(__xludf.DUMMYFUNCTION("IFERROR(N210+IF(S210&gt;=1.2,1,0)+IF(U210&gt;=1,1,0)+IF(Z210&gt;0,1,0)+IF(AND(W210&gt;=-20,W210&lt;=0),1,0)+IF(IFERROR(GOOGLEFINANCE(A210,""eps""),0)&gt;0,1,0),"""")"),7.0)</f>
        <v>7</v>
      </c>
      <c r="AG210" s="53" t="str">
        <f t="shared" si="17"/>
        <v>WAIT</v>
      </c>
    </row>
    <row r="211" ht="15.0" customHeight="1">
      <c r="A211" s="43" t="s">
        <v>375</v>
      </c>
      <c r="B211" s="44">
        <f>IFERROR(__xludf.DUMMYFUNCTION("GOOGLEFINANCE(A211,""price"")"),1301.1)</f>
        <v>1301.1</v>
      </c>
      <c r="C211" s="45">
        <f>IFERROR(__xludf.DUMMYFUNCTION("AVERAGE(QUERY(SORT(GOOGLEFINANCE(A211,""price"",TODAY()-150,TODAY()),1,0),""select Col2 limit 50""))"),1208.8859999999995)</f>
        <v>1208.886</v>
      </c>
      <c r="D211" s="45">
        <f>IFERROR(__xludf.DUMMYFUNCTION("AVERAGE(QUERY(SORT(GOOGLEFINANCE(A211,""price"",TODAY()-300,TODAY()),1,0),""select Col2 limit 100""))"),1203.843)</f>
        <v>1203.843</v>
      </c>
      <c r="E211" s="45">
        <f>IFERROR(__xludf.DUMMYFUNCTION("AVERAGE(QUERY(SORT(GOOGLEFINANCE(A211,""price"",TODAY()-500,TODAY()),1,0),""select Col2 limit 200""))"),1153.2389999999998)</f>
        <v>1153.239</v>
      </c>
      <c r="F211" s="46" t="str">
        <f t="shared" si="1"/>
        <v>In Bull Run</v>
      </c>
      <c r="G211" s="47">
        <f t="shared" si="2"/>
        <v>12.8213666</v>
      </c>
      <c r="H211" s="48" t="str">
        <f t="shared" si="3"/>
        <v>Golden ✓</v>
      </c>
      <c r="I211" s="48">
        <f t="shared" si="4"/>
        <v>3</v>
      </c>
      <c r="J211" s="48">
        <f t="shared" si="5"/>
        <v>0</v>
      </c>
      <c r="K211" s="49" t="str">
        <f>IFERROR(__xludf.DUMMYFUNCTION("IFERROR(IF(A211="""",""ENTER STOCK"",LET(stock,A211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FOUND"")"),"Short History")</f>
        <v>Short History</v>
      </c>
      <c r="L211" s="48">
        <f t="shared" si="6"/>
        <v>0</v>
      </c>
      <c r="M211" s="48">
        <f t="shared" si="7"/>
        <v>1</v>
      </c>
      <c r="N211" s="50">
        <f t="shared" si="8"/>
        <v>4</v>
      </c>
      <c r="O211" s="51" t="s">
        <v>255</v>
      </c>
      <c r="P211" s="46" t="str">
        <f t="shared" si="9"/>
        <v>SKIP</v>
      </c>
      <c r="Q211" s="52"/>
      <c r="R211" s="53">
        <f t="shared" si="10"/>
        <v>15</v>
      </c>
      <c r="S211" s="53">
        <f>IFERROR(__xludf.DUMMYFUNCTION("IFERROR(ROUND(GOOGLEFINANCE(A211,""volume"")/GOOGLEFINANCE(A211,""volumeavg""),2),"""")"),1.51)</f>
        <v>1.51</v>
      </c>
      <c r="T211" s="53" t="str">
        <f t="shared" si="11"/>
        <v>HIGH VOL</v>
      </c>
      <c r="U211" s="53">
        <f>IFERROR(__xludf.DUMMYFUNCTION("IFERROR(
  LET(
    sd, GOOGLEFINANCE(A211,""close"",TODAY()-100,TODAY()),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"""")"),0.56)</f>
        <v>0.56</v>
      </c>
      <c r="V211" s="53" t="str">
        <f t="shared" si="12"/>
        <v>SLOW</v>
      </c>
      <c r="W211" s="53">
        <f>IFERROR(__xludf.DUMMYFUNCTION("IFERROR(ROUND((B211/GOOGLEFINANCE(A211,""high52"")-1)*100,1),"""")"),-2.2)</f>
        <v>-2.2</v>
      </c>
      <c r="X211" s="53">
        <f>IFERROR(__xludf.DUMMYFUNCTION("IFERROR(ROUND((B211-GOOGLEFINANCE(A211,""low52""))/(GOOGLEFINANCE(A211,""high52"")-GOOGLEFINANCE(A211,""low52""))*100,1),"""")"),91.0)</f>
        <v>91</v>
      </c>
      <c r="Y211" s="53" t="str">
        <f t="shared" si="13"/>
        <v>AT HIGH</v>
      </c>
      <c r="Z211" s="53">
        <f>IFERROR(__xludf.DUMMYFUNCTION("IFERROR(ROUND(((B211 / INDEX(GOOGLEFINANCE(TRIM(A211), ""price"", TODAY()-34, TODAY()), 2, 2)) - (GOOGLEFINANCE(""NIFTY_50"") / INDEX(GOOGLEFINANCE(""NIFTY_50"", ""price"", TODAY()-34, TODAY()), 2, 2))) * 100, 2), ""Check History"")"),23.91)</f>
        <v>23.91</v>
      </c>
      <c r="AA211" s="53" t="str">
        <f t="shared" si="14"/>
        <v>STRONG RS</v>
      </c>
      <c r="AB211" s="53">
        <f>IFERROR(__xludf.DUMMYFUNCTION("IFERROR(LET(
  p, QUERY(GOOGLEFINANCE(TRIM(A211),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Loading"")"),54.7)</f>
        <v>54.7</v>
      </c>
      <c r="AC211" s="53" t="str">
        <f t="shared" si="15"/>
        <v>IDEAL ENTRY</v>
      </c>
      <c r="AD211" s="53" t="str">
        <f>IFERROR(__xludf.DUMMYFUNCTION("IFERROR(IF(GOOGLEFINANCE(A211,""eps"")&gt;0,""EPS+"",""EPS-""),"""")"),"EPS+")</f>
        <v>EPS+</v>
      </c>
      <c r="AE211" s="53">
        <f t="shared" si="16"/>
        <v>7</v>
      </c>
      <c r="AF211" s="53">
        <f>IFERROR(__xludf.DUMMYFUNCTION("IFERROR(N211+IF(S211&gt;=1.2,1,0)+IF(U211&gt;=1,1,0)+IF(Z211&gt;0,1,0)+IF(AND(W211&gt;=-20,W211&lt;=0),1,0)+IF(IFERROR(GOOGLEFINANCE(A211,""eps""),0)&gt;0,1,0),"""")"),8.0)</f>
        <v>8</v>
      </c>
      <c r="AG211" s="53" t="str">
        <f t="shared" si="17"/>
        <v>BUY</v>
      </c>
    </row>
    <row r="212" ht="15.0" customHeight="1">
      <c r="A212" s="43" t="s">
        <v>376</v>
      </c>
      <c r="B212" s="44">
        <f>IFERROR(__xludf.DUMMYFUNCTION("GOOGLEFINANCE(A212,""price"")"),123.65)</f>
        <v>123.65</v>
      </c>
      <c r="C212" s="45">
        <f>IFERROR(__xludf.DUMMYFUNCTION("AVERAGE(QUERY(SORT(GOOGLEFINANCE(A212,""price"",TODAY()-150,TODAY()),1,0),""select Col2 limit 50""))"),146.29240000000004)</f>
        <v>146.2924</v>
      </c>
      <c r="D212" s="45">
        <f>IFERROR(__xludf.DUMMYFUNCTION("AVERAGE(QUERY(SORT(GOOGLEFINANCE(A212,""price"",TODAY()-300,TODAY()),1,0),""select Col2 limit 100""))"),147.28720000000004)</f>
        <v>147.2872</v>
      </c>
      <c r="E212" s="45">
        <f>IFERROR(__xludf.DUMMYFUNCTION("AVERAGE(QUERY(SORT(GOOGLEFINANCE(A212,""price"",TODAY()-500,TODAY()),1,0),""select Col2 limit 200""))"),131.1713499999999)</f>
        <v>131.17135</v>
      </c>
      <c r="F212" s="46" t="str">
        <f t="shared" si="1"/>
        <v>In Bear Run</v>
      </c>
      <c r="G212" s="47">
        <f t="shared" si="2"/>
        <v>-5.733988405</v>
      </c>
      <c r="H212" s="48" t="str">
        <f t="shared" si="3"/>
        <v>Inverted ✗</v>
      </c>
      <c r="I212" s="48">
        <f t="shared" si="4"/>
        <v>0</v>
      </c>
      <c r="J212" s="48">
        <f t="shared" si="5"/>
        <v>0</v>
      </c>
      <c r="K212" s="49" t="str">
        <f>IFERROR(__xludf.DUMMYFUNCTION("IFERROR(IF(A212="""",""ENTER STOCK"",LET(stock,A212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12" s="48">
        <f t="shared" si="6"/>
        <v>0</v>
      </c>
      <c r="M212" s="48">
        <f t="shared" si="7"/>
        <v>1</v>
      </c>
      <c r="N212" s="50">
        <f t="shared" si="8"/>
        <v>1</v>
      </c>
      <c r="O212" s="51" t="s">
        <v>236</v>
      </c>
      <c r="P212" s="46" t="str">
        <f t="shared" si="9"/>
        <v>REVERSE TRADE</v>
      </c>
      <c r="Q212" s="52"/>
      <c r="R212" s="53">
        <f t="shared" si="10"/>
        <v>15</v>
      </c>
      <c r="S212" s="53">
        <f>IFERROR(__xludf.DUMMYFUNCTION("IFERROR(ROUND(GOOGLEFINANCE(A212,""volume"")/GOOGLEFINANCE(A212,""volumeavg""),2),"""")"),1.46)</f>
        <v>1.46</v>
      </c>
      <c r="T212" s="53" t="str">
        <f t="shared" si="11"/>
        <v>OK VOL</v>
      </c>
      <c r="U212" s="53">
        <f>IFERROR(__xludf.DUMMYFUNCTION("IFERROR(
  LET(
    sd, GOOGLEFINANCE(A212,""close"",TODAY()-100,TODAY()),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"""")"),1.47)</f>
        <v>1.47</v>
      </c>
      <c r="V212" s="53" t="str">
        <f t="shared" si="12"/>
        <v>FAST</v>
      </c>
      <c r="W212" s="53">
        <f>IFERROR(__xludf.DUMMYFUNCTION("IFERROR(ROUND((B212/GOOGLEFINANCE(A212,""high52"")-1)*100,1),"""")"),-24.1)</f>
        <v>-24.1</v>
      </c>
      <c r="X212" s="53">
        <f>IFERROR(__xludf.DUMMYFUNCTION("IFERROR(ROUND((B212-GOOGLEFINANCE(A212,""low52""))/(GOOGLEFINANCE(A212,""high52"")-GOOGLEFINANCE(A212,""low52""))*100,1),"""")"),50.4)</f>
        <v>50.4</v>
      </c>
      <c r="Y212" s="53" t="str">
        <f t="shared" si="13"/>
        <v>MID</v>
      </c>
      <c r="Z212" s="53">
        <f>IFERROR(__xludf.DUMMYFUNCTION("IFERROR(ROUND(((B212 / INDEX(GOOGLEFINANCE(TRIM(A212), ""price"", TODAY()-34, TODAY()), 2, 2)) - (GOOGLEFINANCE(""NIFTY_50"") / INDEX(GOOGLEFINANCE(""NIFTY_50"", ""price"", TODAY()-34, TODAY()), 2, 2))) * 100, 2), ""Check History"")"),-9.09)</f>
        <v>-9.09</v>
      </c>
      <c r="AA212" s="53" t="str">
        <f t="shared" si="14"/>
        <v>WEAK RS</v>
      </c>
      <c r="AB212" s="53">
        <f>IFERROR(__xludf.DUMMYFUNCTION("IFERROR(LET(
  p, QUERY(GOOGLEFINANCE(TRIM(A212),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Loading"")"),33.5)</f>
        <v>33.5</v>
      </c>
      <c r="AC212" s="53" t="str">
        <f t="shared" si="15"/>
        <v>WEAK MOM</v>
      </c>
      <c r="AD212" s="53" t="str">
        <f>IFERROR(__xludf.DUMMYFUNCTION("IFERROR(IF(GOOGLEFINANCE(A212,""eps"")&gt;0,""EPS+"",""EPS-""),"""")"),"EPS+")</f>
        <v>EPS+</v>
      </c>
      <c r="AE212" s="53">
        <f t="shared" si="16"/>
        <v>6</v>
      </c>
      <c r="AF212" s="53">
        <f>IFERROR(__xludf.DUMMYFUNCTION("IFERROR(N212+IF(S212&gt;=1.2,1,0)+IF(U212&gt;=1,1,0)+IF(Z212&gt;0,1,0)+IF(AND(W212&gt;=-20,W212&lt;=0),1,0)+IF(IFERROR(GOOGLEFINANCE(A212,""eps""),0)&gt;0,1,0),"""")"),4.0)</f>
        <v>4</v>
      </c>
      <c r="AG212" s="53" t="str">
        <f t="shared" si="17"/>
        <v>REVERSE TRADE</v>
      </c>
    </row>
    <row r="213" ht="15.0" customHeight="1">
      <c r="A213" s="43" t="s">
        <v>377</v>
      </c>
      <c r="B213" s="44">
        <f>IFERROR(__xludf.DUMMYFUNCTION("GOOGLEFINANCE(A213,""price"")"),150.98)</f>
        <v>150.98</v>
      </c>
      <c r="C213" s="45">
        <f>IFERROR(__xludf.DUMMYFUNCTION("AVERAGE(QUERY(SORT(GOOGLEFINANCE(A213,""price"",TODAY()-150,TODAY()),1,0),""select Col2 limit 50""))"),154.7074)</f>
        <v>154.7074</v>
      </c>
      <c r="D213" s="45">
        <f>IFERROR(__xludf.DUMMYFUNCTION("AVERAGE(QUERY(SORT(GOOGLEFINANCE(A213,""price"",TODAY()-300,TODAY()),1,0),""select Col2 limit 100""))"),146.14299999999997)</f>
        <v>146.143</v>
      </c>
      <c r="E213" s="45">
        <f>IFERROR(__xludf.DUMMYFUNCTION("AVERAGE(QUERY(SORT(GOOGLEFINANCE(A213,""price"",TODAY()-500,TODAY()),1,0),""select Col2 limit 200""))"),138.09869999999992)</f>
        <v>138.0987</v>
      </c>
      <c r="F213" s="46" t="str">
        <f t="shared" si="1"/>
        <v>Unconfirmed</v>
      </c>
      <c r="G213" s="47">
        <f t="shared" si="2"/>
        <v>9.327604098</v>
      </c>
      <c r="H213" s="48" t="str">
        <f t="shared" si="3"/>
        <v>Golden ✓</v>
      </c>
      <c r="I213" s="48">
        <f t="shared" si="4"/>
        <v>3</v>
      </c>
      <c r="J213" s="48">
        <f t="shared" si="5"/>
        <v>4</v>
      </c>
      <c r="K213" s="49" t="str">
        <f>IFERROR(__xludf.DUMMYFUNCTION("IFERROR(IF(A213="""",""ENTER STOCK"",LET(stock,A213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13" s="48">
        <f t="shared" si="6"/>
        <v>0</v>
      </c>
      <c r="M213" s="48">
        <f t="shared" si="7"/>
        <v>1</v>
      </c>
      <c r="N213" s="50">
        <f t="shared" si="8"/>
        <v>8</v>
      </c>
      <c r="O213" s="51" t="s">
        <v>312</v>
      </c>
      <c r="P213" s="46" t="str">
        <f t="shared" si="9"/>
        <v>WAIT</v>
      </c>
      <c r="Q213" s="52"/>
      <c r="R213" s="53">
        <f t="shared" si="10"/>
        <v>15</v>
      </c>
      <c r="S213" s="53">
        <f>IFERROR(__xludf.DUMMYFUNCTION("IFERROR(ROUND(GOOGLEFINANCE(A213,""volume"")/GOOGLEFINANCE(A213,""volumeavg""),2),"""")"),3.53)</f>
        <v>3.53</v>
      </c>
      <c r="T213" s="53" t="str">
        <f t="shared" si="11"/>
        <v>HIGH VOL</v>
      </c>
      <c r="U213" s="53">
        <f>IFERROR(__xludf.DUMMYFUNCTION("IFERROR(
  LET(
    sd, GOOGLEFINANCE(A213,""close"",TODAY()-100,TODAY()),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"""")"),1.2)</f>
        <v>1.2</v>
      </c>
      <c r="V213" s="53" t="str">
        <f t="shared" si="12"/>
        <v>FAST</v>
      </c>
      <c r="W213" s="53">
        <f>IFERROR(__xludf.DUMMYFUNCTION("IFERROR(ROUND((B213/GOOGLEFINANCE(A213,""high52"")-1)*100,1),"""")"),-10.2)</f>
        <v>-10.2</v>
      </c>
      <c r="X213" s="53">
        <f>IFERROR(__xludf.DUMMYFUNCTION("IFERROR(ROUND((B213-GOOGLEFINANCE(A213,""low52""))/(GOOGLEFINANCE(A213,""high52"")-GOOGLEFINANCE(A213,""low52""))*100,1),"""")"),74.3)</f>
        <v>74.3</v>
      </c>
      <c r="Y213" s="53" t="str">
        <f t="shared" si="13"/>
        <v>UPPER</v>
      </c>
      <c r="Z213" s="53">
        <f>IFERROR(__xludf.DUMMYFUNCTION("IFERROR(ROUND(((B213 / INDEX(GOOGLEFINANCE(TRIM(A213), ""price"", TODAY()-34, TODAY()), 2, 2)) - (GOOGLEFINANCE(""NIFTY_50"") / INDEX(GOOGLEFINANCE(""NIFTY_50"", ""price"", TODAY()-34, TODAY()), 2, 2))) * 100, 2), ""Check History"")"),6.42)</f>
        <v>6.42</v>
      </c>
      <c r="AA213" s="53" t="str">
        <f t="shared" si="14"/>
        <v>STRONG RS</v>
      </c>
      <c r="AB213" s="53">
        <f>IFERROR(__xludf.DUMMYFUNCTION("IFERROR(LET(
  p, QUERY(GOOGLEFINANCE(TRIM(A213),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Loading"")"),44.4)</f>
        <v>44.4</v>
      </c>
      <c r="AC213" s="53" t="str">
        <f t="shared" si="15"/>
        <v>WEAK MOM</v>
      </c>
      <c r="AD213" s="53" t="str">
        <f>IFERROR(__xludf.DUMMYFUNCTION("IFERROR(IF(GOOGLEFINANCE(A213,""eps"")&gt;0,""EPS+"",""EPS-""),"""")"),"EPS+")</f>
        <v>EPS+</v>
      </c>
      <c r="AE213" s="53">
        <f t="shared" si="16"/>
        <v>9</v>
      </c>
      <c r="AF213" s="53">
        <f>IFERROR(__xludf.DUMMYFUNCTION("IFERROR(N213+IF(S213&gt;=1.2,1,0)+IF(U213&gt;=1,1,0)+IF(Z213&gt;0,1,0)+IF(AND(W213&gt;=-20,W213&lt;=0),1,0)+IF(IFERROR(GOOGLEFINANCE(A213,""eps""),0)&gt;0,1,0),"""")"),13.0)</f>
        <v>13</v>
      </c>
      <c r="AG213" s="53" t="str">
        <f t="shared" si="17"/>
        <v>WAIT</v>
      </c>
    </row>
    <row r="214" ht="15.0" customHeight="1">
      <c r="A214" s="43" t="s">
        <v>378</v>
      </c>
      <c r="B214" s="44">
        <f>IFERROR(__xludf.DUMMYFUNCTION("GOOGLEFINANCE(A214,""price"")"),105.1)</f>
        <v>105.1</v>
      </c>
      <c r="C214" s="45">
        <f>IFERROR(__xludf.DUMMYFUNCTION("AVERAGE(QUERY(SORT(GOOGLEFINANCE(A214,""price"",TODAY()-150,TODAY()),1,0),""select Col2 limit 50""))"),120.13)</f>
        <v>120.13</v>
      </c>
      <c r="D214" s="45">
        <f>IFERROR(__xludf.DUMMYFUNCTION("AVERAGE(QUERY(SORT(GOOGLEFINANCE(A214,""price"",TODAY()-300,TODAY()),1,0),""select Col2 limit 100""))"),117.57509999999988)</f>
        <v>117.5751</v>
      </c>
      <c r="E214" s="45">
        <f>IFERROR(__xludf.DUMMYFUNCTION("AVERAGE(QUERY(SORT(GOOGLEFINANCE(A214,""price"",TODAY()-500,TODAY()),1,0),""select Col2 limit 200""))"),109.58019999999996)</f>
        <v>109.5802</v>
      </c>
      <c r="F214" s="46" t="str">
        <f t="shared" si="1"/>
        <v>In Bear Run</v>
      </c>
      <c r="G214" s="47">
        <f t="shared" si="2"/>
        <v>-4.088512341</v>
      </c>
      <c r="H214" s="48" t="str">
        <f t="shared" si="3"/>
        <v>Golden ✓</v>
      </c>
      <c r="I214" s="48">
        <f t="shared" si="4"/>
        <v>3</v>
      </c>
      <c r="J214" s="48">
        <f t="shared" si="5"/>
        <v>0</v>
      </c>
      <c r="K214" s="49" t="str">
        <f>IFERROR(__xludf.DUMMYFUNCTION("IFERROR(IF(A214="""",""ENTER STOCK"",LET(stock,A214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14" s="48">
        <f t="shared" si="6"/>
        <v>0</v>
      </c>
      <c r="M214" s="48">
        <f t="shared" si="7"/>
        <v>1</v>
      </c>
      <c r="N214" s="50">
        <f t="shared" si="8"/>
        <v>4</v>
      </c>
      <c r="O214" s="51" t="s">
        <v>198</v>
      </c>
      <c r="P214" s="46" t="str">
        <f t="shared" si="9"/>
        <v>REVERSE TRADE</v>
      </c>
      <c r="Q214" s="52"/>
      <c r="R214" s="53">
        <f t="shared" si="10"/>
        <v>15</v>
      </c>
      <c r="S214" s="53">
        <f>IFERROR(__xludf.DUMMYFUNCTION("IFERROR(ROUND(GOOGLEFINANCE(A214,""volume"")/GOOGLEFINANCE(A214,""volumeavg""),2),"""")"),1.83)</f>
        <v>1.83</v>
      </c>
      <c r="T214" s="53" t="str">
        <f t="shared" si="11"/>
        <v>HIGH VOL</v>
      </c>
      <c r="U214" s="53">
        <f>IFERROR(__xludf.DUMMYFUNCTION("IFERROR(
  LET(
    sd, GOOGLEFINANCE(A214,""close"",TODAY()-100,TODAY()),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"""")"),1.9)</f>
        <v>1.9</v>
      </c>
      <c r="V214" s="53" t="str">
        <f t="shared" si="12"/>
        <v>FAST</v>
      </c>
      <c r="W214" s="53">
        <f>IFERROR(__xludf.DUMMYFUNCTION("IFERROR(ROUND((B214/GOOGLEFINANCE(A214,""high52"")-1)*100,1),"""")"),-22.8)</f>
        <v>-22.8</v>
      </c>
      <c r="X214" s="53">
        <f>IFERROR(__xludf.DUMMYFUNCTION("IFERROR(ROUND((B214-GOOGLEFINANCE(A214,""low52""))/(GOOGLEFINANCE(A214,""high52"")-GOOGLEFINANCE(A214,""low52""))*100,1),"""")"),52.0)</f>
        <v>52</v>
      </c>
      <c r="Y214" s="53" t="str">
        <f t="shared" si="13"/>
        <v>MID</v>
      </c>
      <c r="Z214" s="53">
        <f>IFERROR(__xludf.DUMMYFUNCTION("IFERROR(ROUND(((B214 / INDEX(GOOGLEFINANCE(TRIM(A214), ""price"", TODAY()-34, TODAY()), 2, 2)) - (GOOGLEFINANCE(""NIFTY_50"") / INDEX(GOOGLEFINANCE(""NIFTY_50"", ""price"", TODAY()-34, TODAY()), 2, 2))) * 100, 2), ""Check History"")"),-7.95)</f>
        <v>-7.95</v>
      </c>
      <c r="AA214" s="53" t="str">
        <f t="shared" si="14"/>
        <v>WEAK RS</v>
      </c>
      <c r="AB214" s="53">
        <f>IFERROR(__xludf.DUMMYFUNCTION("IFERROR(LET(
  p, QUERY(GOOGLEFINANCE(TRIM(A214),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Loading"")"),50.2)</f>
        <v>50.2</v>
      </c>
      <c r="AC214" s="53" t="str">
        <f t="shared" si="15"/>
        <v>IDEAL ENTRY</v>
      </c>
      <c r="AD214" s="53" t="str">
        <f>IFERROR(__xludf.DUMMYFUNCTION("IFERROR(IF(GOOGLEFINANCE(A214,""eps"")&gt;0,""EPS+"",""EPS-""),"""")"),"EPS+")</f>
        <v>EPS+</v>
      </c>
      <c r="AE214" s="53">
        <f t="shared" si="16"/>
        <v>7</v>
      </c>
      <c r="AF214" s="53">
        <f>IFERROR(__xludf.DUMMYFUNCTION("IFERROR(N214+IF(S214&gt;=1.2,1,0)+IF(U214&gt;=1,1,0)+IF(Z214&gt;0,1,0)+IF(AND(W214&gt;=-20,W214&lt;=0),1,0)+IF(IFERROR(GOOGLEFINANCE(A214,""eps""),0)&gt;0,1,0),"""")"),7.0)</f>
        <v>7</v>
      </c>
      <c r="AG214" s="53" t="str">
        <f t="shared" si="17"/>
        <v>REVERSE TRADE</v>
      </c>
    </row>
    <row r="215" ht="15.0" customHeight="1">
      <c r="A215" s="43" t="s">
        <v>379</v>
      </c>
      <c r="B215" s="44">
        <f>IFERROR(__xludf.DUMMYFUNCTION("GOOGLEFINANCE(A215,""price"")"),3360.0)</f>
        <v>3360</v>
      </c>
      <c r="C215" s="45">
        <f>IFERROR(__xludf.DUMMYFUNCTION("AVERAGE(QUERY(SORT(GOOGLEFINANCE(A215,""price"",TODAY()-150,TODAY()),1,0),""select Col2 limit 50""))"),3677.503999999999)</f>
        <v>3677.504</v>
      </c>
      <c r="D215" s="45">
        <f>IFERROR(__xludf.DUMMYFUNCTION("AVERAGE(QUERY(SORT(GOOGLEFINANCE(A215,""price"",TODAY()-300,TODAY()),1,0),""select Col2 limit 100""))"),3643.2400000000007)</f>
        <v>3643.24</v>
      </c>
      <c r="E215" s="45">
        <f>IFERROR(__xludf.DUMMYFUNCTION("AVERAGE(QUERY(SORT(GOOGLEFINANCE(A215,""price"",TODAY()-500,TODAY()),1,0),""select Col2 limit 200""))"),3408.6385000000005)</f>
        <v>3408.6385</v>
      </c>
      <c r="F215" s="46" t="str">
        <f t="shared" si="1"/>
        <v>In Bear Run</v>
      </c>
      <c r="G215" s="47">
        <f t="shared" si="2"/>
        <v>-1.426918695</v>
      </c>
      <c r="H215" s="48" t="str">
        <f t="shared" si="3"/>
        <v>Golden ✓</v>
      </c>
      <c r="I215" s="48">
        <f t="shared" si="4"/>
        <v>3</v>
      </c>
      <c r="J215" s="48">
        <f t="shared" si="5"/>
        <v>0</v>
      </c>
      <c r="K215" s="49" t="str">
        <f>IFERROR(__xludf.DUMMYFUNCTION("IFERROR(IF(A215="""",""ENTER STOCK"",LET(stock,A215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15" s="48">
        <f t="shared" si="6"/>
        <v>0</v>
      </c>
      <c r="M215" s="48">
        <f t="shared" si="7"/>
        <v>1</v>
      </c>
      <c r="N215" s="50">
        <f t="shared" si="8"/>
        <v>4</v>
      </c>
      <c r="O215" s="51" t="s">
        <v>271</v>
      </c>
      <c r="P215" s="46" t="str">
        <f t="shared" si="9"/>
        <v>REVERSE TRADE</v>
      </c>
      <c r="Q215" s="52"/>
      <c r="R215" s="53">
        <f t="shared" si="10"/>
        <v>15</v>
      </c>
      <c r="S215" s="53">
        <f>IFERROR(__xludf.DUMMYFUNCTION("IFERROR(ROUND(GOOGLEFINANCE(A215,""volume"")/GOOGLEFINANCE(A215,""volumeavg""),2),"""")"),1.52)</f>
        <v>1.52</v>
      </c>
      <c r="T215" s="53" t="str">
        <f t="shared" si="11"/>
        <v>HIGH VOL</v>
      </c>
      <c r="U215" s="53">
        <f>IFERROR(__xludf.DUMMYFUNCTION("IFERROR(
  LET(
    sd, GOOGLEFINANCE(A215,""close"",TODAY()-100,TODAY()),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"""")"),1.32)</f>
        <v>1.32</v>
      </c>
      <c r="V215" s="53" t="str">
        <f t="shared" si="12"/>
        <v>FAST</v>
      </c>
      <c r="W215" s="53">
        <f>IFERROR(__xludf.DUMMYFUNCTION("IFERROR(ROUND((B215/GOOGLEFINANCE(A215,""high52"")-1)*100,1),"""")"),-15.4)</f>
        <v>-15.4</v>
      </c>
      <c r="X215" s="53">
        <f>IFERROR(__xludf.DUMMYFUNCTION("IFERROR(ROUND((B215-GOOGLEFINANCE(A215,""low52""))/(GOOGLEFINANCE(A215,""high52"")-GOOGLEFINANCE(A215,""low52""))*100,1),"""")"),65.1)</f>
        <v>65.1</v>
      </c>
      <c r="Y215" s="53" t="str">
        <f t="shared" si="13"/>
        <v>UPPER</v>
      </c>
      <c r="Z215" s="53">
        <f>IFERROR(__xludf.DUMMYFUNCTION("IFERROR(ROUND(((B215 / INDEX(GOOGLEFINANCE(TRIM(A215), ""price"", TODAY()-34, TODAY()), 2, 2)) - (GOOGLEFINANCE(""NIFTY_50"") / INDEX(GOOGLEFINANCE(""NIFTY_50"", ""price"", TODAY()-34, TODAY()), 2, 2))) * 100, 2), ""Check History"")"),0.21)</f>
        <v>0.21</v>
      </c>
      <c r="AA215" s="53" t="str">
        <f t="shared" si="14"/>
        <v>MILD RS</v>
      </c>
      <c r="AB215" s="53">
        <f>IFERROR(__xludf.DUMMYFUNCTION("IFERROR(LET(
  p, QUERY(GOOGLEFINANCE(TRIM(A215),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Loading"")"),40.2)</f>
        <v>40.2</v>
      </c>
      <c r="AC215" s="53" t="str">
        <f t="shared" si="15"/>
        <v>WEAK MOM</v>
      </c>
      <c r="AD215" s="53" t="str">
        <f>IFERROR(__xludf.DUMMYFUNCTION("IFERROR(IF(GOOGLEFINANCE(A215,""eps"")&gt;0,""EPS+"",""EPS-""),"""")"),"EPS+")</f>
        <v>EPS+</v>
      </c>
      <c r="AE215" s="53">
        <f t="shared" si="16"/>
        <v>8</v>
      </c>
      <c r="AF215" s="53">
        <f>IFERROR(__xludf.DUMMYFUNCTION("IFERROR(N215+IF(S215&gt;=1.2,1,0)+IF(U215&gt;=1,1,0)+IF(Z215&gt;0,1,0)+IF(AND(W215&gt;=-20,W215&lt;=0),1,0)+IF(IFERROR(GOOGLEFINANCE(A215,""eps""),0)&gt;0,1,0),"""")"),9.0)</f>
        <v>9</v>
      </c>
      <c r="AG215" s="53" t="str">
        <f t="shared" si="17"/>
        <v>REVERSE TRADE</v>
      </c>
    </row>
    <row r="216" ht="15.0" customHeight="1">
      <c r="A216" s="43" t="s">
        <v>380</v>
      </c>
      <c r="B216" s="44">
        <f>IFERROR(__xludf.DUMMYFUNCTION("GOOGLEFINANCE(A216,""price"")"),2122.0)</f>
        <v>2122</v>
      </c>
      <c r="C216" s="45">
        <f>IFERROR(__xludf.DUMMYFUNCTION("AVERAGE(QUERY(SORT(GOOGLEFINANCE(A216,""price"",TODAY()-150,TODAY()),1,0),""select Col2 limit 50""))"),2060.796)</f>
        <v>2060.796</v>
      </c>
      <c r="D216" s="45">
        <f>IFERROR(__xludf.DUMMYFUNCTION("AVERAGE(QUERY(SORT(GOOGLEFINANCE(A216,""price"",TODAY()-300,TODAY()),1,0),""select Col2 limit 100""))"),2005.2749999999996)</f>
        <v>2005.275</v>
      </c>
      <c r="E216" s="45">
        <f>IFERROR(__xludf.DUMMYFUNCTION("AVERAGE(QUERY(SORT(GOOGLEFINANCE(A216,""price"",TODAY()-500,TODAY()),1,0),""select Col2 limit 200""))"),1976.8365)</f>
        <v>1976.8365</v>
      </c>
      <c r="F216" s="46" t="str">
        <f t="shared" si="1"/>
        <v>In Bull Run</v>
      </c>
      <c r="G216" s="47">
        <f t="shared" si="2"/>
        <v>7.343222366</v>
      </c>
      <c r="H216" s="48" t="str">
        <f t="shared" si="3"/>
        <v>Golden ✓</v>
      </c>
      <c r="I216" s="48">
        <f t="shared" si="4"/>
        <v>3</v>
      </c>
      <c r="J216" s="48">
        <f t="shared" si="5"/>
        <v>4</v>
      </c>
      <c r="K216" s="49" t="str">
        <f>IFERROR(__xludf.DUMMYFUNCTION("IFERROR(IF(A216="""",""ENTER STOCK"",LET(stock,A216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16" s="48">
        <f t="shared" si="6"/>
        <v>0</v>
      </c>
      <c r="M216" s="48">
        <f t="shared" si="7"/>
        <v>1</v>
      </c>
      <c r="N216" s="50">
        <f t="shared" si="8"/>
        <v>8</v>
      </c>
      <c r="O216" s="51" t="s">
        <v>255</v>
      </c>
      <c r="P216" s="46" t="str">
        <f t="shared" si="9"/>
        <v>PRIME BUY</v>
      </c>
      <c r="Q216" s="52"/>
      <c r="R216" s="53">
        <f t="shared" si="10"/>
        <v>15</v>
      </c>
      <c r="S216" s="53">
        <f>IFERROR(__xludf.DUMMYFUNCTION("IFERROR(ROUND(GOOGLEFINANCE(A216,""volume"")/GOOGLEFINANCE(A216,""volumeavg""),2),"""")"),2.32)</f>
        <v>2.32</v>
      </c>
      <c r="T216" s="53" t="str">
        <f t="shared" si="11"/>
        <v>HIGH VOL</v>
      </c>
      <c r="U216" s="53">
        <f>IFERROR(__xludf.DUMMYFUNCTION("IFERROR(
  LET(
    sd, GOOGLEFINANCE(A216,""close"",TODAY()-100,TODAY()),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"""")"),1.14)</f>
        <v>1.14</v>
      </c>
      <c r="V216" s="53" t="str">
        <f t="shared" si="12"/>
        <v>MEDIUM</v>
      </c>
      <c r="W216" s="53">
        <f>IFERROR(__xludf.DUMMYFUNCTION("IFERROR(ROUND((B216/GOOGLEFINANCE(A216,""high52"")-1)*100,1),"""")"),-7.7)</f>
        <v>-7.7</v>
      </c>
      <c r="X216" s="53">
        <f>IFERROR(__xludf.DUMMYFUNCTION("IFERROR(ROUND((B216-GOOGLEFINANCE(A216,""low52""))/(GOOGLEFINANCE(A216,""high52"")-GOOGLEFINANCE(A216,""low52""))*100,1),"""")"),81.7)</f>
        <v>81.7</v>
      </c>
      <c r="Y216" s="53" t="str">
        <f t="shared" si="13"/>
        <v>UPPER</v>
      </c>
      <c r="Z216" s="53">
        <f>IFERROR(__xludf.DUMMYFUNCTION("IFERROR(ROUND(((B216 / INDEX(GOOGLEFINANCE(TRIM(A216), ""price"", TODAY()-34, TODAY()), 2, 2)) - (GOOGLEFINANCE(""NIFTY_50"") / INDEX(GOOGLEFINANCE(""NIFTY_50"", ""price"", TODAY()-34, TODAY()), 2, 2))) * 100, 2), ""Check History"")"),15.25)</f>
        <v>15.25</v>
      </c>
      <c r="AA216" s="53" t="str">
        <f t="shared" si="14"/>
        <v>STRONG RS</v>
      </c>
      <c r="AB216" s="53">
        <f>IFERROR(__xludf.DUMMYFUNCTION("IFERROR(LET(
  p, QUERY(GOOGLEFINANCE(TRIM(A216),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Loading"")"),43.8)</f>
        <v>43.8</v>
      </c>
      <c r="AC216" s="53" t="str">
        <f t="shared" si="15"/>
        <v>WEAK MOM</v>
      </c>
      <c r="AD216" s="53" t="str">
        <f>IFERROR(__xludf.DUMMYFUNCTION("IFERROR(IF(GOOGLEFINANCE(A216,""eps"")&gt;0,""EPS+"",""EPS-""),"""")"),"EPS+")</f>
        <v>EPS+</v>
      </c>
      <c r="AE216" s="53">
        <f t="shared" si="16"/>
        <v>9</v>
      </c>
      <c r="AF216" s="53">
        <f>IFERROR(__xludf.DUMMYFUNCTION("IFERROR(N216+IF(S216&gt;=1.2,1,0)+IF(U216&gt;=1,1,0)+IF(Z216&gt;0,1,0)+IF(AND(W216&gt;=-20,W216&lt;=0),1,0)+IF(IFERROR(GOOGLEFINANCE(A216,""eps""),0)&gt;0,1,0),"""")"),13.0)</f>
        <v>13</v>
      </c>
      <c r="AG216" s="53" t="str">
        <f t="shared" si="17"/>
        <v>PRIME FAST [&lt;10d]</v>
      </c>
    </row>
    <row r="217" ht="15.0" customHeight="1">
      <c r="A217" s="43" t="s">
        <v>381</v>
      </c>
      <c r="B217" s="44">
        <f>IFERROR(__xludf.DUMMYFUNCTION("GOOGLEFINANCE(A217,""price"")"),841.65)</f>
        <v>841.65</v>
      </c>
      <c r="C217" s="45">
        <f>IFERROR(__xludf.DUMMYFUNCTION("AVERAGE(QUERY(SORT(GOOGLEFINANCE(A217,""price"",TODAY()-150,TODAY()),1,0),""select Col2 limit 50""))"),960.8219999999998)</f>
        <v>960.822</v>
      </c>
      <c r="D217" s="45">
        <f>IFERROR(__xludf.DUMMYFUNCTION("AVERAGE(QUERY(SORT(GOOGLEFINANCE(A217,""price"",TODAY()-300,TODAY()),1,0),""select Col2 limit 100""))"),957.932)</f>
        <v>957.932</v>
      </c>
      <c r="E217" s="45">
        <f>IFERROR(__xludf.DUMMYFUNCTION("AVERAGE(QUERY(SORT(GOOGLEFINANCE(A217,""price"",TODAY()-500,TODAY()),1,0),""select Col2 limit 200""))"),863.2635)</f>
        <v>863.2635</v>
      </c>
      <c r="F217" s="46" t="str">
        <f t="shared" si="1"/>
        <v>In Bear Run</v>
      </c>
      <c r="G217" s="47">
        <f t="shared" si="2"/>
        <v>-2.503696728</v>
      </c>
      <c r="H217" s="48" t="str">
        <f t="shared" si="3"/>
        <v>Golden ✓</v>
      </c>
      <c r="I217" s="48">
        <f t="shared" si="4"/>
        <v>3</v>
      </c>
      <c r="J217" s="48">
        <f t="shared" si="5"/>
        <v>0</v>
      </c>
      <c r="K217" s="49" t="str">
        <f>IFERROR(__xludf.DUMMYFUNCTION("IFERROR(IF(A217="""",""ENTER STOCK"",LET(stock,A217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17" s="48">
        <f t="shared" si="6"/>
        <v>0</v>
      </c>
      <c r="M217" s="48">
        <f t="shared" si="7"/>
        <v>1</v>
      </c>
      <c r="N217" s="50">
        <f t="shared" si="8"/>
        <v>4</v>
      </c>
      <c r="O217" s="51" t="s">
        <v>236</v>
      </c>
      <c r="P217" s="46" t="str">
        <f t="shared" si="9"/>
        <v>REVERSE TRADE</v>
      </c>
      <c r="Q217" s="52"/>
      <c r="R217" s="53">
        <f t="shared" si="10"/>
        <v>15</v>
      </c>
      <c r="S217" s="53">
        <f>IFERROR(__xludf.DUMMYFUNCTION("IFERROR(ROUND(GOOGLEFINANCE(A217,""volume"")/GOOGLEFINANCE(A217,""volumeavg""),2),"""")"),1.22)</f>
        <v>1.22</v>
      </c>
      <c r="T217" s="53" t="str">
        <f t="shared" si="11"/>
        <v>OK VOL</v>
      </c>
      <c r="U217" s="53">
        <f>IFERROR(__xludf.DUMMYFUNCTION("IFERROR(
  LET(
    sd, GOOGLEFINANCE(A217,""close"",TODAY()-100,TODAY()),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"""")"),1.22)</f>
        <v>1.22</v>
      </c>
      <c r="V217" s="53" t="str">
        <f t="shared" si="12"/>
        <v>FAST</v>
      </c>
      <c r="W217" s="53">
        <f>IFERROR(__xludf.DUMMYFUNCTION("IFERROR(ROUND((B217/GOOGLEFINANCE(A217,""high52"")-1)*100,1),"""")"),-19.0)</f>
        <v>-19</v>
      </c>
      <c r="X217" s="53">
        <f>IFERROR(__xludf.DUMMYFUNCTION("IFERROR(ROUND((B217-GOOGLEFINANCE(A217,""low52""))/(GOOGLEFINANCE(A217,""high52"")-GOOGLEFINANCE(A217,""low52""))*100,1),"""")"),62.4)</f>
        <v>62.4</v>
      </c>
      <c r="Y217" s="53" t="str">
        <f t="shared" si="13"/>
        <v>UPPER</v>
      </c>
      <c r="Z217" s="53">
        <f>IFERROR(__xludf.DUMMYFUNCTION("IFERROR(ROUND(((B217 / INDEX(GOOGLEFINANCE(TRIM(A217), ""price"", TODAY()-34, TODAY()), 2, 2)) - (GOOGLEFINANCE(""NIFTY_50"") / INDEX(GOOGLEFINANCE(""NIFTY_50"", ""price"", TODAY()-34, TODAY()), 2, 2))) * 100, 2), ""Check History"")"),-3.85)</f>
        <v>-3.85</v>
      </c>
      <c r="AA217" s="53" t="str">
        <f t="shared" si="14"/>
        <v>WEAK RS</v>
      </c>
      <c r="AB217" s="53">
        <f>IFERROR(__xludf.DUMMYFUNCTION("IFERROR(LET(
  p, QUERY(GOOGLEFINANCE(TRIM(A217),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Loading"")"),42.8)</f>
        <v>42.8</v>
      </c>
      <c r="AC217" s="53" t="str">
        <f t="shared" si="15"/>
        <v>WEAK MOM</v>
      </c>
      <c r="AD217" s="53" t="str">
        <f>IFERROR(__xludf.DUMMYFUNCTION("IFERROR(IF(GOOGLEFINANCE(A217,""eps"")&gt;0,""EPS+"",""EPS-""),"""")"),"EPS+")</f>
        <v>EPS+</v>
      </c>
      <c r="AE217" s="53">
        <f t="shared" si="16"/>
        <v>6</v>
      </c>
      <c r="AF217" s="53">
        <f>IFERROR(__xludf.DUMMYFUNCTION("IFERROR(N217+IF(S217&gt;=1.2,1,0)+IF(U217&gt;=1,1,0)+IF(Z217&gt;0,1,0)+IF(AND(W217&gt;=-20,W217&lt;=0),1,0)+IF(IFERROR(GOOGLEFINANCE(A217,""eps""),0)&gt;0,1,0),"""")"),8.0)</f>
        <v>8</v>
      </c>
      <c r="AG217" s="53" t="str">
        <f t="shared" si="17"/>
        <v>REVERSE TRADE</v>
      </c>
    </row>
    <row r="218" ht="15.0" customHeight="1">
      <c r="A218" s="43" t="s">
        <v>382</v>
      </c>
      <c r="B218" s="44">
        <f>IFERROR(__xludf.DUMMYFUNCTION("GOOGLEFINANCE(A218,""price"")"),5975.0)</f>
        <v>5975</v>
      </c>
      <c r="C218" s="45">
        <f>IFERROR(__xludf.DUMMYFUNCTION("AVERAGE(QUERY(SORT(GOOGLEFINANCE(A218,""price"",TODAY()-150,TODAY()),1,0),""select Col2 limit 50""))"),5769.42)</f>
        <v>5769.42</v>
      </c>
      <c r="D218" s="45">
        <f>IFERROR(__xludf.DUMMYFUNCTION("AVERAGE(QUERY(SORT(GOOGLEFINANCE(A218,""price"",TODAY()-300,TODAY()),1,0),""select Col2 limit 100""))"),5452.635)</f>
        <v>5452.635</v>
      </c>
      <c r="E218" s="45">
        <f>IFERROR(__xludf.DUMMYFUNCTION("AVERAGE(QUERY(SORT(GOOGLEFINANCE(A218,""price"",TODAY()-500,TODAY()),1,0),""select Col2 limit 200""))"),5441.2175000000025)</f>
        <v>5441.2175</v>
      </c>
      <c r="F218" s="46" t="str">
        <f t="shared" si="1"/>
        <v>In Bull Run</v>
      </c>
      <c r="G218" s="47">
        <f t="shared" si="2"/>
        <v>9.809982784</v>
      </c>
      <c r="H218" s="48" t="str">
        <f t="shared" si="3"/>
        <v>Golden ✓</v>
      </c>
      <c r="I218" s="48">
        <f t="shared" si="4"/>
        <v>3</v>
      </c>
      <c r="J218" s="48">
        <f t="shared" si="5"/>
        <v>4</v>
      </c>
      <c r="K218" s="49" t="str">
        <f>IFERROR(__xludf.DUMMYFUNCTION("IFERROR(IF(A218="""",""ENTER STOCK"",LET(stock,A218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18" s="48">
        <f t="shared" si="6"/>
        <v>0</v>
      </c>
      <c r="M218" s="48">
        <f t="shared" si="7"/>
        <v>1</v>
      </c>
      <c r="N218" s="50">
        <f t="shared" si="8"/>
        <v>8</v>
      </c>
      <c r="O218" s="51" t="s">
        <v>175</v>
      </c>
      <c r="P218" s="46" t="str">
        <f t="shared" si="9"/>
        <v>PRIME BUY</v>
      </c>
      <c r="Q218" s="52"/>
      <c r="R218" s="53">
        <f t="shared" si="10"/>
        <v>15</v>
      </c>
      <c r="S218" s="53">
        <f>IFERROR(__xludf.DUMMYFUNCTION("IFERROR(ROUND(GOOGLEFINANCE(A218,""volume"")/GOOGLEFINANCE(A218,""volumeavg""),2),"""")"),0.72)</f>
        <v>0.72</v>
      </c>
      <c r="T218" s="53" t="str">
        <f t="shared" si="11"/>
        <v>LOW VOL</v>
      </c>
      <c r="U218" s="53">
        <f>IFERROR(__xludf.DUMMYFUNCTION("IFERROR(
  LET(
    sd, GOOGLEFINANCE(A218,""close"",TODAY()-100,TODAY()),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"""")"),1.06)</f>
        <v>1.06</v>
      </c>
      <c r="V218" s="53" t="str">
        <f t="shared" si="12"/>
        <v>MEDIUM</v>
      </c>
      <c r="W218" s="53">
        <f>IFERROR(__xludf.DUMMYFUNCTION("IFERROR(ROUND((B218/GOOGLEFINANCE(A218,""high52"")-1)*100,1),"""")"),-8.8)</f>
        <v>-8.8</v>
      </c>
      <c r="X218" s="53">
        <f>IFERROR(__xludf.DUMMYFUNCTION("IFERROR(ROUND((B218-GOOGLEFINANCE(A218,""low52""))/(GOOGLEFINANCE(A218,""high52"")-GOOGLEFINANCE(A218,""low52""))*100,1),"""")"),69.8)</f>
        <v>69.8</v>
      </c>
      <c r="Y218" s="53" t="str">
        <f t="shared" si="13"/>
        <v>UPPER</v>
      </c>
      <c r="Z218" s="53">
        <f>IFERROR(__xludf.DUMMYFUNCTION("IFERROR(ROUND(((B218 / INDEX(GOOGLEFINANCE(TRIM(A218), ""price"", TODAY()-34, TODAY()), 2, 2)) - (GOOGLEFINANCE(""NIFTY_50"") / INDEX(GOOGLEFINANCE(""NIFTY_50"", ""price"", TODAY()-34, TODAY()), 2, 2))) * 100, 2), ""Check History"")"),10.83)</f>
        <v>10.83</v>
      </c>
      <c r="AA218" s="53" t="str">
        <f t="shared" si="14"/>
        <v>STRONG RS</v>
      </c>
      <c r="AB218" s="53">
        <f>IFERROR(__xludf.DUMMYFUNCTION("IFERROR(LET(
  p, QUERY(GOOGLEFINANCE(TRIM(A218),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Loading"")"),41.6)</f>
        <v>41.6</v>
      </c>
      <c r="AC218" s="53" t="str">
        <f t="shared" si="15"/>
        <v>WEAK MOM</v>
      </c>
      <c r="AD218" s="53" t="str">
        <f>IFERROR(__xludf.DUMMYFUNCTION("IFERROR(IF(GOOGLEFINANCE(A218,""eps"")&gt;0,""EPS+"",""EPS-""),"""")"),"EPS+")</f>
        <v>EPS+</v>
      </c>
      <c r="AE218" s="53">
        <f t="shared" si="16"/>
        <v>5</v>
      </c>
      <c r="AF218" s="53">
        <f>IFERROR(__xludf.DUMMYFUNCTION("IFERROR(N218+IF(S218&gt;=1.2,1,0)+IF(U218&gt;=1,1,0)+IF(Z218&gt;0,1,0)+IF(AND(W218&gt;=-20,W218&lt;=0),1,0)+IF(IFERROR(GOOGLEFINANCE(A218,""eps""),0)&gt;0,1,0),"""")"),12.0)</f>
        <v>12</v>
      </c>
      <c r="AG218" s="53" t="str">
        <f t="shared" si="17"/>
        <v>PRIME BUY [10-20d]</v>
      </c>
    </row>
    <row r="219" ht="15.0" customHeight="1">
      <c r="A219" s="43" t="s">
        <v>383</v>
      </c>
      <c r="B219" s="44">
        <f>IFERROR(__xludf.DUMMYFUNCTION("GOOGLEFINANCE(A219,""price"")"),471.0)</f>
        <v>471</v>
      </c>
      <c r="C219" s="45">
        <f>IFERROR(__xludf.DUMMYFUNCTION("AVERAGE(QUERY(SORT(GOOGLEFINANCE(A219,""price"",TODAY()-150,TODAY()),1,0),""select Col2 limit 50""))"),473.074)</f>
        <v>473.074</v>
      </c>
      <c r="D219" s="45">
        <f>IFERROR(__xludf.DUMMYFUNCTION("AVERAGE(QUERY(SORT(GOOGLEFINANCE(A219,""price"",TODAY()-300,TODAY()),1,0),""select Col2 limit 100""))"),446.1064999999998)</f>
        <v>446.1065</v>
      </c>
      <c r="E219" s="45">
        <f>IFERROR(__xludf.DUMMYFUNCTION("AVERAGE(QUERY(SORT(GOOGLEFINANCE(A219,""price"",TODAY()-500,TODAY()),1,0),""select Col2 limit 200""))"),435.87049999999994)</f>
        <v>435.8705</v>
      </c>
      <c r="F219" s="46" t="str">
        <f t="shared" si="1"/>
        <v>Unconfirmed</v>
      </c>
      <c r="G219" s="47">
        <f t="shared" si="2"/>
        <v>8.059618625</v>
      </c>
      <c r="H219" s="48" t="str">
        <f t="shared" si="3"/>
        <v>Golden ✓</v>
      </c>
      <c r="I219" s="48">
        <f t="shared" si="4"/>
        <v>3</v>
      </c>
      <c r="J219" s="48">
        <f t="shared" si="5"/>
        <v>4</v>
      </c>
      <c r="K219" s="49" t="str">
        <f>IFERROR(__xludf.DUMMYFUNCTION("IFERROR(IF(A219="""",""ENTER STOCK"",LET(stock,A219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19" s="48">
        <f t="shared" si="6"/>
        <v>0</v>
      </c>
      <c r="M219" s="48">
        <f t="shared" si="7"/>
        <v>1</v>
      </c>
      <c r="N219" s="50">
        <f t="shared" si="8"/>
        <v>8</v>
      </c>
      <c r="O219" s="51" t="s">
        <v>265</v>
      </c>
      <c r="P219" s="46" t="str">
        <f t="shared" si="9"/>
        <v>WAIT</v>
      </c>
      <c r="Q219" s="52"/>
      <c r="R219" s="53">
        <f t="shared" si="10"/>
        <v>15</v>
      </c>
      <c r="S219" s="53">
        <f>IFERROR(__xludf.DUMMYFUNCTION("IFERROR(ROUND(GOOGLEFINANCE(A219,""volume"")/GOOGLEFINANCE(A219,""volumeavg""),2),"""")"),1.04)</f>
        <v>1.04</v>
      </c>
      <c r="T219" s="53" t="str">
        <f t="shared" si="11"/>
        <v>LOW VOL</v>
      </c>
      <c r="U219" s="53">
        <f>IFERROR(__xludf.DUMMYFUNCTION("IFERROR(
  LET(
    sd, GOOGLEFINANCE(A219,""close"",TODAY()-100,TODAY()),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"""")"),0.27)</f>
        <v>0.27</v>
      </c>
      <c r="V219" s="53" t="str">
        <f t="shared" si="12"/>
        <v>SLOW</v>
      </c>
      <c r="W219" s="53">
        <f>IFERROR(__xludf.DUMMYFUNCTION("IFERROR(ROUND((B219/GOOGLEFINANCE(A219,""high52"")-1)*100,1),"""")"),-10.1)</f>
        <v>-10.1</v>
      </c>
      <c r="X219" s="53">
        <f>IFERROR(__xludf.DUMMYFUNCTION("IFERROR(ROUND((B219-GOOGLEFINANCE(A219,""low52""))/(GOOGLEFINANCE(A219,""high52"")-GOOGLEFINANCE(A219,""low52""))*100,1),"""")"),73.4)</f>
        <v>73.4</v>
      </c>
      <c r="Y219" s="53" t="str">
        <f t="shared" si="13"/>
        <v>UPPER</v>
      </c>
      <c r="Z219" s="53">
        <f>IFERROR(__xludf.DUMMYFUNCTION("IFERROR(ROUND(((B219 / INDEX(GOOGLEFINANCE(TRIM(A219), ""price"", TODAY()-34, TODAY()), 2, 2)) - (GOOGLEFINANCE(""NIFTY_50"") / INDEX(GOOGLEFINANCE(""NIFTY_50"", ""price"", TODAY()-34, TODAY()), 2, 2))) * 100, 2), ""Check History"")"),11.91)</f>
        <v>11.91</v>
      </c>
      <c r="AA219" s="53" t="str">
        <f t="shared" si="14"/>
        <v>STRONG RS</v>
      </c>
      <c r="AB219" s="53">
        <f>IFERROR(__xludf.DUMMYFUNCTION("IFERROR(LET(
  p, QUERY(GOOGLEFINANCE(TRIM(A219),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Loading"")"),64.9)</f>
        <v>64.9</v>
      </c>
      <c r="AC219" s="53" t="str">
        <f t="shared" si="15"/>
        <v>IDEAL ENTRY</v>
      </c>
      <c r="AD219" s="53" t="str">
        <f>IFERROR(__xludf.DUMMYFUNCTION("IFERROR(IF(GOOGLEFINANCE(A219,""eps"")&gt;0,""EPS+"",""EPS-""),"""")"),"EPS+")</f>
        <v>EPS+</v>
      </c>
      <c r="AE219" s="53">
        <f t="shared" si="16"/>
        <v>4</v>
      </c>
      <c r="AF219" s="53">
        <f>IFERROR(__xludf.DUMMYFUNCTION("IFERROR(N219+IF(S219&gt;=1.2,1,0)+IF(U219&gt;=1,1,0)+IF(Z219&gt;0,1,0)+IF(AND(W219&gt;=-20,W219&lt;=0),1,0)+IF(IFERROR(GOOGLEFINANCE(A219,""eps""),0)&gt;0,1,0),"""")"),11.0)</f>
        <v>11</v>
      </c>
      <c r="AG219" s="53" t="str">
        <f t="shared" si="17"/>
        <v>WAIT</v>
      </c>
    </row>
    <row r="220" ht="15.0" customHeight="1">
      <c r="A220" s="43" t="s">
        <v>384</v>
      </c>
      <c r="B220" s="44">
        <f>IFERROR(__xludf.DUMMYFUNCTION("GOOGLEFINANCE(A220,""price"")"),1599.0)</f>
        <v>1599</v>
      </c>
      <c r="C220" s="45">
        <f>IFERROR(__xludf.DUMMYFUNCTION("AVERAGE(QUERY(SORT(GOOGLEFINANCE(A220,""price"",TODAY()-150,TODAY()),1,0),""select Col2 limit 50""))"),1573.5399999999997)</f>
        <v>1573.54</v>
      </c>
      <c r="D220" s="45">
        <f>IFERROR(__xludf.DUMMYFUNCTION("AVERAGE(QUERY(SORT(GOOGLEFINANCE(A220,""price"",TODAY()-300,TODAY()),1,0),""select Col2 limit 100""))"),1514.245)</f>
        <v>1514.245</v>
      </c>
      <c r="E220" s="45">
        <f>IFERROR(__xludf.DUMMYFUNCTION("AVERAGE(QUERY(SORT(GOOGLEFINANCE(A220,""price"",TODAY()-500,TODAY()),1,0),""select Col2 limit 200""))"),1479.5659999999998)</f>
        <v>1479.566</v>
      </c>
      <c r="F220" s="46" t="str">
        <f t="shared" si="1"/>
        <v>In Bull Run</v>
      </c>
      <c r="G220" s="47">
        <f t="shared" si="2"/>
        <v>8.072231992</v>
      </c>
      <c r="H220" s="48" t="str">
        <f t="shared" si="3"/>
        <v>Golden ✓</v>
      </c>
      <c r="I220" s="48">
        <f t="shared" si="4"/>
        <v>3</v>
      </c>
      <c r="J220" s="48">
        <f t="shared" si="5"/>
        <v>4</v>
      </c>
      <c r="K220" s="49" t="str">
        <f>IFERROR(__xludf.DUMMYFUNCTION("IFERROR(IF(A220="""",""ENTER STOCK"",LET(stock,A220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20" s="48">
        <f t="shared" si="6"/>
        <v>0</v>
      </c>
      <c r="M220" s="48">
        <f t="shared" si="7"/>
        <v>1</v>
      </c>
      <c r="N220" s="50">
        <f t="shared" si="8"/>
        <v>8</v>
      </c>
      <c r="O220" s="51" t="s">
        <v>309</v>
      </c>
      <c r="P220" s="46" t="str">
        <f t="shared" si="9"/>
        <v>PRIME BUY</v>
      </c>
      <c r="Q220" s="52"/>
      <c r="R220" s="53">
        <f t="shared" si="10"/>
        <v>15</v>
      </c>
      <c r="S220" s="53">
        <f>IFERROR(__xludf.DUMMYFUNCTION("IFERROR(ROUND(GOOGLEFINANCE(A220,""volume"")/GOOGLEFINANCE(A220,""volumeavg""),2),"""")"),1.1)</f>
        <v>1.1</v>
      </c>
      <c r="T220" s="53" t="str">
        <f t="shared" si="11"/>
        <v>LOW VOL</v>
      </c>
      <c r="U220" s="53">
        <f>IFERROR(__xludf.DUMMYFUNCTION("IFERROR(
  LET(
    sd, GOOGLEFINANCE(A220,""close"",TODAY()-100,TODAY()),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"""")"),1.17)</f>
        <v>1.17</v>
      </c>
      <c r="V220" s="53" t="str">
        <f t="shared" si="12"/>
        <v>MEDIUM</v>
      </c>
      <c r="W220" s="53">
        <f>IFERROR(__xludf.DUMMYFUNCTION("IFERROR(ROUND((B220/GOOGLEFINANCE(A220,""high52"")-1)*100,1),"""")"),-9.6)</f>
        <v>-9.6</v>
      </c>
      <c r="X220" s="53">
        <f>IFERROR(__xludf.DUMMYFUNCTION("IFERROR(ROUND((B220-GOOGLEFINANCE(A220,""low52""))/(GOOGLEFINANCE(A220,""high52"")-GOOGLEFINANCE(A220,""low52""))*100,1),"""")"),67.7)</f>
        <v>67.7</v>
      </c>
      <c r="Y220" s="53" t="str">
        <f t="shared" si="13"/>
        <v>UPPER</v>
      </c>
      <c r="Z220" s="53">
        <f>IFERROR(__xludf.DUMMYFUNCTION("IFERROR(ROUND(((B220 / INDEX(GOOGLEFINANCE(TRIM(A220), ""price"", TODAY()-34, TODAY()), 2, 2)) - (GOOGLEFINANCE(""NIFTY_50"") / INDEX(GOOGLEFINANCE(""NIFTY_50"", ""price"", TODAY()-34, TODAY()), 2, 2))) * 100, 2), ""Check History"")"),8.26)</f>
        <v>8.26</v>
      </c>
      <c r="AA220" s="53" t="str">
        <f t="shared" si="14"/>
        <v>STRONG RS</v>
      </c>
      <c r="AB220" s="53">
        <f>IFERROR(__xludf.DUMMYFUNCTION("IFERROR(LET(
  p, QUERY(GOOGLEFINANCE(TRIM(A220),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Loading"")"),49.4)</f>
        <v>49.4</v>
      </c>
      <c r="AC220" s="53" t="str">
        <f t="shared" si="15"/>
        <v>IDEAL ENTRY</v>
      </c>
      <c r="AD220" s="53" t="str">
        <f>IFERROR(__xludf.DUMMYFUNCTION("IFERROR(IF(GOOGLEFINANCE(A220,""eps"")&gt;0,""EPS+"",""EPS-""),"""")"),"EPS+")</f>
        <v>EPS+</v>
      </c>
      <c r="AE220" s="53">
        <f t="shared" si="16"/>
        <v>6</v>
      </c>
      <c r="AF220" s="53">
        <f>IFERROR(__xludf.DUMMYFUNCTION("IFERROR(N220+IF(S220&gt;=1.2,1,0)+IF(U220&gt;=1,1,0)+IF(Z220&gt;0,1,0)+IF(AND(W220&gt;=-20,W220&lt;=0),1,0)+IF(IFERROR(GOOGLEFINANCE(A220,""eps""),0)&gt;0,1,0),"""")"),12.0)</f>
        <v>12</v>
      </c>
      <c r="AG220" s="53" t="str">
        <f t="shared" si="17"/>
        <v>PRIME BUY [10-20d]</v>
      </c>
    </row>
    <row r="221" ht="15.0" customHeight="1">
      <c r="A221" s="43" t="s">
        <v>385</v>
      </c>
      <c r="B221" s="44">
        <f>IFERROR(__xludf.DUMMYFUNCTION("GOOGLEFINANCE(A221,""price"")"),1110.0)</f>
        <v>1110</v>
      </c>
      <c r="C221" s="45">
        <f>IFERROR(__xludf.DUMMYFUNCTION("AVERAGE(QUERY(SORT(GOOGLEFINANCE(A221,""price"",TODAY()-150,TODAY()),1,0),""select Col2 limit 50""))"),1159.654)</f>
        <v>1159.654</v>
      </c>
      <c r="D221" s="45">
        <f>IFERROR(__xludf.DUMMYFUNCTION("AVERAGE(QUERY(SORT(GOOGLEFINANCE(A221,""price"",TODAY()-300,TODAY()),1,0),""select Col2 limit 100""))"),1098.4129999999998)</f>
        <v>1098.413</v>
      </c>
      <c r="E221" s="45">
        <f>IFERROR(__xludf.DUMMYFUNCTION("AVERAGE(QUERY(SORT(GOOGLEFINANCE(A221,""price"",TODAY()-500,TODAY()),1,0),""select Col2 limit 200""))"),1045.1710000000005)</f>
        <v>1045.171</v>
      </c>
      <c r="F221" s="46" t="str">
        <f t="shared" si="1"/>
        <v>Unconfirmed</v>
      </c>
      <c r="G221" s="47">
        <f t="shared" si="2"/>
        <v>6.202717067</v>
      </c>
      <c r="H221" s="48" t="str">
        <f t="shared" si="3"/>
        <v>Golden ✓</v>
      </c>
      <c r="I221" s="48">
        <f t="shared" si="4"/>
        <v>3</v>
      </c>
      <c r="J221" s="48">
        <f t="shared" si="5"/>
        <v>4</v>
      </c>
      <c r="K221" s="49" t="str">
        <f>IFERROR(__xludf.DUMMYFUNCTION("IFERROR(IF(A221="""",""ENTER STOCK"",LET(stock,A221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21" s="48">
        <f t="shared" si="6"/>
        <v>0</v>
      </c>
      <c r="M221" s="48">
        <f t="shared" si="7"/>
        <v>1</v>
      </c>
      <c r="N221" s="50">
        <f t="shared" si="8"/>
        <v>8</v>
      </c>
      <c r="O221" s="51" t="s">
        <v>312</v>
      </c>
      <c r="P221" s="46" t="str">
        <f t="shared" si="9"/>
        <v>WAIT</v>
      </c>
      <c r="Q221" s="52"/>
      <c r="R221" s="53">
        <f t="shared" si="10"/>
        <v>15</v>
      </c>
      <c r="S221" s="53">
        <f>IFERROR(__xludf.DUMMYFUNCTION("IFERROR(ROUND(GOOGLEFINANCE(A221,""volume"")/GOOGLEFINANCE(A221,""volumeavg""),2),"""")"),1.4)</f>
        <v>1.4</v>
      </c>
      <c r="T221" s="53" t="str">
        <f t="shared" si="11"/>
        <v>OK VOL</v>
      </c>
      <c r="U221" s="53">
        <f>IFERROR(__xludf.DUMMYFUNCTION("IFERROR(
  LET(
    sd, GOOGLEFINANCE(A221,""close"",TODAY()-100,TODAY()),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"""")"),1.49)</f>
        <v>1.49</v>
      </c>
      <c r="V221" s="53" t="str">
        <f t="shared" si="12"/>
        <v>FAST</v>
      </c>
      <c r="W221" s="53">
        <f>IFERROR(__xludf.DUMMYFUNCTION("IFERROR(ROUND((B221/GOOGLEFINANCE(A221,""high52"")-1)*100,1),"""")"),-12.7)</f>
        <v>-12.7</v>
      </c>
      <c r="X221" s="53">
        <f>IFERROR(__xludf.DUMMYFUNCTION("IFERROR(ROUND((B221-GOOGLEFINANCE(A221,""low52""))/(GOOGLEFINANCE(A221,""high52"")-GOOGLEFINANCE(A221,""low52""))*100,1),"""")"),67.7)</f>
        <v>67.7</v>
      </c>
      <c r="Y221" s="53" t="str">
        <f t="shared" si="13"/>
        <v>UPPER</v>
      </c>
      <c r="Z221" s="53">
        <f>IFERROR(__xludf.DUMMYFUNCTION("IFERROR(ROUND(((B221 / INDEX(GOOGLEFINANCE(TRIM(A221), ""price"", TODAY()-34, TODAY()), 2, 2)) - (GOOGLEFINANCE(""NIFTY_50"") / INDEX(GOOGLEFINANCE(""NIFTY_50"", ""price"", TODAY()-34, TODAY()), 2, 2))) * 100, 2), ""Check History"")"),2.17)</f>
        <v>2.17</v>
      </c>
      <c r="AA221" s="53" t="str">
        <f t="shared" si="14"/>
        <v>MILD RS</v>
      </c>
      <c r="AB221" s="53">
        <f>IFERROR(__xludf.DUMMYFUNCTION("IFERROR(LET(
  p, QUERY(GOOGLEFINANCE(TRIM(A221),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Loading"")"),46.6)</f>
        <v>46.6</v>
      </c>
      <c r="AC221" s="53" t="str">
        <f t="shared" si="15"/>
        <v>IDEAL ENTRY</v>
      </c>
      <c r="AD221" s="53" t="str">
        <f>IFERROR(__xludf.DUMMYFUNCTION("IFERROR(IF(GOOGLEFINANCE(A221,""eps"")&gt;0,""EPS+"",""EPS-""),"""")"),"EPS+")</f>
        <v>EPS+</v>
      </c>
      <c r="AE221" s="53">
        <f t="shared" si="16"/>
        <v>7</v>
      </c>
      <c r="AF221" s="53">
        <f>IFERROR(__xludf.DUMMYFUNCTION("IFERROR(N221+IF(S221&gt;=1.2,1,0)+IF(U221&gt;=1,1,0)+IF(Z221&gt;0,1,0)+IF(AND(W221&gt;=-20,W221&lt;=0),1,0)+IF(IFERROR(GOOGLEFINANCE(A221,""eps""),0)&gt;0,1,0),"""")"),13.0)</f>
        <v>13</v>
      </c>
      <c r="AG221" s="53" t="str">
        <f t="shared" si="17"/>
        <v>WAIT</v>
      </c>
    </row>
    <row r="222" ht="15.0" customHeight="1">
      <c r="A222" s="43" t="s">
        <v>386</v>
      </c>
      <c r="B222" s="44">
        <f>IFERROR(__xludf.DUMMYFUNCTION("GOOGLEFINANCE(A222,""price"")"),8.54)</f>
        <v>8.54</v>
      </c>
      <c r="C222" s="45">
        <f>IFERROR(__xludf.DUMMYFUNCTION("AVERAGE(QUERY(SORT(GOOGLEFINANCE(A222,""price"",TODAY()-150,TODAY()),1,0),""select Col2 limit 50""))"),10.355800000000002)</f>
        <v>10.3558</v>
      </c>
      <c r="D222" s="45">
        <f>IFERROR(__xludf.DUMMYFUNCTION("AVERAGE(QUERY(SORT(GOOGLEFINANCE(A222,""price"",TODAY()-300,TODAY()),1,0),""select Col2 limit 100""))"),10.588099999999999)</f>
        <v>10.5881</v>
      </c>
      <c r="E222" s="45">
        <f>IFERROR(__xludf.DUMMYFUNCTION("AVERAGE(QUERY(SORT(GOOGLEFINANCE(A222,""price"",TODAY()-500,TODAY()),1,0),""select Col2 limit 200""))"),9.081299999999999)</f>
        <v>9.0813</v>
      </c>
      <c r="F222" s="46" t="str">
        <f t="shared" si="1"/>
        <v>In Bear Run</v>
      </c>
      <c r="G222" s="47">
        <f t="shared" si="2"/>
        <v>-5.960600355</v>
      </c>
      <c r="H222" s="48" t="str">
        <f t="shared" si="3"/>
        <v>Inverted ✗</v>
      </c>
      <c r="I222" s="48">
        <f t="shared" si="4"/>
        <v>0</v>
      </c>
      <c r="J222" s="48">
        <f t="shared" si="5"/>
        <v>0</v>
      </c>
      <c r="K222" s="49" t="str">
        <f>IFERROR(__xludf.DUMMYFUNCTION("IFERROR(IF(A222="""",""ENTER STOCK"",LET(stock,A222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22" s="48">
        <f t="shared" si="6"/>
        <v>0</v>
      </c>
      <c r="M222" s="48">
        <f t="shared" si="7"/>
        <v>1</v>
      </c>
      <c r="N222" s="50">
        <f t="shared" si="8"/>
        <v>1</v>
      </c>
      <c r="O222" s="51" t="s">
        <v>230</v>
      </c>
      <c r="P222" s="46" t="str">
        <f t="shared" si="9"/>
        <v>REVERSE TRADE</v>
      </c>
      <c r="Q222" s="52"/>
      <c r="R222" s="53">
        <f t="shared" si="10"/>
        <v>15</v>
      </c>
      <c r="S222" s="53">
        <f>IFERROR(__xludf.DUMMYFUNCTION("IFERROR(ROUND(GOOGLEFINANCE(A222,""volume"")/GOOGLEFINANCE(A222,""volumeavg""),2),"""")"),1.17)</f>
        <v>1.17</v>
      </c>
      <c r="T222" s="53" t="str">
        <f t="shared" si="11"/>
        <v>LOW VOL</v>
      </c>
      <c r="U222" s="53">
        <f>IFERROR(__xludf.DUMMYFUNCTION("IFERROR(
  LET(
    sd, GOOGLEFINANCE(A222,""close"",TODAY()-100,TODAY()),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"""")"),1.54)</f>
        <v>1.54</v>
      </c>
      <c r="V222" s="53" t="str">
        <f t="shared" si="12"/>
        <v>FAST</v>
      </c>
      <c r="W222" s="53">
        <f>IFERROR(__xludf.DUMMYFUNCTION("IFERROR(ROUND((B222/GOOGLEFINANCE(A222,""high52"")-1)*100,1),"""")"),-33.3)</f>
        <v>-33.3</v>
      </c>
      <c r="X222" s="53">
        <f>IFERROR(__xludf.DUMMYFUNCTION("IFERROR(ROUND((B222-GOOGLEFINANCE(A222,""low52""))/(GOOGLEFINANCE(A222,""high52"")-GOOGLEFINANCE(A222,""low52""))*100,1),"""")"),36.2)</f>
        <v>36.2</v>
      </c>
      <c r="Y222" s="53" t="str">
        <f t="shared" si="13"/>
        <v>MID</v>
      </c>
      <c r="Z222" s="53">
        <f>IFERROR(__xludf.DUMMYFUNCTION("IFERROR(ROUND(((B222 / INDEX(GOOGLEFINANCE(TRIM(A222), ""price"", TODAY()-34, TODAY()), 2, 2)) - (GOOGLEFINANCE(""NIFTY_50"") / INDEX(GOOGLEFINANCE(""NIFTY_50"", ""price"", TODAY()-34, TODAY()), 2, 2))) * 100, 2), ""Check History"")"),-9.56)</f>
        <v>-9.56</v>
      </c>
      <c r="AA222" s="53" t="str">
        <f t="shared" si="14"/>
        <v>WEAK RS</v>
      </c>
      <c r="AB222" s="53">
        <f>IFERROR(__xludf.DUMMYFUNCTION("IFERROR(LET(
  p, QUERY(GOOGLEFINANCE(TRIM(A222),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Loading"")"),37.7)</f>
        <v>37.7</v>
      </c>
      <c r="AC222" s="53" t="str">
        <f t="shared" si="15"/>
        <v>WEAK MOM</v>
      </c>
      <c r="AD222" s="53" t="str">
        <f>IFERROR(__xludf.DUMMYFUNCTION("IFERROR(IF(GOOGLEFINANCE(A222,""eps"")&gt;0,""EPS+"",""EPS-""),"""")"),"EPS-")</f>
        <v>EPS-</v>
      </c>
      <c r="AE222" s="53">
        <f t="shared" si="16"/>
        <v>4</v>
      </c>
      <c r="AF222" s="53">
        <f>IFERROR(__xludf.DUMMYFUNCTION("IFERROR(N222+IF(S222&gt;=1.2,1,0)+IF(U222&gt;=1,1,0)+IF(Z222&gt;0,1,0)+IF(AND(W222&gt;=-20,W222&lt;=0),1,0)+IF(IFERROR(GOOGLEFINANCE(A222,""eps""),0)&gt;0,1,0),"""")"),2.0)</f>
        <v>2</v>
      </c>
      <c r="AG222" s="53" t="str">
        <f t="shared" si="17"/>
        <v>REVERSE TRADE</v>
      </c>
    </row>
    <row r="223" ht="15.0" customHeight="1">
      <c r="A223" s="43" t="s">
        <v>387</v>
      </c>
      <c r="B223" s="44">
        <f>IFERROR(__xludf.DUMMYFUNCTION("GOOGLEFINANCE(A223,""price"")"),191.59)</f>
        <v>191.59</v>
      </c>
      <c r="C223" s="45">
        <f>IFERROR(__xludf.DUMMYFUNCTION("AVERAGE(QUERY(SORT(GOOGLEFINANCE(A223,""price"",TODAY()-150,TODAY()),1,0),""select Col2 limit 50""))"),197.47060000000005)</f>
        <v>197.4706</v>
      </c>
      <c r="D223" s="45">
        <f>IFERROR(__xludf.DUMMYFUNCTION("AVERAGE(QUERY(SORT(GOOGLEFINANCE(A223,""price"",TODAY()-300,TODAY()),1,0),""select Col2 limit 100""))"),185.46919999999994)</f>
        <v>185.4692</v>
      </c>
      <c r="E223" s="45">
        <f>IFERROR(__xludf.DUMMYFUNCTION("AVERAGE(QUERY(SORT(GOOGLEFINANCE(A223,""price"",TODAY()-500,TODAY()),1,0),""select Col2 limit 200""))"),174.8703999999999)</f>
        <v>174.8704</v>
      </c>
      <c r="F223" s="46" t="str">
        <f t="shared" si="1"/>
        <v>Unconfirmed</v>
      </c>
      <c r="G223" s="47">
        <f t="shared" si="2"/>
        <v>9.561137848</v>
      </c>
      <c r="H223" s="48" t="str">
        <f t="shared" si="3"/>
        <v>Golden ✓</v>
      </c>
      <c r="I223" s="48">
        <f t="shared" si="4"/>
        <v>3</v>
      </c>
      <c r="J223" s="48">
        <f t="shared" si="5"/>
        <v>4</v>
      </c>
      <c r="K223" s="49" t="str">
        <f>IFERROR(__xludf.DUMMYFUNCTION("IFERROR(IF(A223="""",""ENTER STOCK"",LET(stock,A223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23" s="48">
        <f t="shared" si="6"/>
        <v>0</v>
      </c>
      <c r="M223" s="48">
        <f t="shared" si="7"/>
        <v>1</v>
      </c>
      <c r="N223" s="50">
        <f t="shared" si="8"/>
        <v>8</v>
      </c>
      <c r="O223" s="51" t="s">
        <v>312</v>
      </c>
      <c r="P223" s="46" t="str">
        <f t="shared" si="9"/>
        <v>WAIT</v>
      </c>
      <c r="Q223" s="52"/>
      <c r="R223" s="53">
        <f t="shared" si="10"/>
        <v>15</v>
      </c>
      <c r="S223" s="53">
        <f>IFERROR(__xludf.DUMMYFUNCTION("IFERROR(ROUND(GOOGLEFINANCE(A223,""volume"")/GOOGLEFINANCE(A223,""volumeavg""),2),"""")"),1.43)</f>
        <v>1.43</v>
      </c>
      <c r="T223" s="53" t="str">
        <f t="shared" si="11"/>
        <v>OK VOL</v>
      </c>
      <c r="U223" s="53">
        <f>IFERROR(__xludf.DUMMYFUNCTION("IFERROR(
  LET(
    sd, GOOGLEFINANCE(A223,""close"",TODAY()-100,TODAY()),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"""")"),1.55)</f>
        <v>1.55</v>
      </c>
      <c r="V223" s="53" t="str">
        <f t="shared" si="12"/>
        <v>FAST</v>
      </c>
      <c r="W223" s="53">
        <f>IFERROR(__xludf.DUMMYFUNCTION("IFERROR(ROUND((B223/GOOGLEFINANCE(A223,""high52"")-1)*100,1),"""")"),-11.5)</f>
        <v>-11.5</v>
      </c>
      <c r="X223" s="53">
        <f>IFERROR(__xludf.DUMMYFUNCTION("IFERROR(ROUND((B223-GOOGLEFINANCE(A223,""low52""))/(GOOGLEFINANCE(A223,""high52"")-GOOGLEFINANCE(A223,""low52""))*100,1),"""")"),72.7)</f>
        <v>72.7</v>
      </c>
      <c r="Y223" s="53" t="str">
        <f t="shared" si="13"/>
        <v>UPPER</v>
      </c>
      <c r="Z223" s="53">
        <f>IFERROR(__xludf.DUMMYFUNCTION("IFERROR(ROUND(((B223 / INDEX(GOOGLEFINANCE(TRIM(A223), ""price"", TODAY()-34, TODAY()), 2, 2)) - (GOOGLEFINANCE(""NIFTY_50"") / INDEX(GOOGLEFINANCE(""NIFTY_50"", ""price"", TODAY()-34, TODAY()), 2, 2))) * 100, 2), ""Check History"")"),3.78)</f>
        <v>3.78</v>
      </c>
      <c r="AA223" s="53" t="str">
        <f t="shared" si="14"/>
        <v>MILD RS</v>
      </c>
      <c r="AB223" s="53">
        <f>IFERROR(__xludf.DUMMYFUNCTION("IFERROR(LET(
  p, QUERY(GOOGLEFINANCE(TRIM(A223),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Loading"")"),57.8)</f>
        <v>57.8</v>
      </c>
      <c r="AC223" s="53" t="str">
        <f t="shared" si="15"/>
        <v>IDEAL ENTRY</v>
      </c>
      <c r="AD223" s="53" t="str">
        <f>IFERROR(__xludf.DUMMYFUNCTION("IFERROR(IF(GOOGLEFINANCE(A223,""eps"")&gt;0,""EPS+"",""EPS-""),"""")"),"EPS+")</f>
        <v>EPS+</v>
      </c>
      <c r="AE223" s="53">
        <f t="shared" si="16"/>
        <v>7</v>
      </c>
      <c r="AF223" s="53">
        <f>IFERROR(__xludf.DUMMYFUNCTION("IFERROR(N223+IF(S223&gt;=1.2,1,0)+IF(U223&gt;=1,1,0)+IF(Z223&gt;0,1,0)+IF(AND(W223&gt;=-20,W223&lt;=0),1,0)+IF(IFERROR(GOOGLEFINANCE(A223,""eps""),0)&gt;0,1,0),"""")"),13.0)</f>
        <v>13</v>
      </c>
      <c r="AG223" s="53" t="str">
        <f t="shared" si="17"/>
        <v>WAIT</v>
      </c>
    </row>
    <row r="224" ht="15.0" customHeight="1">
      <c r="A224" s="43" t="s">
        <v>388</v>
      </c>
      <c r="B224" s="44">
        <f>IFERROR(__xludf.DUMMYFUNCTION("GOOGLEFINANCE(A224,""price"")"),284.9)</f>
        <v>284.9</v>
      </c>
      <c r="C224" s="45">
        <f>IFERROR(__xludf.DUMMYFUNCTION("AVERAGE(QUERY(SORT(GOOGLEFINANCE(A224,""price"",TODAY()-150,TODAY()),1,0),""select Col2 limit 50""))"),267.00160000000005)</f>
        <v>267.0016</v>
      </c>
      <c r="D224" s="45">
        <f>IFERROR(__xludf.DUMMYFUNCTION("AVERAGE(QUERY(SORT(GOOGLEFINANCE(A224,""price"",TODAY()-300,TODAY()),1,0),""select Col2 limit 100""))"),254.44459999999998)</f>
        <v>254.4446</v>
      </c>
      <c r="E224" s="45">
        <f>IFERROR(__xludf.DUMMYFUNCTION("AVERAGE(QUERY(SORT(GOOGLEFINANCE(A224,""price"",TODAY()-500,TODAY()),1,0),""select Col2 limit 200""))"),248.26035)</f>
        <v>248.26035</v>
      </c>
      <c r="F224" s="46" t="str">
        <f t="shared" si="1"/>
        <v>In Bull Run</v>
      </c>
      <c r="G224" s="47">
        <f t="shared" si="2"/>
        <v>14.75855891</v>
      </c>
      <c r="H224" s="48" t="str">
        <f t="shared" si="3"/>
        <v>Golden ✓</v>
      </c>
      <c r="I224" s="48">
        <f t="shared" si="4"/>
        <v>3</v>
      </c>
      <c r="J224" s="48">
        <f t="shared" si="5"/>
        <v>0</v>
      </c>
      <c r="K224" s="49" t="str">
        <f>IFERROR(__xludf.DUMMYFUNCTION("IFERROR(IF(A224="""",""ENTER STOCK"",LET(stock,A224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24" s="48">
        <f t="shared" si="6"/>
        <v>0</v>
      </c>
      <c r="M224" s="48">
        <f t="shared" si="7"/>
        <v>1</v>
      </c>
      <c r="N224" s="50">
        <f t="shared" si="8"/>
        <v>4</v>
      </c>
      <c r="O224" s="51" t="s">
        <v>265</v>
      </c>
      <c r="P224" s="46" t="str">
        <f t="shared" si="9"/>
        <v>SKIP</v>
      </c>
      <c r="Q224" s="52"/>
      <c r="R224" s="53">
        <f t="shared" si="10"/>
        <v>15</v>
      </c>
      <c r="S224" s="53">
        <f>IFERROR(__xludf.DUMMYFUNCTION("IFERROR(ROUND(GOOGLEFINANCE(A224,""volume"")/GOOGLEFINANCE(A224,""volumeavg""),2),"""")"),1.88)</f>
        <v>1.88</v>
      </c>
      <c r="T224" s="53" t="str">
        <f t="shared" si="11"/>
        <v>HIGH VOL</v>
      </c>
      <c r="U224" s="53">
        <f>IFERROR(__xludf.DUMMYFUNCTION("IFERROR(
  LET(
    sd, GOOGLEFINANCE(A224,""close"",TODAY()-100,TODAY()),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"""")"),0.28)</f>
        <v>0.28</v>
      </c>
      <c r="V224" s="53" t="str">
        <f t="shared" si="12"/>
        <v>SLOW</v>
      </c>
      <c r="W224" s="53">
        <f>IFERROR(__xludf.DUMMYFUNCTION("IFERROR(ROUND((B224/GOOGLEFINANCE(A224,""high52"")-1)*100,1),"""")"),-2.8)</f>
        <v>-2.8</v>
      </c>
      <c r="X224" s="53">
        <f>IFERROR(__xludf.DUMMYFUNCTION("IFERROR(ROUND((B224-GOOGLEFINANCE(A224,""low52""))/(GOOGLEFINANCE(A224,""high52"")-GOOGLEFINANCE(A224,""low52""))*100,1),"""")"),90.8)</f>
        <v>90.8</v>
      </c>
      <c r="Y224" s="53" t="str">
        <f t="shared" si="13"/>
        <v>AT HIGH</v>
      </c>
      <c r="Z224" s="53">
        <f>IFERROR(__xludf.DUMMYFUNCTION("IFERROR(ROUND(((B224 / INDEX(GOOGLEFINANCE(TRIM(A224), ""price"", TODAY()-34, TODAY()), 2, 2)) - (GOOGLEFINANCE(""NIFTY_50"") / INDEX(GOOGLEFINANCE(""NIFTY_50"", ""price"", TODAY()-34, TODAY()), 2, 2))) * 100, 2), ""Check History"")"),15.2)</f>
        <v>15.2</v>
      </c>
      <c r="AA224" s="53" t="str">
        <f t="shared" si="14"/>
        <v>STRONG RS</v>
      </c>
      <c r="AB224" s="53">
        <f>IFERROR(__xludf.DUMMYFUNCTION("IFERROR(LET(
  p, QUERY(GOOGLEFINANCE(TRIM(A224),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Loading"")"),51.2)</f>
        <v>51.2</v>
      </c>
      <c r="AC224" s="53" t="str">
        <f t="shared" si="15"/>
        <v>IDEAL ENTRY</v>
      </c>
      <c r="AD224" s="53" t="str">
        <f>IFERROR(__xludf.DUMMYFUNCTION("IFERROR(IF(GOOGLEFINANCE(A224,""eps"")&gt;0,""EPS+"",""EPS-""),"""")"),"EPS+")</f>
        <v>EPS+</v>
      </c>
      <c r="AE224" s="53">
        <f t="shared" si="16"/>
        <v>7</v>
      </c>
      <c r="AF224" s="53">
        <f>IFERROR(__xludf.DUMMYFUNCTION("IFERROR(N224+IF(S224&gt;=1.2,1,0)+IF(U224&gt;=1,1,0)+IF(Z224&gt;0,1,0)+IF(AND(W224&gt;=-20,W224&lt;=0),1,0)+IF(IFERROR(GOOGLEFINANCE(A224,""eps""),0)&gt;0,1,0),"""")"),8.0)</f>
        <v>8</v>
      </c>
      <c r="AG224" s="53" t="str">
        <f t="shared" si="17"/>
        <v>BUY</v>
      </c>
    </row>
    <row r="225" ht="15.0" customHeight="1">
      <c r="A225" s="43" t="s">
        <v>389</v>
      </c>
      <c r="B225" s="44">
        <f>IFERROR(__xludf.DUMMYFUNCTION("GOOGLEFINANCE(A225,""price"")"),370.45)</f>
        <v>370.45</v>
      </c>
      <c r="C225" s="45">
        <f>IFERROR(__xludf.DUMMYFUNCTION("AVERAGE(QUERY(SORT(GOOGLEFINANCE(A225,""price"",TODAY()-150,TODAY()),1,0),""select Col2 limit 50""))"),367.397)</f>
        <v>367.397</v>
      </c>
      <c r="D225" s="45">
        <f>IFERROR(__xludf.DUMMYFUNCTION("AVERAGE(QUERY(SORT(GOOGLEFINANCE(A225,""price"",TODAY()-300,TODAY()),1,0),""select Col2 limit 100""))"),347.91649999999987)</f>
        <v>347.9165</v>
      </c>
      <c r="E225" s="45">
        <f>IFERROR(__xludf.DUMMYFUNCTION("AVERAGE(QUERY(SORT(GOOGLEFINANCE(A225,""price"",TODAY()-500,TODAY()),1,0),""select Col2 limit 200""))"),342.3949999999997)</f>
        <v>342.395</v>
      </c>
      <c r="F225" s="46" t="str">
        <f t="shared" si="1"/>
        <v>In Bull Run</v>
      </c>
      <c r="G225" s="47">
        <f t="shared" si="2"/>
        <v>8.193752829</v>
      </c>
      <c r="H225" s="48" t="str">
        <f t="shared" si="3"/>
        <v>Golden ✓</v>
      </c>
      <c r="I225" s="48">
        <f t="shared" si="4"/>
        <v>3</v>
      </c>
      <c r="J225" s="48">
        <f t="shared" si="5"/>
        <v>4</v>
      </c>
      <c r="K225" s="49" t="str">
        <f>IFERROR(__xludf.DUMMYFUNCTION("IFERROR(IF(A225="""",""ENTER STOCK"",LET(stock,A225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25" s="48">
        <f t="shared" si="6"/>
        <v>0</v>
      </c>
      <c r="M225" s="48">
        <f t="shared" si="7"/>
        <v>1</v>
      </c>
      <c r="N225" s="50">
        <f t="shared" si="8"/>
        <v>8</v>
      </c>
      <c r="O225" s="51" t="s">
        <v>180</v>
      </c>
      <c r="P225" s="46" t="str">
        <f t="shared" si="9"/>
        <v>PRIME BUY</v>
      </c>
      <c r="Q225" s="52"/>
      <c r="R225" s="53">
        <f t="shared" si="10"/>
        <v>15</v>
      </c>
      <c r="S225" s="53">
        <f>IFERROR(__xludf.DUMMYFUNCTION("IFERROR(ROUND(GOOGLEFINANCE(A225,""volume"")/GOOGLEFINANCE(A225,""volumeavg""),2),"""")"),1.45)</f>
        <v>1.45</v>
      </c>
      <c r="T225" s="53" t="str">
        <f t="shared" si="11"/>
        <v>OK VOL</v>
      </c>
      <c r="U225" s="53">
        <f>IFERROR(__xludf.DUMMYFUNCTION("IFERROR(
  LET(
    sd, GOOGLEFINANCE(A225,""close"",TODAY()-100,TODAY()),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"""")"),0.77)</f>
        <v>0.77</v>
      </c>
      <c r="V225" s="53" t="str">
        <f t="shared" si="12"/>
        <v>SLOW</v>
      </c>
      <c r="W225" s="53">
        <f>IFERROR(__xludf.DUMMYFUNCTION("IFERROR(ROUND((B225/GOOGLEFINANCE(A225,""high52"")-1)*100,1),"""")"),-6.1)</f>
        <v>-6.1</v>
      </c>
      <c r="X225" s="53">
        <f>IFERROR(__xludf.DUMMYFUNCTION("IFERROR(ROUND((B225-GOOGLEFINANCE(A225,""low52""))/(GOOGLEFINANCE(A225,""high52"")-GOOGLEFINANCE(A225,""low52""))*100,1),"""")"),69.5)</f>
        <v>69.5</v>
      </c>
      <c r="Y225" s="53" t="str">
        <f t="shared" si="13"/>
        <v>UPPER</v>
      </c>
      <c r="Z225" s="53">
        <f>IFERROR(__xludf.DUMMYFUNCTION("IFERROR(ROUND(((B225 / INDEX(GOOGLEFINANCE(TRIM(A225), ""price"", TODAY()-34, TODAY()), 2, 2)) - (GOOGLEFINANCE(""NIFTY_50"") / INDEX(GOOGLEFINANCE(""NIFTY_50"", ""price"", TODAY()-34, TODAY()), 2, 2))) * 100, 2), ""Check History"")"),8.95)</f>
        <v>8.95</v>
      </c>
      <c r="AA225" s="53" t="str">
        <f t="shared" si="14"/>
        <v>STRONG RS</v>
      </c>
      <c r="AB225" s="53">
        <f>IFERROR(__xludf.DUMMYFUNCTION("IFERROR(LET(
  p, QUERY(GOOGLEFINANCE(TRIM(A225),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Loading"")"),45.5)</f>
        <v>45.5</v>
      </c>
      <c r="AC225" s="53" t="str">
        <f t="shared" si="15"/>
        <v>IDEAL ENTRY</v>
      </c>
      <c r="AD225" s="53" t="str">
        <f>IFERROR(__xludf.DUMMYFUNCTION("IFERROR(IF(GOOGLEFINANCE(A225,""eps"")&gt;0,""EPS+"",""EPS-""),"""")"),"EPS+")</f>
        <v>EPS+</v>
      </c>
      <c r="AE225" s="53">
        <f t="shared" si="16"/>
        <v>6</v>
      </c>
      <c r="AF225" s="53">
        <f>IFERROR(__xludf.DUMMYFUNCTION("IFERROR(N225+IF(S225&gt;=1.2,1,0)+IF(U225&gt;=1,1,0)+IF(Z225&gt;0,1,0)+IF(AND(W225&gt;=-20,W225&lt;=0),1,0)+IF(IFERROR(GOOGLEFINANCE(A225,""eps""),0)&gt;0,1,0),"""")"),12.0)</f>
        <v>12</v>
      </c>
      <c r="AG225" s="53" t="str">
        <f t="shared" si="17"/>
        <v>PRIME BUY [10-20d]</v>
      </c>
    </row>
    <row r="226" ht="15.0" customHeight="1">
      <c r="A226" s="43" t="s">
        <v>390</v>
      </c>
      <c r="B226" s="44">
        <f>IFERROR(__xludf.DUMMYFUNCTION("GOOGLEFINANCE(A226,""price"")"),6602.0)</f>
        <v>6602</v>
      </c>
      <c r="C226" s="45">
        <f>IFERROR(__xludf.DUMMYFUNCTION("AVERAGE(QUERY(SORT(GOOGLEFINANCE(A226,""price"",TODAY()-150,TODAY()),1,0),""select Col2 limit 50""))"),7359.2)</f>
        <v>7359.2</v>
      </c>
      <c r="D226" s="45">
        <f>IFERROR(__xludf.DUMMYFUNCTION("AVERAGE(QUERY(SORT(GOOGLEFINANCE(A226,""price"",TODAY()-300,TODAY()),1,0),""select Col2 limit 100""))"),7256.955)</f>
        <v>7256.955</v>
      </c>
      <c r="E226" s="45">
        <f>IFERROR(__xludf.DUMMYFUNCTION("AVERAGE(QUERY(SORT(GOOGLEFINANCE(A226,""price"",TODAY()-500,TODAY()),1,0),""select Col2 limit 200""))"),6711.6)</f>
        <v>6711.6</v>
      </c>
      <c r="F226" s="46" t="str">
        <f t="shared" si="1"/>
        <v>In Bear Run</v>
      </c>
      <c r="G226" s="47">
        <f t="shared" si="2"/>
        <v>-1.632993623</v>
      </c>
      <c r="H226" s="48" t="str">
        <f t="shared" si="3"/>
        <v>Golden ✓</v>
      </c>
      <c r="I226" s="48">
        <f t="shared" si="4"/>
        <v>3</v>
      </c>
      <c r="J226" s="48">
        <f t="shared" si="5"/>
        <v>0</v>
      </c>
      <c r="K226" s="49" t="str">
        <f>IFERROR(__xludf.DUMMYFUNCTION("IFERROR(IF(A226="""",""ENTER STOCK"",LET(stock,A226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26" s="48">
        <f t="shared" si="6"/>
        <v>0</v>
      </c>
      <c r="M226" s="48">
        <f t="shared" si="7"/>
        <v>1</v>
      </c>
      <c r="N226" s="50">
        <f t="shared" si="8"/>
        <v>4</v>
      </c>
      <c r="O226" s="51" t="s">
        <v>271</v>
      </c>
      <c r="P226" s="46" t="str">
        <f t="shared" si="9"/>
        <v>REVERSE TRADE</v>
      </c>
      <c r="Q226" s="52"/>
      <c r="R226" s="53">
        <f t="shared" si="10"/>
        <v>15</v>
      </c>
      <c r="S226" s="53">
        <f>IFERROR(__xludf.DUMMYFUNCTION("IFERROR(ROUND(GOOGLEFINANCE(A226,""volume"")/GOOGLEFINANCE(A226,""volumeavg""),2),"""")"),1.98)</f>
        <v>1.98</v>
      </c>
      <c r="T226" s="53" t="str">
        <f t="shared" si="11"/>
        <v>HIGH VOL</v>
      </c>
      <c r="U226" s="53">
        <f>IFERROR(__xludf.DUMMYFUNCTION("IFERROR(
  LET(
    sd, GOOGLEFINANCE(A226,""close"",TODAY()-100,TODAY()),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"""")"),1.36)</f>
        <v>1.36</v>
      </c>
      <c r="V226" s="53" t="str">
        <f t="shared" si="12"/>
        <v>FAST</v>
      </c>
      <c r="W226" s="53">
        <f>IFERROR(__xludf.DUMMYFUNCTION("IFERROR(ROUND((B226/GOOGLEFINANCE(A226,""high52"")-1)*100,1),"""")"),-19.8)</f>
        <v>-19.8</v>
      </c>
      <c r="X226" s="53">
        <f>IFERROR(__xludf.DUMMYFUNCTION("IFERROR(ROUND((B226-GOOGLEFINANCE(A226,""low52""))/(GOOGLEFINANCE(A226,""high52"")-GOOGLEFINANCE(A226,""low52""))*100,1),"""")"),49.6)</f>
        <v>49.6</v>
      </c>
      <c r="Y226" s="53" t="str">
        <f t="shared" si="13"/>
        <v>UPPER</v>
      </c>
      <c r="Z226" s="53">
        <f>IFERROR(__xludf.DUMMYFUNCTION("IFERROR(ROUND(((B226 / INDEX(GOOGLEFINANCE(TRIM(A226), ""price"", TODAY()-34, TODAY()), 2, 2)) - (GOOGLEFINANCE(""NIFTY_50"") / INDEX(GOOGLEFINANCE(""NIFTY_50"", ""price"", TODAY()-34, TODAY()), 2, 2))) * 100, 2), ""Check History"")"),-4.57)</f>
        <v>-4.57</v>
      </c>
      <c r="AA226" s="53" t="str">
        <f t="shared" si="14"/>
        <v>WEAK RS</v>
      </c>
      <c r="AB226" s="53">
        <f>IFERROR(__xludf.DUMMYFUNCTION("IFERROR(LET(
  p, QUERY(GOOGLEFINANCE(TRIM(A226),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Loading"")"),37.2)</f>
        <v>37.2</v>
      </c>
      <c r="AC226" s="53" t="str">
        <f t="shared" si="15"/>
        <v>WEAK MOM</v>
      </c>
      <c r="AD226" s="53" t="str">
        <f>IFERROR(__xludf.DUMMYFUNCTION("IFERROR(IF(GOOGLEFINANCE(A226,""eps"")&gt;0,""EPS+"",""EPS-""),"""")"),"EPS+")</f>
        <v>EPS+</v>
      </c>
      <c r="AE226" s="53">
        <f t="shared" si="16"/>
        <v>6</v>
      </c>
      <c r="AF226" s="53">
        <f>IFERROR(__xludf.DUMMYFUNCTION("IFERROR(N226+IF(S226&gt;=1.2,1,0)+IF(U226&gt;=1,1,0)+IF(Z226&gt;0,1,0)+IF(AND(W226&gt;=-20,W226&lt;=0),1,0)+IF(IFERROR(GOOGLEFINANCE(A226,""eps""),0)&gt;0,1,0),"""")"),8.0)</f>
        <v>8</v>
      </c>
      <c r="AG226" s="53" t="str">
        <f t="shared" si="17"/>
        <v>REVERSE TRADE</v>
      </c>
    </row>
    <row r="227" ht="15.0" customHeight="1">
      <c r="A227" s="43" t="s">
        <v>391</v>
      </c>
      <c r="B227" s="44">
        <f>IFERROR(__xludf.DUMMYFUNCTION("GOOGLEFINANCE(A227,""price"")"),415.5)</f>
        <v>415.5</v>
      </c>
      <c r="C227" s="45">
        <f>IFERROR(__xludf.DUMMYFUNCTION("AVERAGE(QUERY(SORT(GOOGLEFINANCE(A227,""price"",TODAY()-150,TODAY()),1,0),""select Col2 limit 50""))"),443.223)</f>
        <v>443.223</v>
      </c>
      <c r="D227" s="45">
        <f>IFERROR(__xludf.DUMMYFUNCTION("AVERAGE(QUERY(SORT(GOOGLEFINANCE(A227,""price"",TODAY()-300,TODAY()),1,0),""select Col2 limit 100""))"),426.6044999999999)</f>
        <v>426.6045</v>
      </c>
      <c r="E227" s="45">
        <f>IFERROR(__xludf.DUMMYFUNCTION("AVERAGE(QUERY(SORT(GOOGLEFINANCE(A227,""price"",TODAY()-500,TODAY()),1,0),""select Col2 limit 200""))"),398.0480000000001)</f>
        <v>398.048</v>
      </c>
      <c r="F227" s="46" t="str">
        <f t="shared" si="1"/>
        <v>Unconfirmed</v>
      </c>
      <c r="G227" s="47">
        <f t="shared" si="2"/>
        <v>4.384395852</v>
      </c>
      <c r="H227" s="48" t="str">
        <f t="shared" si="3"/>
        <v>Golden ✓</v>
      </c>
      <c r="I227" s="48">
        <f t="shared" si="4"/>
        <v>3</v>
      </c>
      <c r="J227" s="48">
        <f t="shared" si="5"/>
        <v>4</v>
      </c>
      <c r="K227" s="49" t="str">
        <f>IFERROR(__xludf.DUMMYFUNCTION("IFERROR(IF(A227="""",""ENTER STOCK"",LET(stock,A227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27" s="48">
        <f t="shared" si="6"/>
        <v>0</v>
      </c>
      <c r="M227" s="48">
        <f t="shared" si="7"/>
        <v>1</v>
      </c>
      <c r="N227" s="50">
        <f t="shared" si="8"/>
        <v>8</v>
      </c>
      <c r="O227" s="51" t="s">
        <v>392</v>
      </c>
      <c r="P227" s="46" t="str">
        <f t="shared" si="9"/>
        <v>WAIT</v>
      </c>
      <c r="Q227" s="52"/>
      <c r="R227" s="53">
        <f t="shared" si="10"/>
        <v>15</v>
      </c>
      <c r="S227" s="53">
        <f>IFERROR(__xludf.DUMMYFUNCTION("IFERROR(ROUND(GOOGLEFINANCE(A227,""volume"")/GOOGLEFINANCE(A227,""volumeavg""),2),"""")"),2.15)</f>
        <v>2.15</v>
      </c>
      <c r="T227" s="53" t="str">
        <f t="shared" si="11"/>
        <v>HIGH VOL</v>
      </c>
      <c r="U227" s="53">
        <f>IFERROR(__xludf.DUMMYFUNCTION("IFERROR(
  LET(
    sd, GOOGLEFINANCE(A227,""close"",TODAY()-100,TODAY()),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"""")"),0.18)</f>
        <v>0.18</v>
      </c>
      <c r="V227" s="53" t="str">
        <f t="shared" si="12"/>
        <v>SLOW</v>
      </c>
      <c r="W227" s="53">
        <f>IFERROR(__xludf.DUMMYFUNCTION("IFERROR(ROUND((B227/GOOGLEFINANCE(A227,""high52"")-1)*100,1),"""")"),-13.7)</f>
        <v>-13.7</v>
      </c>
      <c r="X227" s="53">
        <f>IFERROR(__xludf.DUMMYFUNCTION("IFERROR(ROUND((B227-GOOGLEFINANCE(A227,""low52""))/(GOOGLEFINANCE(A227,""high52"")-GOOGLEFINANCE(A227,""low52""))*100,1),"""")"),60.9)</f>
        <v>60.9</v>
      </c>
      <c r="Y227" s="53" t="str">
        <f t="shared" si="13"/>
        <v>UPPER</v>
      </c>
      <c r="Z227" s="53">
        <f>IFERROR(__xludf.DUMMYFUNCTION("IFERROR(ROUND(((B227 / INDEX(GOOGLEFINANCE(TRIM(A227), ""price"", TODAY()-34, TODAY()), 2, 2)) - (GOOGLEFINANCE(""NIFTY_50"") / INDEX(GOOGLEFINANCE(""NIFTY_50"", ""price"", TODAY()-34, TODAY()), 2, 2))) * 100, 2), ""Check History"")"),0.59)</f>
        <v>0.59</v>
      </c>
      <c r="AA227" s="53" t="str">
        <f t="shared" si="14"/>
        <v>MILD RS</v>
      </c>
      <c r="AB227" s="53">
        <f>IFERROR(__xludf.DUMMYFUNCTION("IFERROR(LET(
  p, QUERY(GOOGLEFINANCE(TRIM(A227),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Loading"")"),41.7)</f>
        <v>41.7</v>
      </c>
      <c r="AC227" s="53" t="str">
        <f t="shared" si="15"/>
        <v>WEAK MOM</v>
      </c>
      <c r="AD227" s="53" t="str">
        <f>IFERROR(__xludf.DUMMYFUNCTION("IFERROR(IF(GOOGLEFINANCE(A227,""eps"")&gt;0,""EPS+"",""EPS-""),"""")"),"EPS+")</f>
        <v>EPS+</v>
      </c>
      <c r="AE227" s="53">
        <f t="shared" si="16"/>
        <v>5</v>
      </c>
      <c r="AF227" s="53">
        <f>IFERROR(__xludf.DUMMYFUNCTION("IFERROR(N227+IF(S227&gt;=1.2,1,0)+IF(U227&gt;=1,1,0)+IF(Z227&gt;0,1,0)+IF(AND(W227&gt;=-20,W227&lt;=0),1,0)+IF(IFERROR(GOOGLEFINANCE(A227,""eps""),0)&gt;0,1,0),"""")"),12.0)</f>
        <v>12</v>
      </c>
      <c r="AG227" s="53" t="str">
        <f t="shared" si="17"/>
        <v>WAIT</v>
      </c>
    </row>
    <row r="228" ht="15.0" customHeight="1">
      <c r="A228" s="43" t="s">
        <v>393</v>
      </c>
      <c r="B228" s="44">
        <f>IFERROR(__xludf.DUMMYFUNCTION("GOOGLEFINANCE(A228,""price"")"),3955.4)</f>
        <v>3955.4</v>
      </c>
      <c r="C228" s="45">
        <f>IFERROR(__xludf.DUMMYFUNCTION("AVERAGE(QUERY(SORT(GOOGLEFINANCE(A228,""price"",TODAY()-150,TODAY()),1,0),""select Col2 limit 50""))"),4137.400000000001)</f>
        <v>4137.4</v>
      </c>
      <c r="D228" s="45">
        <f>IFERROR(__xludf.DUMMYFUNCTION("AVERAGE(QUERY(SORT(GOOGLEFINANCE(A228,""price"",TODAY()-300,TODAY()),1,0),""select Col2 limit 100""))"),4032.216000000001)</f>
        <v>4032.216</v>
      </c>
      <c r="E228" s="45">
        <f>IFERROR(__xludf.DUMMYFUNCTION("AVERAGE(QUERY(SORT(GOOGLEFINANCE(A228,""price"",TODAY()-500,TODAY()),1,0),""select Col2 limit 200""))"),3783.2999999999993)</f>
        <v>3783.3</v>
      </c>
      <c r="F228" s="46" t="str">
        <f t="shared" si="1"/>
        <v>Unconfirmed</v>
      </c>
      <c r="G228" s="47">
        <f t="shared" si="2"/>
        <v>4.548938757</v>
      </c>
      <c r="H228" s="48" t="str">
        <f t="shared" si="3"/>
        <v>Golden ✓</v>
      </c>
      <c r="I228" s="48">
        <f t="shared" si="4"/>
        <v>3</v>
      </c>
      <c r="J228" s="48">
        <f t="shared" si="5"/>
        <v>4</v>
      </c>
      <c r="K228" s="49" t="str">
        <f>IFERROR(__xludf.DUMMYFUNCTION("IFERROR(IF(A228="""",""ENTER STOCK"",LET(stock,A228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28" s="48">
        <f t="shared" si="6"/>
        <v>0</v>
      </c>
      <c r="M228" s="48">
        <f t="shared" si="7"/>
        <v>1</v>
      </c>
      <c r="N228" s="50">
        <f t="shared" si="8"/>
        <v>8</v>
      </c>
      <c r="O228" s="51" t="s">
        <v>157</v>
      </c>
      <c r="P228" s="46" t="str">
        <f t="shared" si="9"/>
        <v>WAIT</v>
      </c>
      <c r="Q228" s="52"/>
      <c r="R228" s="53">
        <f t="shared" si="10"/>
        <v>15</v>
      </c>
      <c r="S228" s="53">
        <f>IFERROR(__xludf.DUMMYFUNCTION("IFERROR(ROUND(GOOGLEFINANCE(A228,""volume"")/GOOGLEFINANCE(A228,""volumeavg""),2),"""")"),2.03)</f>
        <v>2.03</v>
      </c>
      <c r="T228" s="53" t="str">
        <f t="shared" si="11"/>
        <v>HIGH VOL</v>
      </c>
      <c r="U228" s="53">
        <f>IFERROR(__xludf.DUMMYFUNCTION("IFERROR(
  LET(
    sd, GOOGLEFINANCE(A228,""close"",TODAY()-100,TODAY()),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"""")"),1.04)</f>
        <v>1.04</v>
      </c>
      <c r="V228" s="53" t="str">
        <f t="shared" si="12"/>
        <v>MEDIUM</v>
      </c>
      <c r="W228" s="53">
        <f>IFERROR(__xludf.DUMMYFUNCTION("IFERROR(ROUND((B228/GOOGLEFINANCE(A228,""high52"")-1)*100,1),"""")"),-9.7)</f>
        <v>-9.7</v>
      </c>
      <c r="X228" s="53">
        <f>IFERROR(__xludf.DUMMYFUNCTION("IFERROR(ROUND((B228-GOOGLEFINANCE(A228,""low52""))/(GOOGLEFINANCE(A228,""high52"")-GOOGLEFINANCE(A228,""low52""))*100,1),"""")"),70.9)</f>
        <v>70.9</v>
      </c>
      <c r="Y228" s="53" t="str">
        <f t="shared" si="13"/>
        <v>UPPER</v>
      </c>
      <c r="Z228" s="53">
        <f>IFERROR(__xludf.DUMMYFUNCTION("IFERROR(ROUND(((B228 / INDEX(GOOGLEFINANCE(TRIM(A228), ""price"", TODAY()-34, TODAY()), 2, 2)) - (GOOGLEFINANCE(""NIFTY_50"") / INDEX(GOOGLEFINANCE(""NIFTY_50"", ""price"", TODAY()-34, TODAY()), 2, 2))) * 100, 2), ""Check History"")"),4.27)</f>
        <v>4.27</v>
      </c>
      <c r="AA228" s="53" t="str">
        <f t="shared" si="14"/>
        <v>MILD RS</v>
      </c>
      <c r="AB228" s="53">
        <f>IFERROR(__xludf.DUMMYFUNCTION("IFERROR(LET(
  p, QUERY(GOOGLEFINANCE(TRIM(A228),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Loading"")"),46.5)</f>
        <v>46.5</v>
      </c>
      <c r="AC228" s="53" t="str">
        <f t="shared" si="15"/>
        <v>IDEAL ENTRY</v>
      </c>
      <c r="AD228" s="53" t="str">
        <f>IFERROR(__xludf.DUMMYFUNCTION("IFERROR(IF(GOOGLEFINANCE(A228,""eps"")&gt;0,""EPS+"",""EPS-""),"""")"),"EPS+")</f>
        <v>EPS+</v>
      </c>
      <c r="AE228" s="53">
        <f t="shared" si="16"/>
        <v>7</v>
      </c>
      <c r="AF228" s="53">
        <f>IFERROR(__xludf.DUMMYFUNCTION("IFERROR(N228+IF(S228&gt;=1.2,1,0)+IF(U228&gt;=1,1,0)+IF(Z228&gt;0,1,0)+IF(AND(W228&gt;=-20,W228&lt;=0),1,0)+IF(IFERROR(GOOGLEFINANCE(A228,""eps""),0)&gt;0,1,0),"""")"),13.0)</f>
        <v>13</v>
      </c>
      <c r="AG228" s="53" t="str">
        <f t="shared" si="17"/>
        <v>WAIT</v>
      </c>
    </row>
    <row r="229" ht="15.0" customHeight="1">
      <c r="A229" s="43" t="s">
        <v>394</v>
      </c>
      <c r="B229" s="44">
        <f>IFERROR(__xludf.DUMMYFUNCTION("GOOGLEFINANCE(A229,""price"")"),450.1)</f>
        <v>450.1</v>
      </c>
      <c r="C229" s="45">
        <f>IFERROR(__xludf.DUMMYFUNCTION("AVERAGE(QUERY(SORT(GOOGLEFINANCE(A229,""price"",TODAY()-150,TODAY()),1,0),""select Col2 limit 50""))"),436.0690000000001)</f>
        <v>436.069</v>
      </c>
      <c r="D229" s="45">
        <f>IFERROR(__xludf.DUMMYFUNCTION("AVERAGE(QUERY(SORT(GOOGLEFINANCE(A229,""price"",TODAY()-300,TODAY()),1,0),""select Col2 limit 100""))"),413.10950000000014)</f>
        <v>413.1095</v>
      </c>
      <c r="E229" s="45">
        <f>IFERROR(__xludf.DUMMYFUNCTION("AVERAGE(QUERY(SORT(GOOGLEFINANCE(A229,""price"",TODAY()-500,TODAY()),1,0),""select Col2 limit 200""))"),400.06)</f>
        <v>400.06</v>
      </c>
      <c r="F229" s="46" t="str">
        <f t="shared" si="1"/>
        <v>In Bull Run</v>
      </c>
      <c r="G229" s="47">
        <f t="shared" si="2"/>
        <v>12.50812378</v>
      </c>
      <c r="H229" s="48" t="str">
        <f t="shared" si="3"/>
        <v>Golden ✓</v>
      </c>
      <c r="I229" s="48">
        <f t="shared" si="4"/>
        <v>3</v>
      </c>
      <c r="J229" s="48">
        <f t="shared" si="5"/>
        <v>0</v>
      </c>
      <c r="K229" s="49" t="str">
        <f>IFERROR(__xludf.DUMMYFUNCTION("IFERROR(IF(A229="""",""ENTER STOCK"",LET(stock,A229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29" s="48">
        <f t="shared" si="6"/>
        <v>0</v>
      </c>
      <c r="M229" s="48">
        <f t="shared" si="7"/>
        <v>1</v>
      </c>
      <c r="N229" s="50">
        <f t="shared" si="8"/>
        <v>4</v>
      </c>
      <c r="O229" s="51" t="s">
        <v>361</v>
      </c>
      <c r="P229" s="46" t="str">
        <f t="shared" si="9"/>
        <v>SKIP</v>
      </c>
      <c r="Q229" s="52"/>
      <c r="R229" s="53">
        <f t="shared" si="10"/>
        <v>15</v>
      </c>
      <c r="S229" s="53">
        <f>IFERROR(__xludf.DUMMYFUNCTION("IFERROR(ROUND(GOOGLEFINANCE(A229,""volume"")/GOOGLEFINANCE(A229,""volumeavg""),2),"""")"),1.66)</f>
        <v>1.66</v>
      </c>
      <c r="T229" s="53" t="str">
        <f t="shared" si="11"/>
        <v>HIGH VOL</v>
      </c>
      <c r="U229" s="53">
        <f>IFERROR(__xludf.DUMMYFUNCTION("IFERROR(
  LET(
    sd, GOOGLEFINANCE(A229,""close"",TODAY()-100,TODAY()),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"""")"),0.29)</f>
        <v>0.29</v>
      </c>
      <c r="V229" s="53" t="str">
        <f t="shared" si="12"/>
        <v>SLOW</v>
      </c>
      <c r="W229" s="53">
        <f>IFERROR(__xludf.DUMMYFUNCTION("IFERROR(ROUND((B229/GOOGLEFINANCE(A229,""high52"")-1)*100,1),"""")"),-5.4)</f>
        <v>-5.4</v>
      </c>
      <c r="X229" s="53">
        <f>IFERROR(__xludf.DUMMYFUNCTION("IFERROR(ROUND((B229-GOOGLEFINANCE(A229,""low52""))/(GOOGLEFINANCE(A229,""high52"")-GOOGLEFINANCE(A229,""low52""))*100,1),"""")"),78.4)</f>
        <v>78.4</v>
      </c>
      <c r="Y229" s="53" t="str">
        <f t="shared" si="13"/>
        <v>UPPER</v>
      </c>
      <c r="Z229" s="53">
        <f>IFERROR(__xludf.DUMMYFUNCTION("IFERROR(ROUND(((B229 / INDEX(GOOGLEFINANCE(TRIM(A229), ""price"", TODAY()-34, TODAY()), 2, 2)) - (GOOGLEFINANCE(""NIFTY_50"") / INDEX(GOOGLEFINANCE(""NIFTY_50"", ""price"", TODAY()-34, TODAY()), 2, 2))) * 100, 2), ""Check History"")"),16.61)</f>
        <v>16.61</v>
      </c>
      <c r="AA229" s="53" t="str">
        <f t="shared" si="14"/>
        <v>STRONG RS</v>
      </c>
      <c r="AB229" s="53">
        <f>IFERROR(__xludf.DUMMYFUNCTION("IFERROR(LET(
  p, QUERY(GOOGLEFINANCE(TRIM(A229),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Loading"")"),49.2)</f>
        <v>49.2</v>
      </c>
      <c r="AC229" s="53" t="str">
        <f t="shared" si="15"/>
        <v>IDEAL ENTRY</v>
      </c>
      <c r="AD229" s="53" t="str">
        <f>IFERROR(__xludf.DUMMYFUNCTION("IFERROR(IF(GOOGLEFINANCE(A229,""eps"")&gt;0,""EPS+"",""EPS-""),"""")"),"EPS+")</f>
        <v>EPS+</v>
      </c>
      <c r="AE229" s="53">
        <f t="shared" si="16"/>
        <v>7</v>
      </c>
      <c r="AF229" s="53">
        <f>IFERROR(__xludf.DUMMYFUNCTION("IFERROR(N229+IF(S229&gt;=1.2,1,0)+IF(U229&gt;=1,1,0)+IF(Z229&gt;0,1,0)+IF(AND(W229&gt;=-20,W229&lt;=0),1,0)+IF(IFERROR(GOOGLEFINANCE(A229,""eps""),0)&gt;0,1,0),"""")"),8.0)</f>
        <v>8</v>
      </c>
      <c r="AG229" s="53" t="str">
        <f t="shared" si="17"/>
        <v>BUY</v>
      </c>
    </row>
    <row r="230" ht="15.0" customHeight="1">
      <c r="A230" s="43" t="s">
        <v>395</v>
      </c>
      <c r="B230" s="44">
        <f>IFERROR(__xludf.DUMMYFUNCTION("GOOGLEFINANCE(A230,""price"")"),401.6)</f>
        <v>401.6</v>
      </c>
      <c r="C230" s="45">
        <f>IFERROR(__xludf.DUMMYFUNCTION("AVERAGE(QUERY(SORT(GOOGLEFINANCE(A230,""price"",TODAY()-150,TODAY()),1,0),""select Col2 limit 50""))"),434.69999999999993)</f>
        <v>434.7</v>
      </c>
      <c r="D230" s="45">
        <f>IFERROR(__xludf.DUMMYFUNCTION("AVERAGE(QUERY(SORT(GOOGLEFINANCE(A230,""price"",TODAY()-300,TODAY()),1,0),""select Col2 limit 100""))"),420.9435000000002)</f>
        <v>420.9435</v>
      </c>
      <c r="E230" s="45">
        <f>IFERROR(__xludf.DUMMYFUNCTION("AVERAGE(QUERY(SORT(GOOGLEFINANCE(A230,""price"",TODAY()-500,TODAY()),1,0),""select Col2 limit 200""))"),410.13700000000006)</f>
        <v>410.137</v>
      </c>
      <c r="F230" s="46" t="str">
        <f t="shared" si="1"/>
        <v>In Bear Run</v>
      </c>
      <c r="G230" s="47">
        <f t="shared" si="2"/>
        <v>-2.081499596</v>
      </c>
      <c r="H230" s="48" t="str">
        <f t="shared" si="3"/>
        <v>Golden ✓</v>
      </c>
      <c r="I230" s="48">
        <f t="shared" si="4"/>
        <v>3</v>
      </c>
      <c r="J230" s="48">
        <f t="shared" si="5"/>
        <v>0</v>
      </c>
      <c r="K230" s="49" t="str">
        <f>IFERROR(__xludf.DUMMYFUNCTION("IFERROR(IF(A230="""",""ENTER STOCK"",LET(stock,A230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30" s="48">
        <f t="shared" si="6"/>
        <v>0</v>
      </c>
      <c r="M230" s="48">
        <f t="shared" si="7"/>
        <v>1</v>
      </c>
      <c r="N230" s="50">
        <f t="shared" si="8"/>
        <v>4</v>
      </c>
      <c r="O230" s="51" t="s">
        <v>214</v>
      </c>
      <c r="P230" s="46" t="str">
        <f t="shared" si="9"/>
        <v>REVERSE TRADE</v>
      </c>
      <c r="Q230" s="52"/>
      <c r="R230" s="53">
        <f t="shared" si="10"/>
        <v>15</v>
      </c>
      <c r="S230" s="53">
        <f>IFERROR(__xludf.DUMMYFUNCTION("IFERROR(ROUND(GOOGLEFINANCE(A230,""volume"")/GOOGLEFINANCE(A230,""volumeavg""),2),"""")"),1.34)</f>
        <v>1.34</v>
      </c>
      <c r="T230" s="53" t="str">
        <f t="shared" si="11"/>
        <v>OK VOL</v>
      </c>
      <c r="U230" s="53">
        <f>IFERROR(__xludf.DUMMYFUNCTION("IFERROR(
  LET(
    sd, GOOGLEFINANCE(A230,""close"",TODAY()-100,TODAY()),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"""")"),0.96)</f>
        <v>0.96</v>
      </c>
      <c r="V230" s="53" t="str">
        <f t="shared" si="12"/>
        <v>MEDIUM</v>
      </c>
      <c r="W230" s="53">
        <f>IFERROR(__xludf.DUMMYFUNCTION("IFERROR(ROUND((B230/GOOGLEFINANCE(A230,""high52"")-1)*100,1),"""")"),-15.2)</f>
        <v>-15.2</v>
      </c>
      <c r="X230" s="53">
        <f>IFERROR(__xludf.DUMMYFUNCTION("IFERROR(ROUND((B230-GOOGLEFINANCE(A230,""low52""))/(GOOGLEFINANCE(A230,""high52"")-GOOGLEFINANCE(A230,""low52""))*100,1),"""")"),66.9)</f>
        <v>66.9</v>
      </c>
      <c r="Y230" s="53" t="str">
        <f t="shared" si="13"/>
        <v>UPPER</v>
      </c>
      <c r="Z230" s="53">
        <f>IFERROR(__xludf.DUMMYFUNCTION("IFERROR(ROUND(((B230 / INDEX(GOOGLEFINANCE(TRIM(A230), ""price"", TODAY()-34, TODAY()), 2, 2)) - (GOOGLEFINANCE(""NIFTY_50"") / INDEX(GOOGLEFINANCE(""NIFTY_50"", ""price"", TODAY()-34, TODAY()), 2, 2))) * 100, 2), ""Check History"")"),4.48)</f>
        <v>4.48</v>
      </c>
      <c r="AA230" s="53" t="str">
        <f t="shared" si="14"/>
        <v>MILD RS</v>
      </c>
      <c r="AB230" s="53">
        <f>IFERROR(__xludf.DUMMYFUNCTION("IFERROR(LET(
  p, QUERY(GOOGLEFINANCE(TRIM(A230),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Loading"")"),45.3)</f>
        <v>45.3</v>
      </c>
      <c r="AC230" s="53" t="str">
        <f t="shared" si="15"/>
        <v>IDEAL ENTRY</v>
      </c>
      <c r="AD230" s="53" t="str">
        <f>IFERROR(__xludf.DUMMYFUNCTION("IFERROR(IF(GOOGLEFINANCE(A230,""eps"")&gt;0,""EPS+"",""EPS-""),"""")"),"EPS+")</f>
        <v>EPS+</v>
      </c>
      <c r="AE230" s="53">
        <f t="shared" si="16"/>
        <v>6</v>
      </c>
      <c r="AF230" s="53">
        <f>IFERROR(__xludf.DUMMYFUNCTION("IFERROR(N230+IF(S230&gt;=1.2,1,0)+IF(U230&gt;=1,1,0)+IF(Z230&gt;0,1,0)+IF(AND(W230&gt;=-20,W230&lt;=0),1,0)+IF(IFERROR(GOOGLEFINANCE(A230,""eps""),0)&gt;0,1,0),"""")"),8.0)</f>
        <v>8</v>
      </c>
      <c r="AG230" s="53" t="str">
        <f t="shared" si="17"/>
        <v>REVERSE TRADE</v>
      </c>
    </row>
    <row r="231" ht="15.0" customHeight="1">
      <c r="A231" s="43" t="s">
        <v>396</v>
      </c>
      <c r="B231" s="44">
        <f>IFERROR(__xludf.DUMMYFUNCTION("GOOGLEFINANCE(A231,""price"")"),2786.0)</f>
        <v>2786</v>
      </c>
      <c r="C231" s="45">
        <f>IFERROR(__xludf.DUMMYFUNCTION("AVERAGE(QUERY(SORT(GOOGLEFINANCE(A231,""price"",TODAY()-150,TODAY()),1,0),""select Col2 limit 50""))"),2882.1540000000005)</f>
        <v>2882.154</v>
      </c>
      <c r="D231" s="45">
        <f>IFERROR(__xludf.DUMMYFUNCTION("AVERAGE(QUERY(SORT(GOOGLEFINANCE(A231,""price"",TODAY()-300,TODAY()),1,0),""select Col2 limit 100""))"),2761.009000000001)</f>
        <v>2761.009</v>
      </c>
      <c r="E231" s="45">
        <f>IFERROR(__xludf.DUMMYFUNCTION("AVERAGE(QUERY(SORT(GOOGLEFINANCE(A231,""price"",TODAY()-500,TODAY()),1,0),""select Col2 limit 200""))"),2668.9580000000014)</f>
        <v>2668.958</v>
      </c>
      <c r="F231" s="46" t="str">
        <f t="shared" si="1"/>
        <v>Unconfirmed</v>
      </c>
      <c r="G231" s="47">
        <f t="shared" si="2"/>
        <v>4.385306925</v>
      </c>
      <c r="H231" s="48" t="str">
        <f t="shared" si="3"/>
        <v>Golden ✓</v>
      </c>
      <c r="I231" s="48">
        <f t="shared" si="4"/>
        <v>3</v>
      </c>
      <c r="J231" s="48">
        <f t="shared" si="5"/>
        <v>4</v>
      </c>
      <c r="K231" s="49" t="str">
        <f>IFERROR(__xludf.DUMMYFUNCTION("IFERROR(IF(A231="""",""ENTER STOCK"",LET(stock,A231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31" s="48">
        <f t="shared" si="6"/>
        <v>0</v>
      </c>
      <c r="M231" s="48">
        <f t="shared" si="7"/>
        <v>1</v>
      </c>
      <c r="N231" s="50">
        <f t="shared" si="8"/>
        <v>8</v>
      </c>
      <c r="O231" s="51" t="s">
        <v>255</v>
      </c>
      <c r="P231" s="46" t="str">
        <f t="shared" si="9"/>
        <v>WAIT</v>
      </c>
      <c r="Q231" s="52"/>
      <c r="R231" s="53">
        <f t="shared" si="10"/>
        <v>15</v>
      </c>
      <c r="S231" s="53">
        <f>IFERROR(__xludf.DUMMYFUNCTION("IFERROR(ROUND(GOOGLEFINANCE(A231,""volume"")/GOOGLEFINANCE(A231,""volumeavg""),2),"""")"),1.36)</f>
        <v>1.36</v>
      </c>
      <c r="T231" s="53" t="str">
        <f t="shared" si="11"/>
        <v>OK VOL</v>
      </c>
      <c r="U231" s="53">
        <f>IFERROR(__xludf.DUMMYFUNCTION("IFERROR(
  LET(
    sd, GOOGLEFINANCE(A231,""close"",TODAY()-100,TODAY()),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"""")"),0.79)</f>
        <v>0.79</v>
      </c>
      <c r="V231" s="53" t="str">
        <f t="shared" si="12"/>
        <v>SLOW</v>
      </c>
      <c r="W231" s="53">
        <f>IFERROR(__xludf.DUMMYFUNCTION("IFERROR(ROUND((B231/GOOGLEFINANCE(A231,""high52"")-1)*100,1),"""")"),-13.7)</f>
        <v>-13.7</v>
      </c>
      <c r="X231" s="53">
        <f>IFERROR(__xludf.DUMMYFUNCTION("IFERROR(ROUND((B231-GOOGLEFINANCE(A231,""low52""))/(GOOGLEFINANCE(A231,""high52"")-GOOGLEFINANCE(A231,""low52""))*100,1),"""")"),50.9)</f>
        <v>50.9</v>
      </c>
      <c r="Y231" s="53" t="str">
        <f t="shared" si="13"/>
        <v>UPPER</v>
      </c>
      <c r="Z231" s="53">
        <f>IFERROR(__xludf.DUMMYFUNCTION("IFERROR(ROUND(((B231 / INDEX(GOOGLEFINANCE(TRIM(A231), ""price"", TODAY()-34, TODAY()), 2, 2)) - (GOOGLEFINANCE(""NIFTY_50"") / INDEX(GOOGLEFINANCE(""NIFTY_50"", ""price"", TODAY()-34, TODAY()), 2, 2))) * 100, 2), ""Check History"")"),6.65)</f>
        <v>6.65</v>
      </c>
      <c r="AA231" s="53" t="str">
        <f t="shared" si="14"/>
        <v>STRONG RS</v>
      </c>
      <c r="AB231" s="53">
        <f>IFERROR(__xludf.DUMMYFUNCTION("IFERROR(LET(
  p, QUERY(GOOGLEFINANCE(TRIM(A231),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Loading"")"),42.4)</f>
        <v>42.4</v>
      </c>
      <c r="AC231" s="53" t="str">
        <f t="shared" si="15"/>
        <v>WEAK MOM</v>
      </c>
      <c r="AD231" s="53" t="str">
        <f>IFERROR(__xludf.DUMMYFUNCTION("IFERROR(IF(GOOGLEFINANCE(A231,""eps"")&gt;0,""EPS+"",""EPS-""),"""")"),"EPS+")</f>
        <v>EPS+</v>
      </c>
      <c r="AE231" s="53">
        <f t="shared" si="16"/>
        <v>6</v>
      </c>
      <c r="AF231" s="53">
        <f>IFERROR(__xludf.DUMMYFUNCTION("IFERROR(N231+IF(S231&gt;=1.2,1,0)+IF(U231&gt;=1,1,0)+IF(Z231&gt;0,1,0)+IF(AND(W231&gt;=-20,W231&lt;=0),1,0)+IF(IFERROR(GOOGLEFINANCE(A231,""eps""),0)&gt;0,1,0),"""")"),12.0)</f>
        <v>12</v>
      </c>
      <c r="AG231" s="53" t="str">
        <f t="shared" si="17"/>
        <v>WAIT</v>
      </c>
    </row>
    <row r="232" ht="15.0" customHeight="1">
      <c r="A232" s="43" t="s">
        <v>397</v>
      </c>
      <c r="B232" s="44">
        <f>IFERROR(__xludf.DUMMYFUNCTION("GOOGLEFINANCE(A232,""price"")"),286.3)</f>
        <v>286.3</v>
      </c>
      <c r="C232" s="45">
        <f>IFERROR(__xludf.DUMMYFUNCTION("AVERAGE(QUERY(SORT(GOOGLEFINANCE(A232,""price"",TODAY()-150,TODAY()),1,0),""select Col2 limit 50""))"),355.64899999999994)</f>
        <v>355.649</v>
      </c>
      <c r="D232" s="45">
        <f>IFERROR(__xludf.DUMMYFUNCTION("AVERAGE(QUERY(SORT(GOOGLEFINANCE(A232,""price"",TODAY()-300,TODAY()),1,0),""select Col2 limit 100""))"),354.91549999999995)</f>
        <v>354.9155</v>
      </c>
      <c r="E232" s="45">
        <f>IFERROR(__xludf.DUMMYFUNCTION("AVERAGE(QUERY(SORT(GOOGLEFINANCE(A232,""price"",TODAY()-500,TODAY()),1,0),""select Col2 limit 200""))"),313.4889999999999)</f>
        <v>313.489</v>
      </c>
      <c r="F232" s="46" t="str">
        <f t="shared" si="1"/>
        <v>In Bear Run</v>
      </c>
      <c r="G232" s="47">
        <f t="shared" si="2"/>
        <v>-8.67303159</v>
      </c>
      <c r="H232" s="48" t="str">
        <f t="shared" si="3"/>
        <v>Golden ✓</v>
      </c>
      <c r="I232" s="48">
        <f t="shared" si="4"/>
        <v>3</v>
      </c>
      <c r="J232" s="48">
        <f t="shared" si="5"/>
        <v>0</v>
      </c>
      <c r="K232" s="49" t="str">
        <f>IFERROR(__xludf.DUMMYFUNCTION("IFERROR(IF(A232="""",""ENTER STOCK"",LET(stock,A232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32" s="48">
        <f t="shared" si="6"/>
        <v>0</v>
      </c>
      <c r="M232" s="48">
        <f t="shared" si="7"/>
        <v>1</v>
      </c>
      <c r="N232" s="50">
        <f t="shared" si="8"/>
        <v>4</v>
      </c>
      <c r="O232" s="51" t="s">
        <v>153</v>
      </c>
      <c r="P232" s="46" t="str">
        <f t="shared" si="9"/>
        <v>REVERSE TRADE</v>
      </c>
      <c r="Q232" s="52"/>
      <c r="R232" s="53">
        <f t="shared" si="10"/>
        <v>15</v>
      </c>
      <c r="S232" s="53">
        <f>IFERROR(__xludf.DUMMYFUNCTION("IFERROR(ROUND(GOOGLEFINANCE(A232,""volume"")/GOOGLEFINANCE(A232,""volumeavg""),2),"""")"),1.56)</f>
        <v>1.56</v>
      </c>
      <c r="T232" s="53" t="str">
        <f t="shared" si="11"/>
        <v>HIGH VOL</v>
      </c>
      <c r="U232" s="53">
        <f>IFERROR(__xludf.DUMMYFUNCTION("IFERROR(
  LET(
    sd, GOOGLEFINANCE(A232,""close"",TODAY()-100,TODAY()),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"""")"),1.65)</f>
        <v>1.65</v>
      </c>
      <c r="V232" s="53" t="str">
        <f t="shared" si="12"/>
        <v>FAST</v>
      </c>
      <c r="W232" s="53">
        <f>IFERROR(__xludf.DUMMYFUNCTION("IFERROR(ROUND((B232/GOOGLEFINANCE(A232,""high52"")-1)*100,1),"""")"),-30.5)</f>
        <v>-30.5</v>
      </c>
      <c r="X232" s="53">
        <f>IFERROR(__xludf.DUMMYFUNCTION("IFERROR(ROUND((B232-GOOGLEFINANCE(A232,""low52""))/(GOOGLEFINANCE(A232,""high52"")-GOOGLEFINANCE(A232,""low52""))*100,1),"""")"),30.3)</f>
        <v>30.3</v>
      </c>
      <c r="Y232" s="53" t="str">
        <f t="shared" si="13"/>
        <v>MID</v>
      </c>
      <c r="Z232" s="53">
        <f>IFERROR(__xludf.DUMMYFUNCTION("IFERROR(ROUND(((B232 / INDEX(GOOGLEFINANCE(TRIM(A232), ""price"", TODAY()-34, TODAY()), 2, 2)) - (GOOGLEFINANCE(""NIFTY_50"") / INDEX(GOOGLEFINANCE(""NIFTY_50"", ""price"", TODAY()-34, TODAY()), 2, 2))) * 100, 2), ""Check History"")"),-9.32)</f>
        <v>-9.32</v>
      </c>
      <c r="AA232" s="53" t="str">
        <f t="shared" si="14"/>
        <v>WEAK RS</v>
      </c>
      <c r="AB232" s="53">
        <f>IFERROR(__xludf.DUMMYFUNCTION("IFERROR(LET(
  p, QUERY(GOOGLEFINANCE(TRIM(A232),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Loading"")"),40.5)</f>
        <v>40.5</v>
      </c>
      <c r="AC232" s="53" t="str">
        <f t="shared" si="15"/>
        <v>WEAK MOM</v>
      </c>
      <c r="AD232" s="53" t="str">
        <f>IFERROR(__xludf.DUMMYFUNCTION("IFERROR(IF(GOOGLEFINANCE(A232,""eps"")&gt;0,""EPS+"",""EPS-""),"""")"),"EPS+")</f>
        <v>EPS+</v>
      </c>
      <c r="AE232" s="53">
        <f t="shared" si="16"/>
        <v>6</v>
      </c>
      <c r="AF232" s="53">
        <f>IFERROR(__xludf.DUMMYFUNCTION("IFERROR(N232+IF(S232&gt;=1.2,1,0)+IF(U232&gt;=1,1,0)+IF(Z232&gt;0,1,0)+IF(AND(W232&gt;=-20,W232&lt;=0),1,0)+IF(IFERROR(GOOGLEFINANCE(A232,""eps""),0)&gt;0,1,0),"""")"),7.0)</f>
        <v>7</v>
      </c>
      <c r="AG232" s="53" t="str">
        <f t="shared" si="17"/>
        <v>REVERSE TRADE</v>
      </c>
    </row>
    <row r="233" ht="15.0" customHeight="1">
      <c r="A233" s="43" t="s">
        <v>398</v>
      </c>
      <c r="B233" s="44">
        <f>IFERROR(__xludf.DUMMYFUNCTION("GOOGLEFINANCE(A233,""price"")"),61.29)</f>
        <v>61.29</v>
      </c>
      <c r="C233" s="45">
        <f>IFERROR(__xludf.DUMMYFUNCTION("AVERAGE(QUERY(SORT(GOOGLEFINANCE(A233,""price"",TODAY()-150,TODAY()),1,0),""select Col2 limit 50""))"),66.521)</f>
        <v>66.521</v>
      </c>
      <c r="D233" s="45">
        <f>IFERROR(__xludf.DUMMYFUNCTION("AVERAGE(QUERY(SORT(GOOGLEFINANCE(A233,""price"",TODAY()-300,TODAY()),1,0),""select Col2 limit 100""))"),62.823400000000014)</f>
        <v>62.8234</v>
      </c>
      <c r="E233" s="45">
        <f>IFERROR(__xludf.DUMMYFUNCTION("AVERAGE(QUERY(SORT(GOOGLEFINANCE(A233,""price"",TODAY()-500,TODAY()),1,0),""select Col2 limit 200""))"),59.33655000000002)</f>
        <v>59.33655</v>
      </c>
      <c r="F233" s="46" t="str">
        <f t="shared" si="1"/>
        <v>Unconfirmed</v>
      </c>
      <c r="G233" s="47">
        <f t="shared" si="2"/>
        <v>3.292152982</v>
      </c>
      <c r="H233" s="48" t="str">
        <f t="shared" si="3"/>
        <v>Golden ✓</v>
      </c>
      <c r="I233" s="48">
        <f t="shared" si="4"/>
        <v>3</v>
      </c>
      <c r="J233" s="48">
        <f t="shared" si="5"/>
        <v>4</v>
      </c>
      <c r="K233" s="49" t="str">
        <f>IFERROR(__xludf.DUMMYFUNCTION("IFERROR(IF(A233="""",""ENTER STOCK"",LET(stock,A233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33" s="48">
        <f t="shared" si="6"/>
        <v>0</v>
      </c>
      <c r="M233" s="48">
        <f t="shared" si="7"/>
        <v>1</v>
      </c>
      <c r="N233" s="50">
        <f t="shared" si="8"/>
        <v>8</v>
      </c>
      <c r="O233" s="51" t="s">
        <v>236</v>
      </c>
      <c r="P233" s="46" t="str">
        <f t="shared" si="9"/>
        <v>WAIT</v>
      </c>
      <c r="Q233" s="52"/>
      <c r="R233" s="53">
        <f t="shared" si="10"/>
        <v>15</v>
      </c>
      <c r="S233" s="53">
        <f>IFERROR(__xludf.DUMMYFUNCTION("IFERROR(ROUND(GOOGLEFINANCE(A233,""volume"")/GOOGLEFINANCE(A233,""volumeavg""),2),"""")"),0.69)</f>
        <v>0.69</v>
      </c>
      <c r="T233" s="53" t="str">
        <f t="shared" si="11"/>
        <v>LOW VOL</v>
      </c>
      <c r="U233" s="53">
        <f>IFERROR(__xludf.DUMMYFUNCTION("IFERROR(
  LET(
    sd, GOOGLEFINANCE(A233,""close"",TODAY()-100,TODAY()),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"""")"),1.72)</f>
        <v>1.72</v>
      </c>
      <c r="V233" s="53" t="str">
        <f t="shared" si="12"/>
        <v>FAST</v>
      </c>
      <c r="W233" s="53">
        <f>IFERROR(__xludf.DUMMYFUNCTION("IFERROR(ROUND((B233/GOOGLEFINANCE(A233,""high52"")-1)*100,1),"""")"),-20.4)</f>
        <v>-20.4</v>
      </c>
      <c r="X233" s="53">
        <f>IFERROR(__xludf.DUMMYFUNCTION("IFERROR(ROUND((B233-GOOGLEFINANCE(A233,""low52""))/(GOOGLEFINANCE(A233,""high52"")-GOOGLEFINANCE(A233,""low52""))*100,1),"""")"),55.1)</f>
        <v>55.1</v>
      </c>
      <c r="Y233" s="53" t="str">
        <f t="shared" si="13"/>
        <v>MID</v>
      </c>
      <c r="Z233" s="53">
        <f>IFERROR(__xludf.DUMMYFUNCTION("IFERROR(ROUND(((B233 / INDEX(GOOGLEFINANCE(TRIM(A233), ""price"", TODAY()-34, TODAY()), 2, 2)) - (GOOGLEFINANCE(""NIFTY_50"") / INDEX(GOOGLEFINANCE(""NIFTY_50"", ""price"", TODAY()-34, TODAY()), 2, 2))) * 100, 2), ""Check History"")"),-2.54)</f>
        <v>-2.54</v>
      </c>
      <c r="AA233" s="53" t="str">
        <f t="shared" si="14"/>
        <v>WEAK RS</v>
      </c>
      <c r="AB233" s="53">
        <f>IFERROR(__xludf.DUMMYFUNCTION("IFERROR(LET(
  p, QUERY(GOOGLEFINANCE(TRIM(A233),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Loading"")"),48.7)</f>
        <v>48.7</v>
      </c>
      <c r="AC233" s="53" t="str">
        <f t="shared" si="15"/>
        <v>IDEAL ENTRY</v>
      </c>
      <c r="AD233" s="53" t="str">
        <f>IFERROR(__xludf.DUMMYFUNCTION("IFERROR(IF(GOOGLEFINANCE(A233,""eps"")&gt;0,""EPS+"",""EPS-""),"""")"),"EPS+")</f>
        <v>EPS+</v>
      </c>
      <c r="AE233" s="53">
        <f t="shared" si="16"/>
        <v>4</v>
      </c>
      <c r="AF233" s="53">
        <f>IFERROR(__xludf.DUMMYFUNCTION("IFERROR(N233+IF(S233&gt;=1.2,1,0)+IF(U233&gt;=1,1,0)+IF(Z233&gt;0,1,0)+IF(AND(W233&gt;=-20,W233&lt;=0),1,0)+IF(IFERROR(GOOGLEFINANCE(A233,""eps""),0)&gt;0,1,0),"""")"),10.0)</f>
        <v>10</v>
      </c>
      <c r="AG233" s="53" t="str">
        <f t="shared" si="17"/>
        <v>WAIT</v>
      </c>
    </row>
    <row r="234" ht="15.0" customHeight="1">
      <c r="A234" s="43" t="s">
        <v>399</v>
      </c>
      <c r="B234" s="44">
        <f>IFERROR(__xludf.DUMMYFUNCTION("GOOGLEFINANCE(A234,""price"")"),136.67)</f>
        <v>136.67</v>
      </c>
      <c r="C234" s="45">
        <f>IFERROR(__xludf.DUMMYFUNCTION("AVERAGE(QUERY(SORT(GOOGLEFINANCE(A234,""price"",TODAY()-150,TODAY()),1,0),""select Col2 limit 50""))"),160.60119999999998)</f>
        <v>160.6012</v>
      </c>
      <c r="D234" s="45">
        <f>IFERROR(__xludf.DUMMYFUNCTION("AVERAGE(QUERY(SORT(GOOGLEFINANCE(A234,""price"",TODAY()-300,TODAY()),1,0),""select Col2 limit 100""))"),152.50579999999994)</f>
        <v>152.5058</v>
      </c>
      <c r="E234" s="45">
        <f>IFERROR(__xludf.DUMMYFUNCTION("AVERAGE(QUERY(SORT(GOOGLEFINANCE(A234,""price"",TODAY()-500,TODAY()),1,0),""select Col2 limit 200""))"),135.73335)</f>
        <v>135.73335</v>
      </c>
      <c r="F234" s="46" t="str">
        <f t="shared" si="1"/>
        <v>Unconfirmed</v>
      </c>
      <c r="G234" s="47">
        <f t="shared" si="2"/>
        <v>0.6900662218</v>
      </c>
      <c r="H234" s="48" t="str">
        <f t="shared" si="3"/>
        <v>Golden ✓</v>
      </c>
      <c r="I234" s="48">
        <f t="shared" si="4"/>
        <v>3</v>
      </c>
      <c r="J234" s="48">
        <f t="shared" si="5"/>
        <v>2</v>
      </c>
      <c r="K234" s="49" t="str">
        <f>IFERROR(__xludf.DUMMYFUNCTION("IFERROR(IF(A234="""",""ENTER STOCK"",LET(stock,A234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34" s="48">
        <f t="shared" si="6"/>
        <v>0</v>
      </c>
      <c r="M234" s="48">
        <f t="shared" si="7"/>
        <v>1</v>
      </c>
      <c r="N234" s="50">
        <f t="shared" si="8"/>
        <v>6</v>
      </c>
      <c r="O234" s="51" t="s">
        <v>236</v>
      </c>
      <c r="P234" s="46" t="str">
        <f t="shared" si="9"/>
        <v>WAIT</v>
      </c>
      <c r="Q234" s="52"/>
      <c r="R234" s="53">
        <f t="shared" si="10"/>
        <v>15</v>
      </c>
      <c r="S234" s="53">
        <f>IFERROR(__xludf.DUMMYFUNCTION("IFERROR(ROUND(GOOGLEFINANCE(A234,""volume"")/GOOGLEFINANCE(A234,""volumeavg""),2),"""")"),1.27)</f>
        <v>1.27</v>
      </c>
      <c r="T234" s="53" t="str">
        <f t="shared" si="11"/>
        <v>OK VOL</v>
      </c>
      <c r="U234" s="53">
        <f>IFERROR(__xludf.DUMMYFUNCTION("IFERROR(
  LET(
    sd, GOOGLEFINANCE(A234,""close"",TODAY()-100,TODAY()),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"""")"),1.79)</f>
        <v>1.79</v>
      </c>
      <c r="V234" s="53" t="str">
        <f t="shared" si="12"/>
        <v>FAST</v>
      </c>
      <c r="W234" s="53">
        <f>IFERROR(__xludf.DUMMYFUNCTION("IFERROR(ROUND((B234/GOOGLEFINANCE(A234,""high52"")-1)*100,1),"""")"),-23.4)</f>
        <v>-23.4</v>
      </c>
      <c r="X234" s="53">
        <f>IFERROR(__xludf.DUMMYFUNCTION("IFERROR(ROUND((B234-GOOGLEFINANCE(A234,""low52""))/(GOOGLEFINANCE(A234,""high52"")-GOOGLEFINANCE(A234,""low52""))*100,1),"""")"),44.7)</f>
        <v>44.7</v>
      </c>
      <c r="Y234" s="53" t="str">
        <f t="shared" si="13"/>
        <v>MID</v>
      </c>
      <c r="Z234" s="53">
        <f>IFERROR(__xludf.DUMMYFUNCTION("IFERROR(ROUND(((B234 / INDEX(GOOGLEFINANCE(TRIM(A234), ""price"", TODAY()-34, TODAY()), 2, 2)) - (GOOGLEFINANCE(""NIFTY_50"") / INDEX(GOOGLEFINANCE(""NIFTY_50"", ""price"", TODAY()-34, TODAY()), 2, 2))) * 100, 2), ""Check History"")"),-9.96)</f>
        <v>-9.96</v>
      </c>
      <c r="AA234" s="53" t="str">
        <f t="shared" si="14"/>
        <v>WEAK RS</v>
      </c>
      <c r="AB234" s="53">
        <f>IFERROR(__xludf.DUMMYFUNCTION("IFERROR(LET(
  p, QUERY(GOOGLEFINANCE(TRIM(A234),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Loading"")"),29.5)</f>
        <v>29.5</v>
      </c>
      <c r="AC234" s="53" t="str">
        <f t="shared" si="15"/>
        <v>WEAK MOM</v>
      </c>
      <c r="AD234" s="53" t="str">
        <f>IFERROR(__xludf.DUMMYFUNCTION("IFERROR(IF(GOOGLEFINANCE(A234,""eps"")&gt;0,""EPS+"",""EPS-""),"""")"),"EPS+")</f>
        <v>EPS+</v>
      </c>
      <c r="AE234" s="53">
        <f t="shared" si="16"/>
        <v>5</v>
      </c>
      <c r="AF234" s="53">
        <f>IFERROR(__xludf.DUMMYFUNCTION("IFERROR(N234+IF(S234&gt;=1.2,1,0)+IF(U234&gt;=1,1,0)+IF(Z234&gt;0,1,0)+IF(AND(W234&gt;=-20,W234&lt;=0),1,0)+IF(IFERROR(GOOGLEFINANCE(A234,""eps""),0)&gt;0,1,0),"""")"),9.0)</f>
        <v>9</v>
      </c>
      <c r="AG234" s="53" t="str">
        <f t="shared" si="17"/>
        <v>WAIT</v>
      </c>
    </row>
    <row r="235" ht="15.0" customHeight="1">
      <c r="A235" s="43" t="s">
        <v>400</v>
      </c>
      <c r="B235" s="44">
        <f>IFERROR(__xludf.DUMMYFUNCTION("GOOGLEFINANCE(A235,""price"")"),511.0)</f>
        <v>511</v>
      </c>
      <c r="C235" s="45">
        <f>IFERROR(__xludf.DUMMYFUNCTION("AVERAGE(QUERY(SORT(GOOGLEFINANCE(A235,""price"",TODAY()-150,TODAY()),1,0),""select Col2 limit 50""))"),601.798)</f>
        <v>601.798</v>
      </c>
      <c r="D235" s="45">
        <f>IFERROR(__xludf.DUMMYFUNCTION("AVERAGE(QUERY(SORT(GOOGLEFINANCE(A235,""price"",TODAY()-300,TODAY()),1,0),""select Col2 limit 100""))"),568.8255000000001)</f>
        <v>568.8255</v>
      </c>
      <c r="E235" s="45">
        <f>IFERROR(__xludf.DUMMYFUNCTION("AVERAGE(QUERY(SORT(GOOGLEFINANCE(A235,""price"",TODAY()-500,TODAY()),1,0),""select Col2 limit 200""))"),512.03675)</f>
        <v>512.03675</v>
      </c>
      <c r="F235" s="46" t="str">
        <f t="shared" si="1"/>
        <v>In Bear Run</v>
      </c>
      <c r="G235" s="47">
        <f t="shared" si="2"/>
        <v>-0.2024757012</v>
      </c>
      <c r="H235" s="48" t="str">
        <f t="shared" si="3"/>
        <v>Golden ✓</v>
      </c>
      <c r="I235" s="48">
        <f t="shared" si="4"/>
        <v>3</v>
      </c>
      <c r="J235" s="48">
        <f t="shared" si="5"/>
        <v>0</v>
      </c>
      <c r="K235" s="49" t="str">
        <f>IFERROR(__xludf.DUMMYFUNCTION("IFERROR(IF(A235="""",""ENTER STOCK"",LET(stock,A235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35" s="48">
        <f t="shared" si="6"/>
        <v>0</v>
      </c>
      <c r="M235" s="48">
        <f t="shared" si="7"/>
        <v>1</v>
      </c>
      <c r="N235" s="50">
        <f t="shared" si="8"/>
        <v>4</v>
      </c>
      <c r="O235" s="51" t="s">
        <v>361</v>
      </c>
      <c r="P235" s="46" t="str">
        <f t="shared" si="9"/>
        <v>REVERSE TRADE</v>
      </c>
      <c r="Q235" s="52"/>
      <c r="R235" s="53">
        <f t="shared" si="10"/>
        <v>15</v>
      </c>
      <c r="S235" s="53">
        <f>IFERROR(__xludf.DUMMYFUNCTION("IFERROR(ROUND(GOOGLEFINANCE(A235,""volume"")/GOOGLEFINANCE(A235,""volumeavg""),2),"""")"),1.09)</f>
        <v>1.09</v>
      </c>
      <c r="T235" s="53" t="str">
        <f t="shared" si="11"/>
        <v>LOW VOL</v>
      </c>
      <c r="U235" s="53">
        <f>IFERROR(__xludf.DUMMYFUNCTION("IFERROR(
  LET(
    sd, GOOGLEFINANCE(A235,""close"",TODAY()-100,TODAY()),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"""")"),0.27)</f>
        <v>0.27</v>
      </c>
      <c r="V235" s="53" t="str">
        <f t="shared" si="12"/>
        <v>SLOW</v>
      </c>
      <c r="W235" s="53">
        <f>IFERROR(__xludf.DUMMYFUNCTION("IFERROR(ROUND((B235/GOOGLEFINANCE(A235,""high52"")-1)*100,1),"""")"),-30.3)</f>
        <v>-30.3</v>
      </c>
      <c r="X235" s="53">
        <f>IFERROR(__xludf.DUMMYFUNCTION("IFERROR(ROUND((B235-GOOGLEFINANCE(A235,""low52""))/(GOOGLEFINANCE(A235,""high52"")-GOOGLEFINANCE(A235,""low52""))*100,1),"""")"),35.5)</f>
        <v>35.5</v>
      </c>
      <c r="Y235" s="53" t="str">
        <f t="shared" si="13"/>
        <v>MID</v>
      </c>
      <c r="Z235" s="53">
        <f>IFERROR(__xludf.DUMMYFUNCTION("IFERROR(ROUND(((B235 / INDEX(GOOGLEFINANCE(TRIM(A235), ""price"", TODAY()-34, TODAY()), 2, 2)) - (GOOGLEFINANCE(""NIFTY_50"") / INDEX(GOOGLEFINANCE(""NIFTY_50"", ""price"", TODAY()-34, TODAY()), 2, 2))) * 100, 2), ""Check History"")"),-2.29)</f>
        <v>-2.29</v>
      </c>
      <c r="AA235" s="53" t="str">
        <f t="shared" si="14"/>
        <v>WEAK RS</v>
      </c>
      <c r="AB235" s="53">
        <f>IFERROR(__xludf.DUMMYFUNCTION("IFERROR(LET(
  p, QUERY(GOOGLEFINANCE(TRIM(A235),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Loading"")"),46.1)</f>
        <v>46.1</v>
      </c>
      <c r="AC235" s="53" t="str">
        <f t="shared" si="15"/>
        <v>IDEAL ENTRY</v>
      </c>
      <c r="AD235" s="53" t="str">
        <f>IFERROR(__xludf.DUMMYFUNCTION("IFERROR(IF(GOOGLEFINANCE(A235,""eps"")&gt;0,""EPS+"",""EPS-""),"""")"),"EPS+")</f>
        <v>EPS+</v>
      </c>
      <c r="AE235" s="53">
        <f t="shared" si="16"/>
        <v>1</v>
      </c>
      <c r="AF235" s="53">
        <f>IFERROR(__xludf.DUMMYFUNCTION("IFERROR(N235+IF(S235&gt;=1.2,1,0)+IF(U235&gt;=1,1,0)+IF(Z235&gt;0,1,0)+IF(AND(W235&gt;=-20,W235&lt;=0),1,0)+IF(IFERROR(GOOGLEFINANCE(A235,""eps""),0)&gt;0,1,0),"""")"),5.0)</f>
        <v>5</v>
      </c>
      <c r="AG235" s="53" t="str">
        <f t="shared" si="17"/>
        <v>REVERSE TRADE</v>
      </c>
    </row>
    <row r="236" ht="15.0" customHeight="1">
      <c r="A236" s="43" t="s">
        <v>401</v>
      </c>
      <c r="B236" s="44">
        <f>IFERROR(__xludf.DUMMYFUNCTION("GOOGLEFINANCE(A236,""price"")"),2312.0)</f>
        <v>2312</v>
      </c>
      <c r="C236" s="45">
        <f>IFERROR(__xludf.DUMMYFUNCTION("AVERAGE(QUERY(SORT(GOOGLEFINANCE(A236,""price"",TODAY()-150,TODAY()),1,0),""select Col2 limit 50""))"),2244.78)</f>
        <v>2244.78</v>
      </c>
      <c r="D236" s="45">
        <f>IFERROR(__xludf.DUMMYFUNCTION("AVERAGE(QUERY(SORT(GOOGLEFINANCE(A236,""price"",TODAY()-300,TODAY()),1,0),""select Col2 limit 100""))"),2161.852999999999)</f>
        <v>2161.853</v>
      </c>
      <c r="E236" s="45">
        <f>IFERROR(__xludf.DUMMYFUNCTION("AVERAGE(QUERY(SORT(GOOGLEFINANCE(A236,""price"",TODAY()-500,TODAY()),1,0),""select Col2 limit 200""))"),2056.488499999999)</f>
        <v>2056.4885</v>
      </c>
      <c r="F236" s="46" t="str">
        <f t="shared" si="1"/>
        <v>In Bull Run</v>
      </c>
      <c r="G236" s="47">
        <f t="shared" si="2"/>
        <v>12.42465008</v>
      </c>
      <c r="H236" s="48" t="str">
        <f t="shared" si="3"/>
        <v>Golden ✓</v>
      </c>
      <c r="I236" s="48">
        <f t="shared" si="4"/>
        <v>3</v>
      </c>
      <c r="J236" s="48">
        <f t="shared" si="5"/>
        <v>0</v>
      </c>
      <c r="K236" s="49" t="str">
        <f>IFERROR(__xludf.DUMMYFUNCTION("IFERROR(IF(A236="""",""ENTER STOCK"",LET(stock,A236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36" s="48">
        <f t="shared" si="6"/>
        <v>0</v>
      </c>
      <c r="M236" s="48">
        <f t="shared" si="7"/>
        <v>1</v>
      </c>
      <c r="N236" s="50">
        <f t="shared" si="8"/>
        <v>4</v>
      </c>
      <c r="O236" s="51" t="s">
        <v>255</v>
      </c>
      <c r="P236" s="46" t="str">
        <f t="shared" si="9"/>
        <v>SKIP</v>
      </c>
      <c r="Q236" s="52"/>
      <c r="R236" s="53">
        <f t="shared" si="10"/>
        <v>15</v>
      </c>
      <c r="S236" s="53">
        <f>IFERROR(__xludf.DUMMYFUNCTION("IFERROR(ROUND(GOOGLEFINANCE(A236,""volume"")/GOOGLEFINANCE(A236,""volumeavg""),2),"""")"),1.82)</f>
        <v>1.82</v>
      </c>
      <c r="T236" s="53" t="str">
        <f t="shared" si="11"/>
        <v>HIGH VOL</v>
      </c>
      <c r="U236" s="53">
        <f>IFERROR(__xludf.DUMMYFUNCTION("IFERROR(
  LET(
    sd, GOOGLEFINANCE(A236,""close"",TODAY()-100,TODAY()),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"""")"),0.56)</f>
        <v>0.56</v>
      </c>
      <c r="V236" s="53" t="str">
        <f t="shared" si="12"/>
        <v>SLOW</v>
      </c>
      <c r="W236" s="53">
        <f>IFERROR(__xludf.DUMMYFUNCTION("IFERROR(ROUND((B236/GOOGLEFINANCE(A236,""high52"")-1)*100,1),"""")"),-2.8)</f>
        <v>-2.8</v>
      </c>
      <c r="X236" s="53">
        <f>IFERROR(__xludf.DUMMYFUNCTION("IFERROR(ROUND((B236-GOOGLEFINANCE(A236,""low52""))/(GOOGLEFINANCE(A236,""high52"")-GOOGLEFINANCE(A236,""low52""))*100,1),"""")"),88.7)</f>
        <v>88.7</v>
      </c>
      <c r="Y236" s="53" t="str">
        <f t="shared" si="13"/>
        <v>AT HIGH</v>
      </c>
      <c r="Z236" s="53">
        <f>IFERROR(__xludf.DUMMYFUNCTION("IFERROR(ROUND(((B236 / INDEX(GOOGLEFINANCE(TRIM(A236), ""price"", TODAY()-34, TODAY()), 2, 2)) - (GOOGLEFINANCE(""NIFTY_50"") / INDEX(GOOGLEFINANCE(""NIFTY_50"", ""price"", TODAY()-34, TODAY()), 2, 2))) * 100, 2), ""Check History"")"),14.91)</f>
        <v>14.91</v>
      </c>
      <c r="AA236" s="53" t="str">
        <f t="shared" si="14"/>
        <v>STRONG RS</v>
      </c>
      <c r="AB236" s="53">
        <f>IFERROR(__xludf.DUMMYFUNCTION("IFERROR(LET(
  p, QUERY(GOOGLEFINANCE(TRIM(A236),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Loading"")"),44.3)</f>
        <v>44.3</v>
      </c>
      <c r="AC236" s="53" t="str">
        <f t="shared" si="15"/>
        <v>WEAK MOM</v>
      </c>
      <c r="AD236" s="53" t="str">
        <f>IFERROR(__xludf.DUMMYFUNCTION("IFERROR(IF(GOOGLEFINANCE(A236,""eps"")&gt;0,""EPS+"",""EPS-""),"""")"),"EPS+")</f>
        <v>EPS+</v>
      </c>
      <c r="AE236" s="53">
        <f t="shared" si="16"/>
        <v>7</v>
      </c>
      <c r="AF236" s="53">
        <f>IFERROR(__xludf.DUMMYFUNCTION("IFERROR(N236+IF(S236&gt;=1.2,1,0)+IF(U236&gt;=1,1,0)+IF(Z236&gt;0,1,0)+IF(AND(W236&gt;=-20,W236&lt;=0),1,0)+IF(IFERROR(GOOGLEFINANCE(A236,""eps""),0)&gt;0,1,0),"""")"),8.0)</f>
        <v>8</v>
      </c>
      <c r="AG236" s="53" t="str">
        <f t="shared" si="17"/>
        <v>BUY</v>
      </c>
    </row>
    <row r="237" ht="15.0" customHeight="1">
      <c r="A237" s="43" t="s">
        <v>402</v>
      </c>
      <c r="B237" s="44">
        <f>IFERROR(__xludf.DUMMYFUNCTION("GOOGLEFINANCE(A237,""price"")"),1945.5)</f>
        <v>1945.5</v>
      </c>
      <c r="C237" s="45">
        <f>IFERROR(__xludf.DUMMYFUNCTION("AVERAGE(QUERY(SORT(GOOGLEFINANCE(A237,""price"",TODAY()-150,TODAY()),1,0),""select Col2 limit 50""))"),2087.6200000000003)</f>
        <v>2087.62</v>
      </c>
      <c r="D237" s="45">
        <f>IFERROR(__xludf.DUMMYFUNCTION("AVERAGE(QUERY(SORT(GOOGLEFINANCE(A237,""price"",TODAY()-300,TODAY()),1,0),""select Col2 limit 100""))"),1946.029)</f>
        <v>1946.029</v>
      </c>
      <c r="E237" s="45">
        <f>IFERROR(__xludf.DUMMYFUNCTION("AVERAGE(QUERY(SORT(GOOGLEFINANCE(A237,""price"",TODAY()-500,TODAY()),1,0),""select Col2 limit 200""))"),1822.8740000000005)</f>
        <v>1822.874</v>
      </c>
      <c r="F237" s="46" t="str">
        <f t="shared" si="1"/>
        <v>Unconfirmed</v>
      </c>
      <c r="G237" s="47">
        <f t="shared" si="2"/>
        <v>6.727069452</v>
      </c>
      <c r="H237" s="48" t="str">
        <f t="shared" si="3"/>
        <v>Golden ✓</v>
      </c>
      <c r="I237" s="48">
        <f t="shared" si="4"/>
        <v>3</v>
      </c>
      <c r="J237" s="48">
        <f t="shared" si="5"/>
        <v>4</v>
      </c>
      <c r="K237" s="49" t="str">
        <f>IFERROR(__xludf.DUMMYFUNCTION("IFERROR(IF(A237="""",""ENTER STOCK"",LET(stock,A237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37" s="48">
        <f t="shared" si="6"/>
        <v>0</v>
      </c>
      <c r="M237" s="48">
        <f t="shared" si="7"/>
        <v>1</v>
      </c>
      <c r="N237" s="50">
        <f t="shared" si="8"/>
        <v>8</v>
      </c>
      <c r="O237" s="51" t="s">
        <v>312</v>
      </c>
      <c r="P237" s="46" t="str">
        <f t="shared" si="9"/>
        <v>WAIT</v>
      </c>
      <c r="Q237" s="52"/>
      <c r="R237" s="53">
        <f t="shared" si="10"/>
        <v>15</v>
      </c>
      <c r="S237" s="53">
        <f>IFERROR(__xludf.DUMMYFUNCTION("IFERROR(ROUND(GOOGLEFINANCE(A237,""volume"")/GOOGLEFINANCE(A237,""volumeavg""),2),"""")"),1.29)</f>
        <v>1.29</v>
      </c>
      <c r="T237" s="53" t="str">
        <f t="shared" si="11"/>
        <v>OK VOL</v>
      </c>
      <c r="U237" s="53">
        <f>IFERROR(__xludf.DUMMYFUNCTION("IFERROR(
  LET(
    sd, GOOGLEFINANCE(A237,""close"",TODAY()-100,TODAY()),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"""")"),1.24)</f>
        <v>1.24</v>
      </c>
      <c r="V237" s="53" t="str">
        <f t="shared" si="12"/>
        <v>FAST</v>
      </c>
      <c r="W237" s="53">
        <f>IFERROR(__xludf.DUMMYFUNCTION("IFERROR(ROUND((B237/GOOGLEFINANCE(A237,""high52"")-1)*100,1),"""")"),-15.5)</f>
        <v>-15.5</v>
      </c>
      <c r="X237" s="53">
        <f>IFERROR(__xludf.DUMMYFUNCTION("IFERROR(ROUND((B237-GOOGLEFINANCE(A237,""low52""))/(GOOGLEFINANCE(A237,""high52"")-GOOGLEFINANCE(A237,""low52""))*100,1),"""")"),60.5)</f>
        <v>60.5</v>
      </c>
      <c r="Y237" s="53" t="str">
        <f t="shared" si="13"/>
        <v>UPPER</v>
      </c>
      <c r="Z237" s="53">
        <f>IFERROR(__xludf.DUMMYFUNCTION("IFERROR(ROUND(((B237 / INDEX(GOOGLEFINANCE(TRIM(A237), ""price"", TODAY()-34, TODAY()), 2, 2)) - (GOOGLEFINANCE(""NIFTY_50"") / INDEX(GOOGLEFINANCE(""NIFTY_50"", ""price"", TODAY()-34, TODAY()), 2, 2))) * 100, 2), ""Check History"")"),0.78)</f>
        <v>0.78</v>
      </c>
      <c r="AA237" s="53" t="str">
        <f t="shared" si="14"/>
        <v>MILD RS</v>
      </c>
      <c r="AB237" s="53">
        <f>IFERROR(__xludf.DUMMYFUNCTION("IFERROR(LET(
  p, QUERY(GOOGLEFINANCE(TRIM(A237),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Loading"")"),45.5)</f>
        <v>45.5</v>
      </c>
      <c r="AC237" s="53" t="str">
        <f t="shared" si="15"/>
        <v>IDEAL ENTRY</v>
      </c>
      <c r="AD237" s="53" t="str">
        <f>IFERROR(__xludf.DUMMYFUNCTION("IFERROR(IF(GOOGLEFINANCE(A237,""eps"")&gt;0,""EPS+"",""EPS-""),"""")"),"EPS+")</f>
        <v>EPS+</v>
      </c>
      <c r="AE237" s="53">
        <f t="shared" si="16"/>
        <v>7</v>
      </c>
      <c r="AF237" s="53">
        <f>IFERROR(__xludf.DUMMYFUNCTION("IFERROR(N237+IF(S237&gt;=1.2,1,0)+IF(U237&gt;=1,1,0)+IF(Z237&gt;0,1,0)+IF(AND(W237&gt;=-20,W237&lt;=0),1,0)+IF(IFERROR(GOOGLEFINANCE(A237,""eps""),0)&gt;0,1,0),"""")"),13.0)</f>
        <v>13</v>
      </c>
      <c r="AG237" s="53" t="str">
        <f t="shared" si="17"/>
        <v>WAIT</v>
      </c>
    </row>
    <row r="238" ht="15.0" customHeight="1">
      <c r="A238" s="43" t="s">
        <v>403</v>
      </c>
      <c r="B238" s="44">
        <f>IFERROR(__xludf.DUMMYFUNCTION("GOOGLEFINANCE(A238,""price"")"),6830.5)</f>
        <v>6830.5</v>
      </c>
      <c r="C238" s="45">
        <f>IFERROR(__xludf.DUMMYFUNCTION("AVERAGE(QUERY(SORT(GOOGLEFINANCE(A238,""price"",TODAY()-150,TODAY()),1,0),""select Col2 limit 50""))"),7534.31)</f>
        <v>7534.31</v>
      </c>
      <c r="D238" s="45">
        <f>IFERROR(__xludf.DUMMYFUNCTION("AVERAGE(QUERY(SORT(GOOGLEFINANCE(A238,""price"",TODAY()-300,TODAY()),1,0),""select Col2 limit 100""))"),7522.33)</f>
        <v>7522.33</v>
      </c>
      <c r="E238" s="45">
        <f>IFERROR(__xludf.DUMMYFUNCTION("AVERAGE(QUERY(SORT(GOOGLEFINANCE(A238,""price"",TODAY()-500,TODAY()),1,0),""select Col2 limit 200""))"),7278.2375)</f>
        <v>7278.2375</v>
      </c>
      <c r="F238" s="46" t="str">
        <f t="shared" si="1"/>
        <v>In Bear Run</v>
      </c>
      <c r="G238" s="47">
        <f t="shared" si="2"/>
        <v>-6.151729729</v>
      </c>
      <c r="H238" s="48" t="str">
        <f t="shared" si="3"/>
        <v>Golden ✓</v>
      </c>
      <c r="I238" s="48">
        <f t="shared" si="4"/>
        <v>3</v>
      </c>
      <c r="J238" s="48">
        <f t="shared" si="5"/>
        <v>0</v>
      </c>
      <c r="K238" s="49" t="str">
        <f>IFERROR(__xludf.DUMMYFUNCTION("IFERROR(IF(A238="""",""ENTER STOCK"",LET(stock,A238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38" s="48">
        <f t="shared" si="6"/>
        <v>0</v>
      </c>
      <c r="M238" s="48">
        <f t="shared" si="7"/>
        <v>1</v>
      </c>
      <c r="N238" s="50">
        <f t="shared" si="8"/>
        <v>4</v>
      </c>
      <c r="O238" s="51" t="s">
        <v>404</v>
      </c>
      <c r="P238" s="46" t="str">
        <f t="shared" si="9"/>
        <v>REVERSE TRADE</v>
      </c>
      <c r="Q238" s="52"/>
      <c r="R238" s="53">
        <f t="shared" si="10"/>
        <v>15</v>
      </c>
      <c r="S238" s="53">
        <f>IFERROR(__xludf.DUMMYFUNCTION("IFERROR(ROUND(GOOGLEFINANCE(A238,""volume"")/GOOGLEFINANCE(A238,""volumeavg""),2),"""")"),1.06)</f>
        <v>1.06</v>
      </c>
      <c r="T238" s="53" t="str">
        <f t="shared" si="11"/>
        <v>LOW VOL</v>
      </c>
      <c r="U238" s="53">
        <f>IFERROR(__xludf.DUMMYFUNCTION("IFERROR(
  LET(
    sd, GOOGLEFINANCE(A238,""close"",TODAY()-100,TODAY()),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"""")"),1.39)</f>
        <v>1.39</v>
      </c>
      <c r="V238" s="53" t="str">
        <f t="shared" si="12"/>
        <v>FAST</v>
      </c>
      <c r="W238" s="53">
        <f>IFERROR(__xludf.DUMMYFUNCTION("IFERROR(ROUND((B238/GOOGLEFINANCE(A238,""high52"")-1)*100,1),"""")"),-21.7)</f>
        <v>-21.7</v>
      </c>
      <c r="X238" s="53">
        <f>IFERROR(__xludf.DUMMYFUNCTION("IFERROR(ROUND((B238-GOOGLEFINANCE(A238,""low52""))/(GOOGLEFINANCE(A238,""high52"")-GOOGLEFINANCE(A238,""low52""))*100,1),"""")"),54.5)</f>
        <v>54.5</v>
      </c>
      <c r="Y238" s="53" t="str">
        <f t="shared" si="13"/>
        <v>MID</v>
      </c>
      <c r="Z238" s="53">
        <f>IFERROR(__xludf.DUMMYFUNCTION("IFERROR(ROUND(((B238 / INDEX(GOOGLEFINANCE(TRIM(A238), ""price"", TODAY()-34, TODAY()), 2, 2)) - (GOOGLEFINANCE(""NIFTY_50"") / INDEX(GOOGLEFINANCE(""NIFTY_50"", ""price"", TODAY()-34, TODAY()), 2, 2))) * 100, 2), ""Check History"")"),-3.72)</f>
        <v>-3.72</v>
      </c>
      <c r="AA238" s="53" t="str">
        <f t="shared" si="14"/>
        <v>WEAK RS</v>
      </c>
      <c r="AB238" s="53">
        <f>IFERROR(__xludf.DUMMYFUNCTION("IFERROR(LET(
  p, QUERY(GOOGLEFINANCE(TRIM(A238),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Loading"")"),35.8)</f>
        <v>35.8</v>
      </c>
      <c r="AC238" s="53" t="str">
        <f t="shared" si="15"/>
        <v>WEAK MOM</v>
      </c>
      <c r="AD238" s="53" t="str">
        <f>IFERROR(__xludf.DUMMYFUNCTION("IFERROR(IF(GOOGLEFINANCE(A238,""eps"")&gt;0,""EPS+"",""EPS-""),"""")"),"EPS+")</f>
        <v>EPS+</v>
      </c>
      <c r="AE238" s="53">
        <f t="shared" si="16"/>
        <v>5</v>
      </c>
      <c r="AF238" s="53">
        <f>IFERROR(__xludf.DUMMYFUNCTION("IFERROR(N238+IF(S238&gt;=1.2,1,0)+IF(U238&gt;=1,1,0)+IF(Z238&gt;0,1,0)+IF(AND(W238&gt;=-20,W238&lt;=0),1,0)+IF(IFERROR(GOOGLEFINANCE(A238,""eps""),0)&gt;0,1,0),"""")"),6.0)</f>
        <v>6</v>
      </c>
      <c r="AG238" s="53" t="str">
        <f t="shared" si="17"/>
        <v>REVERSE TRADE</v>
      </c>
    </row>
    <row r="239" ht="15.0" customHeight="1">
      <c r="A239" s="43" t="s">
        <v>405</v>
      </c>
      <c r="B239" s="44">
        <f>IFERROR(__xludf.DUMMYFUNCTION("GOOGLEFINANCE(A239,""price"")"),4020.5)</f>
        <v>4020.5</v>
      </c>
      <c r="C239" s="45">
        <f>IFERROR(__xludf.DUMMYFUNCTION("AVERAGE(QUERY(SORT(GOOGLEFINANCE(A239,""price"",TODAY()-150,TODAY()),1,0),""select Col2 limit 50""))"),4411.361999999999)</f>
        <v>4411.362</v>
      </c>
      <c r="D239" s="45">
        <f>IFERROR(__xludf.DUMMYFUNCTION("AVERAGE(QUERY(SORT(GOOGLEFINANCE(A239,""price"",TODAY()-300,TODAY()),1,0),""select Col2 limit 100""))"),4307.652999999998)</f>
        <v>4307.653</v>
      </c>
      <c r="E239" s="45">
        <f>IFERROR(__xludf.DUMMYFUNCTION("AVERAGE(QUERY(SORT(GOOGLEFINANCE(A239,""price"",TODAY()-500,TODAY()),1,0),""select Col2 limit 200""))"),4129.004000000001)</f>
        <v>4129.004</v>
      </c>
      <c r="F239" s="46" t="str">
        <f t="shared" si="1"/>
        <v>In Bear Run</v>
      </c>
      <c r="G239" s="47">
        <f t="shared" si="2"/>
        <v>-2.627849234</v>
      </c>
      <c r="H239" s="48" t="str">
        <f t="shared" si="3"/>
        <v>Golden ✓</v>
      </c>
      <c r="I239" s="48">
        <f t="shared" si="4"/>
        <v>3</v>
      </c>
      <c r="J239" s="48">
        <f t="shared" si="5"/>
        <v>0</v>
      </c>
      <c r="K239" s="49" t="str">
        <f>IFERROR(__xludf.DUMMYFUNCTION("IFERROR(IF(A239="""",""ENTER STOCK"",LET(stock,A239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39" s="48">
        <f t="shared" si="6"/>
        <v>0</v>
      </c>
      <c r="M239" s="48">
        <f t="shared" si="7"/>
        <v>1</v>
      </c>
      <c r="N239" s="50">
        <f t="shared" si="8"/>
        <v>4</v>
      </c>
      <c r="O239" s="51" t="s">
        <v>404</v>
      </c>
      <c r="P239" s="46" t="str">
        <f t="shared" si="9"/>
        <v>REVERSE TRADE</v>
      </c>
      <c r="Q239" s="52"/>
      <c r="R239" s="53">
        <f t="shared" si="10"/>
        <v>15</v>
      </c>
      <c r="S239" s="53">
        <f>IFERROR(__xludf.DUMMYFUNCTION("IFERROR(ROUND(GOOGLEFINANCE(A239,""volume"")/GOOGLEFINANCE(A239,""volumeavg""),2),"""")"),1.71)</f>
        <v>1.71</v>
      </c>
      <c r="T239" s="53" t="str">
        <f t="shared" si="11"/>
        <v>HIGH VOL</v>
      </c>
      <c r="U239" s="53">
        <f>IFERROR(__xludf.DUMMYFUNCTION("IFERROR(
  LET(
    sd, GOOGLEFINANCE(A239,""close"",TODAY()-100,TODAY()),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"""")"),1.35)</f>
        <v>1.35</v>
      </c>
      <c r="V239" s="53" t="str">
        <f t="shared" si="12"/>
        <v>FAST</v>
      </c>
      <c r="W239" s="53">
        <f>IFERROR(__xludf.DUMMYFUNCTION("IFERROR(ROUND((B239/GOOGLEFINANCE(A239,""high52"")-1)*100,1),"""")"),-24.2)</f>
        <v>-24.2</v>
      </c>
      <c r="X239" s="53">
        <f>IFERROR(__xludf.DUMMYFUNCTION("IFERROR(ROUND((B239-GOOGLEFINANCE(A239,""low52""))/(GOOGLEFINANCE(A239,""high52"")-GOOGLEFINANCE(A239,""low52""))*100,1),"""")"),55.5)</f>
        <v>55.5</v>
      </c>
      <c r="Y239" s="53" t="str">
        <f t="shared" si="13"/>
        <v>MID</v>
      </c>
      <c r="Z239" s="53">
        <f>IFERROR(__xludf.DUMMYFUNCTION("IFERROR(ROUND(((B239 / INDEX(GOOGLEFINANCE(TRIM(A239), ""price"", TODAY()-34, TODAY()), 2, 2)) - (GOOGLEFINANCE(""NIFTY_50"") / INDEX(GOOGLEFINANCE(""NIFTY_50"", ""price"", TODAY()-34, TODAY()), 2, 2))) * 100, 2), ""Check History"")"),-3.74)</f>
        <v>-3.74</v>
      </c>
      <c r="AA239" s="53" t="str">
        <f t="shared" si="14"/>
        <v>WEAK RS</v>
      </c>
      <c r="AB239" s="53">
        <f>IFERROR(__xludf.DUMMYFUNCTION("IFERROR(LET(
  p, QUERY(GOOGLEFINANCE(TRIM(A239),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Loading"")"),33.2)</f>
        <v>33.2</v>
      </c>
      <c r="AC239" s="53" t="str">
        <f t="shared" si="15"/>
        <v>WEAK MOM</v>
      </c>
      <c r="AD239" s="53" t="str">
        <f>IFERROR(__xludf.DUMMYFUNCTION("IFERROR(IF(GOOGLEFINANCE(A239,""eps"")&gt;0,""EPS+"",""EPS-""),"""")"),"EPS+")</f>
        <v>EPS+</v>
      </c>
      <c r="AE239" s="53">
        <f t="shared" si="16"/>
        <v>7</v>
      </c>
      <c r="AF239" s="53">
        <f>IFERROR(__xludf.DUMMYFUNCTION("IFERROR(N239+IF(S239&gt;=1.2,1,0)+IF(U239&gt;=1,1,0)+IF(Z239&gt;0,1,0)+IF(AND(W239&gt;=-20,W239&lt;=0),1,0)+IF(IFERROR(GOOGLEFINANCE(A239,""eps""),0)&gt;0,1,0),"""")"),7.0)</f>
        <v>7</v>
      </c>
      <c r="AG239" s="53" t="str">
        <f t="shared" si="17"/>
        <v>REVERSE TRADE</v>
      </c>
    </row>
    <row r="240" ht="15.0" customHeight="1">
      <c r="A240" s="43" t="s">
        <v>406</v>
      </c>
      <c r="B240" s="44">
        <f>IFERROR(__xludf.DUMMYFUNCTION("GOOGLEFINANCE(A240,""price"")"),9770.0)</f>
        <v>9770</v>
      </c>
      <c r="C240" s="45">
        <f>IFERROR(__xludf.DUMMYFUNCTION("AVERAGE(QUERY(SORT(GOOGLEFINANCE(A240,""price"",TODAY()-150,TODAY()),1,0),""select Col2 limit 50""))"),9314.09)</f>
        <v>9314.09</v>
      </c>
      <c r="D240" s="45">
        <f>IFERROR(__xludf.DUMMYFUNCTION("AVERAGE(QUERY(SORT(GOOGLEFINANCE(A240,""price"",TODAY()-300,TODAY()),1,0),""select Col2 limit 100""))"),9007.895)</f>
        <v>9007.895</v>
      </c>
      <c r="E240" s="45">
        <f>IFERROR(__xludf.DUMMYFUNCTION("AVERAGE(QUERY(SORT(GOOGLEFINANCE(A240,""price"",TODAY()-500,TODAY()),1,0),""select Col2 limit 200""))"),8774.8825)</f>
        <v>8774.8825</v>
      </c>
      <c r="F240" s="46" t="str">
        <f t="shared" si="1"/>
        <v>In Bull Run</v>
      </c>
      <c r="G240" s="47">
        <f t="shared" si="2"/>
        <v>11.34052222</v>
      </c>
      <c r="H240" s="48" t="str">
        <f t="shared" si="3"/>
        <v>Golden ✓</v>
      </c>
      <c r="I240" s="48">
        <f t="shared" si="4"/>
        <v>3</v>
      </c>
      <c r="J240" s="48">
        <f t="shared" si="5"/>
        <v>4</v>
      </c>
      <c r="K240" s="49" t="str">
        <f>IFERROR(__xludf.DUMMYFUNCTION("IFERROR(IF(A240="""",""ENTER STOCK"",LET(stock,A240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40" s="48">
        <f t="shared" si="6"/>
        <v>0</v>
      </c>
      <c r="M240" s="48">
        <f t="shared" si="7"/>
        <v>1</v>
      </c>
      <c r="N240" s="50">
        <f t="shared" si="8"/>
        <v>8</v>
      </c>
      <c r="O240" s="51" t="s">
        <v>404</v>
      </c>
      <c r="P240" s="46" t="str">
        <f t="shared" si="9"/>
        <v>PRIME BUY</v>
      </c>
      <c r="Q240" s="52"/>
      <c r="R240" s="53">
        <f t="shared" si="10"/>
        <v>15</v>
      </c>
      <c r="S240" s="53">
        <f>IFERROR(__xludf.DUMMYFUNCTION("IFERROR(ROUND(GOOGLEFINANCE(A240,""volume"")/GOOGLEFINANCE(A240,""volumeavg""),2),"""")"),1.1)</f>
        <v>1.1</v>
      </c>
      <c r="T240" s="53" t="str">
        <f t="shared" si="11"/>
        <v>LOW VOL</v>
      </c>
      <c r="U240" s="53">
        <f>IFERROR(__xludf.DUMMYFUNCTION("IFERROR(
  LET(
    sd, GOOGLEFINANCE(A240,""close"",TODAY()-100,TODAY()),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"""")"),1.59)</f>
        <v>1.59</v>
      </c>
      <c r="V240" s="53" t="str">
        <f t="shared" si="12"/>
        <v>FAST</v>
      </c>
      <c r="W240" s="53">
        <f>IFERROR(__xludf.DUMMYFUNCTION("IFERROR(ROUND((B240/GOOGLEFINANCE(A240,""high52"")-1)*100,1),"""")"),-16.1)</f>
        <v>-16.1</v>
      </c>
      <c r="X240" s="53">
        <f>IFERROR(__xludf.DUMMYFUNCTION("IFERROR(ROUND((B240-GOOGLEFINANCE(A240,""low52""))/(GOOGLEFINANCE(A240,""high52"")-GOOGLEFINANCE(A240,""low52""))*100,1),"""")"),74.4)</f>
        <v>74.4</v>
      </c>
      <c r="Y240" s="53" t="str">
        <f t="shared" si="13"/>
        <v>UPPER</v>
      </c>
      <c r="Z240" s="53">
        <f>IFERROR(__xludf.DUMMYFUNCTION("IFERROR(ROUND(((B240 / INDEX(GOOGLEFINANCE(TRIM(A240), ""price"", TODAY()-34, TODAY()), 2, 2)) - (GOOGLEFINANCE(""NIFTY_50"") / INDEX(GOOGLEFINANCE(""NIFTY_50"", ""price"", TODAY()-34, TODAY()), 2, 2))) * 100, 2), ""Check History"")"),2.42)</f>
        <v>2.42</v>
      </c>
      <c r="AA240" s="53" t="str">
        <f t="shared" si="14"/>
        <v>MILD RS</v>
      </c>
      <c r="AB240" s="53">
        <f>IFERROR(__xludf.DUMMYFUNCTION("IFERROR(LET(
  p, QUERY(GOOGLEFINANCE(TRIM(A240),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Loading"")"),32.7)</f>
        <v>32.7</v>
      </c>
      <c r="AC240" s="53" t="str">
        <f t="shared" si="15"/>
        <v>WEAK MOM</v>
      </c>
      <c r="AD240" s="53" t="str">
        <f>IFERROR(__xludf.DUMMYFUNCTION("IFERROR(IF(GOOGLEFINANCE(A240,""eps"")&gt;0,""EPS+"",""EPS-""),"""")"),"EPS+")</f>
        <v>EPS+</v>
      </c>
      <c r="AE240" s="53">
        <f t="shared" si="16"/>
        <v>6</v>
      </c>
      <c r="AF240" s="53">
        <f>IFERROR(__xludf.DUMMYFUNCTION("IFERROR(N240+IF(S240&gt;=1.2,1,0)+IF(U240&gt;=1,1,0)+IF(Z240&gt;0,1,0)+IF(AND(W240&gt;=-20,W240&lt;=0),1,0)+IF(IFERROR(GOOGLEFINANCE(A240,""eps""),0)&gt;0,1,0),"""")"),12.0)</f>
        <v>12</v>
      </c>
      <c r="AG240" s="53" t="str">
        <f t="shared" si="17"/>
        <v>PRIME BUY [10-20d]</v>
      </c>
    </row>
    <row r="241" ht="15.0" customHeight="1">
      <c r="A241" s="43" t="s">
        <v>407</v>
      </c>
      <c r="B241" s="44">
        <f>IFERROR(__xludf.DUMMYFUNCTION("GOOGLEFINANCE(A241,""price"")"),4221.1)</f>
        <v>4221.1</v>
      </c>
      <c r="C241" s="45">
        <f>IFERROR(__xludf.DUMMYFUNCTION("AVERAGE(QUERY(SORT(GOOGLEFINANCE(A241,""price"",TODAY()-150,TODAY()),1,0),""select Col2 limit 50""))"),4184.584000000001)</f>
        <v>4184.584</v>
      </c>
      <c r="D241" s="45">
        <f>IFERROR(__xludf.DUMMYFUNCTION("AVERAGE(QUERY(SORT(GOOGLEFINANCE(A241,""price"",TODAY()-300,TODAY()),1,0),""select Col2 limit 100""))"),3989.3130000000006)</f>
        <v>3989.313</v>
      </c>
      <c r="E241" s="45">
        <f>IFERROR(__xludf.DUMMYFUNCTION("AVERAGE(QUERY(SORT(GOOGLEFINANCE(A241,""price"",TODAY()-500,TODAY()),1,0),""select Col2 limit 200""))"),3750.3515000000016)</f>
        <v>3750.3515</v>
      </c>
      <c r="F241" s="46" t="str">
        <f t="shared" si="1"/>
        <v>In Bull Run</v>
      </c>
      <c r="G241" s="47">
        <f t="shared" si="2"/>
        <v>12.55211678</v>
      </c>
      <c r="H241" s="48" t="str">
        <f t="shared" si="3"/>
        <v>Golden ✓</v>
      </c>
      <c r="I241" s="48">
        <f t="shared" si="4"/>
        <v>3</v>
      </c>
      <c r="J241" s="48">
        <f t="shared" si="5"/>
        <v>0</v>
      </c>
      <c r="K241" s="49" t="str">
        <f>IFERROR(__xludf.DUMMYFUNCTION("IFERROR(IF(A241="""",""ENTER STOCK"",LET(stock,A241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41" s="48">
        <f t="shared" si="6"/>
        <v>0</v>
      </c>
      <c r="M241" s="48">
        <f t="shared" si="7"/>
        <v>1</v>
      </c>
      <c r="N241" s="50">
        <f t="shared" si="8"/>
        <v>4</v>
      </c>
      <c r="O241" s="51" t="s">
        <v>255</v>
      </c>
      <c r="P241" s="46" t="str">
        <f t="shared" si="9"/>
        <v>SKIP</v>
      </c>
      <c r="Q241" s="52"/>
      <c r="R241" s="53">
        <f t="shared" si="10"/>
        <v>15</v>
      </c>
      <c r="S241" s="53">
        <f>IFERROR(__xludf.DUMMYFUNCTION("IFERROR(ROUND(GOOGLEFINANCE(A241,""volume"")/GOOGLEFINANCE(A241,""volumeavg""),2),"""")"),1.44)</f>
        <v>1.44</v>
      </c>
      <c r="T241" s="53" t="str">
        <f t="shared" si="11"/>
        <v>OK VOL</v>
      </c>
      <c r="U241" s="53">
        <f>IFERROR(__xludf.DUMMYFUNCTION("IFERROR(
  LET(
    sd, GOOGLEFINANCE(A241,""close"",TODAY()-100,TODAY()),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"""")"),0.48)</f>
        <v>0.48</v>
      </c>
      <c r="V241" s="53" t="str">
        <f t="shared" si="12"/>
        <v>SLOW</v>
      </c>
      <c r="W241" s="53">
        <f>IFERROR(__xludf.DUMMYFUNCTION("IFERROR(ROUND((B241/GOOGLEFINANCE(A241,""high52"")-1)*100,1),"""")"),-5.8)</f>
        <v>-5.8</v>
      </c>
      <c r="X241" s="53">
        <f>IFERROR(__xludf.DUMMYFUNCTION("IFERROR(ROUND((B241-GOOGLEFINANCE(A241,""low52""))/(GOOGLEFINANCE(A241,""high52"")-GOOGLEFINANCE(A241,""low52""))*100,1),"""")"),81.0)</f>
        <v>81</v>
      </c>
      <c r="Y241" s="53" t="str">
        <f t="shared" si="13"/>
        <v>UPPER</v>
      </c>
      <c r="Z241" s="53">
        <f>IFERROR(__xludf.DUMMYFUNCTION("IFERROR(ROUND(((B241 / INDEX(GOOGLEFINANCE(TRIM(A241), ""price"", TODAY()-34, TODAY()), 2, 2)) - (GOOGLEFINANCE(""NIFTY_50"") / INDEX(GOOGLEFINANCE(""NIFTY_50"", ""price"", TODAY()-34, TODAY()), 2, 2))) * 100, 2), ""Check History"")"),8.15)</f>
        <v>8.15</v>
      </c>
      <c r="AA241" s="53" t="str">
        <f t="shared" si="14"/>
        <v>STRONG RS</v>
      </c>
      <c r="AB241" s="53">
        <f>IFERROR(__xludf.DUMMYFUNCTION("IFERROR(LET(
  p, QUERY(GOOGLEFINANCE(TRIM(A241),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Loading"")"),38.4)</f>
        <v>38.4</v>
      </c>
      <c r="AC241" s="53" t="str">
        <f t="shared" si="15"/>
        <v>WEAK MOM</v>
      </c>
      <c r="AD241" s="53" t="str">
        <f>IFERROR(__xludf.DUMMYFUNCTION("IFERROR(IF(GOOGLEFINANCE(A241,""eps"")&gt;0,""EPS+"",""EPS-""),"""")"),"EPS+")</f>
        <v>EPS+</v>
      </c>
      <c r="AE241" s="53">
        <f t="shared" si="16"/>
        <v>6</v>
      </c>
      <c r="AF241" s="53">
        <f>IFERROR(__xludf.DUMMYFUNCTION("IFERROR(N241+IF(S241&gt;=1.2,1,0)+IF(U241&gt;=1,1,0)+IF(Z241&gt;0,1,0)+IF(AND(W241&gt;=-20,W241&lt;=0),1,0)+IF(IFERROR(GOOGLEFINANCE(A241,""eps""),0)&gt;0,1,0),"""")"),8.0)</f>
        <v>8</v>
      </c>
      <c r="AG241" s="53" t="str">
        <f t="shared" si="17"/>
        <v>BUY</v>
      </c>
    </row>
    <row r="242" ht="15.0" customHeight="1">
      <c r="A242" s="43" t="s">
        <v>408</v>
      </c>
      <c r="B242" s="44">
        <f>IFERROR(__xludf.DUMMYFUNCTION("GOOGLEFINANCE(A242,""price"")"),4455.9)</f>
        <v>4455.9</v>
      </c>
      <c r="C242" s="45">
        <f>IFERROR(__xludf.DUMMYFUNCTION("AVERAGE(QUERY(SORT(GOOGLEFINANCE(A242,""price"",TODAY()-150,TODAY()),1,0),""select Col2 limit 50""))"),4481.565999999997)</f>
        <v>4481.566</v>
      </c>
      <c r="D242" s="45">
        <f>IFERROR(__xludf.DUMMYFUNCTION("AVERAGE(QUERY(SORT(GOOGLEFINANCE(A242,""price"",TODAY()-300,TODAY()),1,0),""select Col2 limit 100""))"),4429.414000000002)</f>
        <v>4429.414</v>
      </c>
      <c r="E242" s="45">
        <f>IFERROR(__xludf.DUMMYFUNCTION("AVERAGE(QUERY(SORT(GOOGLEFINANCE(A242,""price"",TODAY()-500,TODAY()),1,0),""select Col2 limit 200""))"),4090.5235000000025)</f>
        <v>4090.5235</v>
      </c>
      <c r="F242" s="46" t="str">
        <f t="shared" si="1"/>
        <v>Unconfirmed</v>
      </c>
      <c r="G242" s="47">
        <f t="shared" si="2"/>
        <v>8.932267471</v>
      </c>
      <c r="H242" s="48" t="str">
        <f t="shared" si="3"/>
        <v>Golden ✓</v>
      </c>
      <c r="I242" s="48">
        <f t="shared" si="4"/>
        <v>3</v>
      </c>
      <c r="J242" s="48">
        <f t="shared" si="5"/>
        <v>4</v>
      </c>
      <c r="K242" s="49" t="str">
        <f>IFERROR(__xludf.DUMMYFUNCTION("IFERROR(IF(A242="""",""ENTER STOCK"",LET(stock,A242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42" s="48">
        <f t="shared" si="6"/>
        <v>0</v>
      </c>
      <c r="M242" s="48">
        <f t="shared" si="7"/>
        <v>1</v>
      </c>
      <c r="N242" s="50">
        <f t="shared" si="8"/>
        <v>8</v>
      </c>
      <c r="O242" s="51" t="s">
        <v>175</v>
      </c>
      <c r="P242" s="46" t="str">
        <f t="shared" si="9"/>
        <v>WAIT</v>
      </c>
      <c r="Q242" s="52"/>
      <c r="R242" s="53">
        <f t="shared" si="10"/>
        <v>15</v>
      </c>
      <c r="S242" s="53">
        <f>IFERROR(__xludf.DUMMYFUNCTION("IFERROR(ROUND(GOOGLEFINANCE(A242,""volume"")/GOOGLEFINANCE(A242,""volumeavg""),2),"""")"),1.51)</f>
        <v>1.51</v>
      </c>
      <c r="T242" s="53" t="str">
        <f t="shared" si="11"/>
        <v>HIGH VOL</v>
      </c>
      <c r="U242" s="53">
        <f>IFERROR(__xludf.DUMMYFUNCTION("IFERROR(
  LET(
    sd, GOOGLEFINANCE(A242,""close"",TODAY()-100,TODAY()),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"""")"),0.99)</f>
        <v>0.99</v>
      </c>
      <c r="V242" s="53" t="str">
        <f t="shared" si="12"/>
        <v>MEDIUM</v>
      </c>
      <c r="W242" s="53">
        <f>IFERROR(__xludf.DUMMYFUNCTION("IFERROR(ROUND((B242/GOOGLEFINANCE(A242,""high52"")-1)*100,1),"""")"),-10.6)</f>
        <v>-10.6</v>
      </c>
      <c r="X242" s="53">
        <f>IFERROR(__xludf.DUMMYFUNCTION("IFERROR(ROUND((B242-GOOGLEFINANCE(A242,""low52""))/(GOOGLEFINANCE(A242,""high52"")-GOOGLEFINANCE(A242,""low52""))*100,1),"""")"),77.9)</f>
        <v>77.9</v>
      </c>
      <c r="Y242" s="53" t="str">
        <f t="shared" si="13"/>
        <v>UPPER</v>
      </c>
      <c r="Z242" s="53">
        <f>IFERROR(__xludf.DUMMYFUNCTION("IFERROR(ROUND(((B242 / INDEX(GOOGLEFINANCE(TRIM(A242), ""price"", TODAY()-34, TODAY()), 2, 2)) - (GOOGLEFINANCE(""NIFTY_50"") / INDEX(GOOGLEFINANCE(""NIFTY_50"", ""price"", TODAY()-34, TODAY()), 2, 2))) * 100, 2), ""Check History"")"),2.91)</f>
        <v>2.91</v>
      </c>
      <c r="AA242" s="53" t="str">
        <f t="shared" si="14"/>
        <v>MILD RS</v>
      </c>
      <c r="AB242" s="53">
        <f>IFERROR(__xludf.DUMMYFUNCTION("IFERROR(LET(
  p, QUERY(GOOGLEFINANCE(TRIM(A242),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Loading"")"),43.2)</f>
        <v>43.2</v>
      </c>
      <c r="AC242" s="53" t="str">
        <f t="shared" si="15"/>
        <v>WEAK MOM</v>
      </c>
      <c r="AD242" s="53" t="str">
        <f>IFERROR(__xludf.DUMMYFUNCTION("IFERROR(IF(GOOGLEFINANCE(A242,""eps"")&gt;0,""EPS+"",""EPS-""),"""")"),"EPS+")</f>
        <v>EPS+</v>
      </c>
      <c r="AE242" s="53">
        <f t="shared" si="16"/>
        <v>8</v>
      </c>
      <c r="AF242" s="53">
        <f>IFERROR(__xludf.DUMMYFUNCTION("IFERROR(N242+IF(S242&gt;=1.2,1,0)+IF(U242&gt;=1,1,0)+IF(Z242&gt;0,1,0)+IF(AND(W242&gt;=-20,W242&lt;=0),1,0)+IF(IFERROR(GOOGLEFINANCE(A242,""eps""),0)&gt;0,1,0),"""")"),12.0)</f>
        <v>12</v>
      </c>
      <c r="AG242" s="53" t="str">
        <f t="shared" si="17"/>
        <v>WAIT</v>
      </c>
    </row>
    <row r="243" ht="15.0" customHeight="1">
      <c r="A243" s="43" t="s">
        <v>409</v>
      </c>
      <c r="B243" s="44">
        <f>IFERROR(__xludf.DUMMYFUNCTION("GOOGLEFINANCE(A243,""price"")"),848.0)</f>
        <v>848</v>
      </c>
      <c r="C243" s="45">
        <f>IFERROR(__xludf.DUMMYFUNCTION("AVERAGE(QUERY(SORT(GOOGLEFINANCE(A243,""price"",TODAY()-150,TODAY()),1,0),""select Col2 limit 50""))"),900.4039999999998)</f>
        <v>900.404</v>
      </c>
      <c r="D243" s="45">
        <f>IFERROR(__xludf.DUMMYFUNCTION("AVERAGE(QUERY(SORT(GOOGLEFINANCE(A243,""price"",TODAY()-300,TODAY()),1,0),""select Col2 limit 100""))"),867.4114999999999)</f>
        <v>867.4115</v>
      </c>
      <c r="E243" s="45">
        <f>IFERROR(__xludf.DUMMYFUNCTION("AVERAGE(QUERY(SORT(GOOGLEFINANCE(A243,""price"",TODAY()-500,TODAY()),1,0),""select Col2 limit 200""))"),776.2560000000001)</f>
        <v>776.256</v>
      </c>
      <c r="F243" s="46" t="str">
        <f t="shared" si="1"/>
        <v>Unconfirmed</v>
      </c>
      <c r="G243" s="47">
        <f t="shared" si="2"/>
        <v>9.242311815</v>
      </c>
      <c r="H243" s="48" t="str">
        <f t="shared" si="3"/>
        <v>Golden ✓</v>
      </c>
      <c r="I243" s="48">
        <f t="shared" si="4"/>
        <v>3</v>
      </c>
      <c r="J243" s="48">
        <f t="shared" si="5"/>
        <v>4</v>
      </c>
      <c r="K243" s="49" t="str">
        <f>IFERROR(__xludf.DUMMYFUNCTION("IFERROR(IF(A243="""",""ENTER STOCK"",LET(stock,A243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43" s="48">
        <f t="shared" si="6"/>
        <v>0</v>
      </c>
      <c r="M243" s="48">
        <f t="shared" si="7"/>
        <v>1</v>
      </c>
      <c r="N243" s="50">
        <f t="shared" si="8"/>
        <v>8</v>
      </c>
      <c r="O243" s="51" t="s">
        <v>236</v>
      </c>
      <c r="P243" s="46" t="str">
        <f t="shared" si="9"/>
        <v>WAIT</v>
      </c>
      <c r="Q243" s="52"/>
      <c r="R243" s="53">
        <f t="shared" si="10"/>
        <v>15</v>
      </c>
      <c r="S243" s="53">
        <f>IFERROR(__xludf.DUMMYFUNCTION("IFERROR(ROUND(GOOGLEFINANCE(A243,""volume"")/GOOGLEFINANCE(A243,""volumeavg""),2),"""")"),1.4)</f>
        <v>1.4</v>
      </c>
      <c r="T243" s="53" t="str">
        <f t="shared" si="11"/>
        <v>OK VOL</v>
      </c>
      <c r="U243" s="53">
        <f>IFERROR(__xludf.DUMMYFUNCTION("IFERROR(
  LET(
    sd, GOOGLEFINANCE(A243,""close"",TODAY()-100,TODAY()),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"""")"),1.84)</f>
        <v>1.84</v>
      </c>
      <c r="V243" s="53" t="str">
        <f t="shared" si="12"/>
        <v>FAST</v>
      </c>
      <c r="W243" s="53">
        <f>IFERROR(__xludf.DUMMYFUNCTION("IFERROR(ROUND((B243/GOOGLEFINANCE(A243,""high52"")-1)*100,1),"""")"),-15.2)</f>
        <v>-15.2</v>
      </c>
      <c r="X243" s="53">
        <f>IFERROR(__xludf.DUMMYFUNCTION("IFERROR(ROUND((B243-GOOGLEFINANCE(A243,""low52""))/(GOOGLEFINANCE(A243,""high52"")-GOOGLEFINANCE(A243,""low52""))*100,1),"""")"),68.5)</f>
        <v>68.5</v>
      </c>
      <c r="Y243" s="53" t="str">
        <f t="shared" si="13"/>
        <v>UPPER</v>
      </c>
      <c r="Z243" s="53">
        <f>IFERROR(__xludf.DUMMYFUNCTION("IFERROR(ROUND(((B243 / INDEX(GOOGLEFINANCE(TRIM(A243), ""price"", TODAY()-34, TODAY()), 2, 2)) - (GOOGLEFINANCE(""NIFTY_50"") / INDEX(GOOGLEFINANCE(""NIFTY_50"", ""price"", TODAY()-34, TODAY()), 2, 2))) * 100, 2), ""Check History"")"),-1.82)</f>
        <v>-1.82</v>
      </c>
      <c r="AA243" s="53" t="str">
        <f t="shared" si="14"/>
        <v>WEAK RS</v>
      </c>
      <c r="AB243" s="53">
        <f>IFERROR(__xludf.DUMMYFUNCTION("IFERROR(LET(
  p, QUERY(GOOGLEFINANCE(TRIM(A243),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Loading"")"),49.3)</f>
        <v>49.3</v>
      </c>
      <c r="AC243" s="53" t="str">
        <f t="shared" si="15"/>
        <v>IDEAL ENTRY</v>
      </c>
      <c r="AD243" s="53" t="str">
        <f>IFERROR(__xludf.DUMMYFUNCTION("IFERROR(IF(GOOGLEFINANCE(A243,""eps"")&gt;0,""EPS+"",""EPS-""),"""")"),"EPS+")</f>
        <v>EPS+</v>
      </c>
      <c r="AE243" s="53">
        <f t="shared" si="16"/>
        <v>6</v>
      </c>
      <c r="AF243" s="53">
        <f>IFERROR(__xludf.DUMMYFUNCTION("IFERROR(N243+IF(S243&gt;=1.2,1,0)+IF(U243&gt;=1,1,0)+IF(Z243&gt;0,1,0)+IF(AND(W243&gt;=-20,W243&lt;=0),1,0)+IF(IFERROR(GOOGLEFINANCE(A243,""eps""),0)&gt;0,1,0),"""")"),12.0)</f>
        <v>12</v>
      </c>
      <c r="AG243" s="53" t="str">
        <f t="shared" si="17"/>
        <v>WAIT</v>
      </c>
    </row>
    <row r="244" ht="15.0" customHeight="1">
      <c r="A244" s="43" t="s">
        <v>410</v>
      </c>
      <c r="B244" s="44">
        <f>IFERROR(__xludf.DUMMYFUNCTION("GOOGLEFINANCE(A244,""price"")"),260.3)</f>
        <v>260.3</v>
      </c>
      <c r="C244" s="45">
        <f>IFERROR(__xludf.DUMMYFUNCTION("AVERAGE(QUERY(SORT(GOOGLEFINANCE(A244,""price"",TODAY()-150,TODAY()),1,0),""select Col2 limit 50""))"),280.22600000000006)</f>
        <v>280.226</v>
      </c>
      <c r="D244" s="45">
        <f>IFERROR(__xludf.DUMMYFUNCTION("AVERAGE(QUERY(SORT(GOOGLEFINANCE(A244,""price"",TODAY()-300,TODAY()),1,0),""select Col2 limit 100""))"),267.35369999999995)</f>
        <v>267.3537</v>
      </c>
      <c r="E244" s="45">
        <f>IFERROR(__xludf.DUMMYFUNCTION("AVERAGE(QUERY(SORT(GOOGLEFINANCE(A244,""price"",TODAY()-500,TODAY()),1,0),""select Col2 limit 200""))"),236.37335000000007)</f>
        <v>236.37335</v>
      </c>
      <c r="F244" s="46" t="str">
        <f t="shared" si="1"/>
        <v>Unconfirmed</v>
      </c>
      <c r="G244" s="47">
        <f t="shared" si="2"/>
        <v>10.12239747</v>
      </c>
      <c r="H244" s="48" t="str">
        <f t="shared" si="3"/>
        <v>Golden ✓</v>
      </c>
      <c r="I244" s="48">
        <f t="shared" si="4"/>
        <v>3</v>
      </c>
      <c r="J244" s="48">
        <f t="shared" si="5"/>
        <v>4</v>
      </c>
      <c r="K244" s="49" t="str">
        <f>IFERROR(__xludf.DUMMYFUNCTION("IFERROR(IF(A244="""",""ENTER STOCK"",LET(stock,A244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44" s="48">
        <f t="shared" si="6"/>
        <v>0</v>
      </c>
      <c r="M244" s="48">
        <f t="shared" si="7"/>
        <v>1</v>
      </c>
      <c r="N244" s="50">
        <f t="shared" si="8"/>
        <v>8</v>
      </c>
      <c r="O244" s="51" t="s">
        <v>236</v>
      </c>
      <c r="P244" s="46" t="str">
        <f t="shared" si="9"/>
        <v>WAIT</v>
      </c>
      <c r="Q244" s="52"/>
      <c r="R244" s="53">
        <f t="shared" si="10"/>
        <v>15</v>
      </c>
      <c r="S244" s="53">
        <f>IFERROR(__xludf.DUMMYFUNCTION("IFERROR(ROUND(GOOGLEFINANCE(A244,""volume"")/GOOGLEFINANCE(A244,""volumeavg""),2),"""")"),1.35)</f>
        <v>1.35</v>
      </c>
      <c r="T244" s="53" t="str">
        <f t="shared" si="11"/>
        <v>OK VOL</v>
      </c>
      <c r="U244" s="53">
        <f>IFERROR(__xludf.DUMMYFUNCTION("IFERROR(
  LET(
    sd, GOOGLEFINANCE(A244,""close"",TODAY()-100,TODAY()),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"""")"),1.16)</f>
        <v>1.16</v>
      </c>
      <c r="V244" s="53" t="str">
        <f t="shared" si="12"/>
        <v>MEDIUM</v>
      </c>
      <c r="W244" s="53">
        <f>IFERROR(__xludf.DUMMYFUNCTION("IFERROR(ROUND((B244/GOOGLEFINANCE(A244,""high52"")-1)*100,1),"""")"),-13.8)</f>
        <v>-13.8</v>
      </c>
      <c r="X244" s="53">
        <f>IFERROR(__xludf.DUMMYFUNCTION("IFERROR(ROUND((B244-GOOGLEFINANCE(A244,""low52""))/(GOOGLEFINANCE(A244,""high52"")-GOOGLEFINANCE(A244,""low52""))*100,1),"""")"),64.9)</f>
        <v>64.9</v>
      </c>
      <c r="Y244" s="53" t="str">
        <f t="shared" si="13"/>
        <v>UPPER</v>
      </c>
      <c r="Z244" s="53">
        <f>IFERROR(__xludf.DUMMYFUNCTION("IFERROR(ROUND(((B244 / INDEX(GOOGLEFINANCE(TRIM(A244), ""price"", TODAY()-34, TODAY()), 2, 2)) - (GOOGLEFINANCE(""NIFTY_50"") / INDEX(GOOGLEFINANCE(""NIFTY_50"", ""price"", TODAY()-34, TODAY()), 2, 2))) * 100, 2), ""Check History"")"),0.21)</f>
        <v>0.21</v>
      </c>
      <c r="AA244" s="53" t="str">
        <f t="shared" si="14"/>
        <v>MILD RS</v>
      </c>
      <c r="AB244" s="53">
        <f>IFERROR(__xludf.DUMMYFUNCTION("IFERROR(LET(
  p, QUERY(GOOGLEFINANCE(TRIM(A244),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Loading"")"),41.1)</f>
        <v>41.1</v>
      </c>
      <c r="AC244" s="53" t="str">
        <f t="shared" si="15"/>
        <v>WEAK MOM</v>
      </c>
      <c r="AD244" s="53" t="str">
        <f>IFERROR(__xludf.DUMMYFUNCTION("IFERROR(IF(GOOGLEFINANCE(A244,""eps"")&gt;0,""EPS+"",""EPS-""),"""")"),"EPS+")</f>
        <v>EPS+</v>
      </c>
      <c r="AE244" s="53">
        <f t="shared" si="16"/>
        <v>6</v>
      </c>
      <c r="AF244" s="53">
        <f>IFERROR(__xludf.DUMMYFUNCTION("IFERROR(N244+IF(S244&gt;=1.2,1,0)+IF(U244&gt;=1,1,0)+IF(Z244&gt;0,1,0)+IF(AND(W244&gt;=-20,W244&lt;=0),1,0)+IF(IFERROR(GOOGLEFINANCE(A244,""eps""),0)&gt;0,1,0),"""")"),13.0)</f>
        <v>13</v>
      </c>
      <c r="AG244" s="53" t="str">
        <f t="shared" si="17"/>
        <v>WAIT</v>
      </c>
    </row>
    <row r="245" ht="15.0" customHeight="1">
      <c r="A245" s="43" t="s">
        <v>411</v>
      </c>
      <c r="B245" s="44">
        <f>IFERROR(__xludf.DUMMYFUNCTION("GOOGLEFINANCE(A245,""price"")"),980.8)</f>
        <v>980.8</v>
      </c>
      <c r="C245" s="45">
        <f>IFERROR(__xludf.DUMMYFUNCTION("AVERAGE(QUERY(SORT(GOOGLEFINANCE(A245,""price"",TODAY()-150,TODAY()),1,0),""select Col2 limit 50""))"),1106.813)</f>
        <v>1106.813</v>
      </c>
      <c r="D245" s="45">
        <f>IFERROR(__xludf.DUMMYFUNCTION("AVERAGE(QUERY(SORT(GOOGLEFINANCE(A245,""price"",TODAY()-300,TODAY()),1,0),""select Col2 limit 100""))"),1040.5525000000005)</f>
        <v>1040.5525</v>
      </c>
      <c r="E245" s="45">
        <f>IFERROR(__xludf.DUMMYFUNCTION("AVERAGE(QUERY(SORT(GOOGLEFINANCE(A245,""price"",TODAY()-500,TODAY()),1,0),""select Col2 limit 200""))"),936.9287500000003)</f>
        <v>936.92875</v>
      </c>
      <c r="F245" s="46" t="str">
        <f t="shared" si="1"/>
        <v>Unconfirmed</v>
      </c>
      <c r="G245" s="47">
        <f t="shared" si="2"/>
        <v>4.682453175</v>
      </c>
      <c r="H245" s="48" t="str">
        <f t="shared" si="3"/>
        <v>Golden ✓</v>
      </c>
      <c r="I245" s="48">
        <f t="shared" si="4"/>
        <v>3</v>
      </c>
      <c r="J245" s="48">
        <f t="shared" si="5"/>
        <v>4</v>
      </c>
      <c r="K245" s="49" t="str">
        <f>IFERROR(__xludf.DUMMYFUNCTION("IFERROR(IF(A245="""",""ENTER STOCK"",LET(stock,A245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45" s="48">
        <f t="shared" si="6"/>
        <v>0</v>
      </c>
      <c r="M245" s="48">
        <f t="shared" si="7"/>
        <v>1</v>
      </c>
      <c r="N245" s="50">
        <f t="shared" si="8"/>
        <v>8</v>
      </c>
      <c r="O245" s="51" t="s">
        <v>236</v>
      </c>
      <c r="P245" s="46" t="str">
        <f t="shared" si="9"/>
        <v>WAIT</v>
      </c>
      <c r="Q245" s="52"/>
      <c r="R245" s="53">
        <f t="shared" si="10"/>
        <v>15</v>
      </c>
      <c r="S245" s="53">
        <f>IFERROR(__xludf.DUMMYFUNCTION("IFERROR(ROUND(GOOGLEFINANCE(A245,""volume"")/GOOGLEFINANCE(A245,""volumeavg""),2),"""")"),1.44)</f>
        <v>1.44</v>
      </c>
      <c r="T245" s="53" t="str">
        <f t="shared" si="11"/>
        <v>OK VOL</v>
      </c>
      <c r="U245" s="53">
        <f>IFERROR(__xludf.DUMMYFUNCTION("IFERROR(
  LET(
    sd, GOOGLEFINANCE(A245,""close"",TODAY()-100,TODAY()),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"""")"),1.21)</f>
        <v>1.21</v>
      </c>
      <c r="V245" s="53" t="str">
        <f t="shared" si="12"/>
        <v>FAST</v>
      </c>
      <c r="W245" s="53">
        <f>IFERROR(__xludf.DUMMYFUNCTION("IFERROR(ROUND((B245/GOOGLEFINANCE(A245,""high52"")-1)*100,1),"""")"),-20.6)</f>
        <v>-20.6</v>
      </c>
      <c r="X245" s="53">
        <f>IFERROR(__xludf.DUMMYFUNCTION("IFERROR(ROUND((B245-GOOGLEFINANCE(A245,""low52""))/(GOOGLEFINANCE(A245,""high52"")-GOOGLEFINANCE(A245,""low52""))*100,1),"""")"),49.7)</f>
        <v>49.7</v>
      </c>
      <c r="Y245" s="53" t="str">
        <f t="shared" si="13"/>
        <v>MID</v>
      </c>
      <c r="Z245" s="53">
        <f>IFERROR(__xludf.DUMMYFUNCTION("IFERROR(ROUND(((B245 / INDEX(GOOGLEFINANCE(TRIM(A245), ""price"", TODAY()-34, TODAY()), 2, 2)) - (GOOGLEFINANCE(""NIFTY_50"") / INDEX(GOOGLEFINANCE(""NIFTY_50"", ""price"", TODAY()-34, TODAY()), 2, 2))) * 100, 2), ""Check History"")"),-7.66)</f>
        <v>-7.66</v>
      </c>
      <c r="AA245" s="53" t="str">
        <f t="shared" si="14"/>
        <v>WEAK RS</v>
      </c>
      <c r="AB245" s="53">
        <f>IFERROR(__xludf.DUMMYFUNCTION("IFERROR(LET(
  p, QUERY(GOOGLEFINANCE(TRIM(A245),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Loading"")"),41.5)</f>
        <v>41.5</v>
      </c>
      <c r="AC245" s="53" t="str">
        <f t="shared" si="15"/>
        <v>WEAK MOM</v>
      </c>
      <c r="AD245" s="53" t="str">
        <f>IFERROR(__xludf.DUMMYFUNCTION("IFERROR(IF(GOOGLEFINANCE(A245,""eps"")&gt;0,""EPS+"",""EPS-""),"""")"),"EPS+")</f>
        <v>EPS+</v>
      </c>
      <c r="AE245" s="53">
        <f t="shared" si="16"/>
        <v>5</v>
      </c>
      <c r="AF245" s="53">
        <f>IFERROR(__xludf.DUMMYFUNCTION("IFERROR(N245+IF(S245&gt;=1.2,1,0)+IF(U245&gt;=1,1,0)+IF(Z245&gt;0,1,0)+IF(AND(W245&gt;=-20,W245&lt;=0),1,0)+IF(IFERROR(GOOGLEFINANCE(A245,""eps""),0)&gt;0,1,0),"""")"),11.0)</f>
        <v>11</v>
      </c>
      <c r="AG245" s="53" t="str">
        <f t="shared" si="17"/>
        <v>WAIT</v>
      </c>
    </row>
    <row r="246" ht="15.0" customHeight="1">
      <c r="A246" s="43" t="s">
        <v>412</v>
      </c>
      <c r="B246" s="44">
        <f>IFERROR(__xludf.DUMMYFUNCTION("GOOGLEFINANCE(A246,""price"")"),163.99)</f>
        <v>163.99</v>
      </c>
      <c r="C246" s="45">
        <f>IFERROR(__xludf.DUMMYFUNCTION("AVERAGE(QUERY(SORT(GOOGLEFINANCE(A246,""price"",TODAY()-150,TODAY()),1,0),""select Col2 limit 50""))"),181.7302)</f>
        <v>181.7302</v>
      </c>
      <c r="D246" s="45">
        <f>IFERROR(__xludf.DUMMYFUNCTION("AVERAGE(QUERY(SORT(GOOGLEFINANCE(A246,""price"",TODAY()-300,TODAY()),1,0),""select Col2 limit 100""))"),167.97290000000004)</f>
        <v>167.9729</v>
      </c>
      <c r="E246" s="45">
        <f>IFERROR(__xludf.DUMMYFUNCTION("AVERAGE(QUERY(SORT(GOOGLEFINANCE(A246,""price"",TODAY()-500,TODAY()),1,0),""select Col2 limit 200""))"),153.6833)</f>
        <v>153.6833</v>
      </c>
      <c r="F246" s="46" t="str">
        <f t="shared" si="1"/>
        <v>Unconfirmed</v>
      </c>
      <c r="G246" s="47">
        <f t="shared" si="2"/>
        <v>6.706454117</v>
      </c>
      <c r="H246" s="48" t="str">
        <f t="shared" si="3"/>
        <v>Golden ✓</v>
      </c>
      <c r="I246" s="48">
        <f t="shared" si="4"/>
        <v>3</v>
      </c>
      <c r="J246" s="48">
        <f t="shared" si="5"/>
        <v>4</v>
      </c>
      <c r="K246" s="49" t="str">
        <f>IFERROR(__xludf.DUMMYFUNCTION("IFERROR(IF(A246="""",""ENTER STOCK"",LET(stock,A246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46" s="48">
        <f t="shared" si="6"/>
        <v>0</v>
      </c>
      <c r="M246" s="48">
        <f t="shared" si="7"/>
        <v>1</v>
      </c>
      <c r="N246" s="50">
        <f t="shared" si="8"/>
        <v>8</v>
      </c>
      <c r="O246" s="51" t="s">
        <v>236</v>
      </c>
      <c r="P246" s="46" t="str">
        <f t="shared" si="9"/>
        <v>WAIT</v>
      </c>
      <c r="Q246" s="52"/>
      <c r="R246" s="53">
        <f t="shared" si="10"/>
        <v>15</v>
      </c>
      <c r="S246" s="53">
        <f>IFERROR(__xludf.DUMMYFUNCTION("IFERROR(ROUND(GOOGLEFINANCE(A246,""volume"")/GOOGLEFINANCE(A246,""volumeavg""),2),"""")"),1.45)</f>
        <v>1.45</v>
      </c>
      <c r="T246" s="53" t="str">
        <f t="shared" si="11"/>
        <v>OK VOL</v>
      </c>
      <c r="U246" s="53">
        <f>IFERROR(__xludf.DUMMYFUNCTION("IFERROR(
  LET(
    sd, GOOGLEFINANCE(A246,""close"",TODAY()-100,TODAY()),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"""")"),1.64)</f>
        <v>1.64</v>
      </c>
      <c r="V246" s="53" t="str">
        <f t="shared" si="12"/>
        <v>FAST</v>
      </c>
      <c r="W246" s="53">
        <f>IFERROR(__xludf.DUMMYFUNCTION("IFERROR(ROUND((B246/GOOGLEFINANCE(A246,""high52"")-1)*100,1),"""")"),-20.2)</f>
        <v>-20.2</v>
      </c>
      <c r="X246" s="53">
        <f>IFERROR(__xludf.DUMMYFUNCTION("IFERROR(ROUND((B246-GOOGLEFINANCE(A246,""low52""))/(GOOGLEFINANCE(A246,""high52"")-GOOGLEFINANCE(A246,""low52""))*100,1),"""")"),55.4)</f>
        <v>55.4</v>
      </c>
      <c r="Y246" s="53" t="str">
        <f t="shared" si="13"/>
        <v>MID</v>
      </c>
      <c r="Z246" s="53">
        <f>IFERROR(__xludf.DUMMYFUNCTION("IFERROR(ROUND(((B246 / INDEX(GOOGLEFINANCE(TRIM(A246), ""price"", TODAY()-34, TODAY()), 2, 2)) - (GOOGLEFINANCE(""NIFTY_50"") / INDEX(GOOGLEFINANCE(""NIFTY_50"", ""price"", TODAY()-34, TODAY()), 2, 2))) * 100, 2), ""Check History"")"),-6.09)</f>
        <v>-6.09</v>
      </c>
      <c r="AA246" s="53" t="str">
        <f t="shared" si="14"/>
        <v>WEAK RS</v>
      </c>
      <c r="AB246" s="53">
        <f>IFERROR(__xludf.DUMMYFUNCTION("IFERROR(LET(
  p, QUERY(GOOGLEFINANCE(TRIM(A246),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Loading"")"),33.3)</f>
        <v>33.3</v>
      </c>
      <c r="AC246" s="53" t="str">
        <f t="shared" si="15"/>
        <v>WEAK MOM</v>
      </c>
      <c r="AD246" s="53" t="str">
        <f>IFERROR(__xludf.DUMMYFUNCTION("IFERROR(IF(GOOGLEFINANCE(A246,""eps"")&gt;0,""EPS+"",""EPS-""),"""")"),"EPS+")</f>
        <v>EPS+</v>
      </c>
      <c r="AE246" s="53">
        <f t="shared" si="16"/>
        <v>6</v>
      </c>
      <c r="AF246" s="53">
        <f>IFERROR(__xludf.DUMMYFUNCTION("IFERROR(N246+IF(S246&gt;=1.2,1,0)+IF(U246&gt;=1,1,0)+IF(Z246&gt;0,1,0)+IF(AND(W246&gt;=-20,W246&lt;=0),1,0)+IF(IFERROR(GOOGLEFINANCE(A246,""eps""),0)&gt;0,1,0),"""")"),11.0)</f>
        <v>11</v>
      </c>
      <c r="AG246" s="53" t="str">
        <f t="shared" si="17"/>
        <v>WAIT</v>
      </c>
    </row>
    <row r="247" ht="15.0" customHeight="1">
      <c r="A247" s="43" t="s">
        <v>413</v>
      </c>
      <c r="B247" s="44">
        <f>IFERROR(__xludf.DUMMYFUNCTION("GOOGLEFINANCE(A247,""price"")"),888.0)</f>
        <v>888</v>
      </c>
      <c r="C247" s="45">
        <f>IFERROR(__xludf.DUMMYFUNCTION("AVERAGE(QUERY(SORT(GOOGLEFINANCE(A247,""price"",TODAY()-150,TODAY()),1,0),""select Col2 limit 50""))"),932.2739999999999)</f>
        <v>932.274</v>
      </c>
      <c r="D247" s="45">
        <f>IFERROR(__xludf.DUMMYFUNCTION("AVERAGE(QUERY(SORT(GOOGLEFINANCE(A247,""price"",TODAY()-300,TODAY()),1,0),""select Col2 limit 100""))"),886.5059999999995)</f>
        <v>886.506</v>
      </c>
      <c r="E247" s="45">
        <f>IFERROR(__xludf.DUMMYFUNCTION("AVERAGE(QUERY(SORT(GOOGLEFINANCE(A247,""price"",TODAY()-500,TODAY()),1,0),""select Col2 limit 200""))"),802.9242500000001)</f>
        <v>802.92425</v>
      </c>
      <c r="F247" s="46" t="str">
        <f t="shared" si="1"/>
        <v>Unconfirmed</v>
      </c>
      <c r="G247" s="47">
        <f t="shared" si="2"/>
        <v>10.59573802</v>
      </c>
      <c r="H247" s="48" t="str">
        <f t="shared" si="3"/>
        <v>Golden ✓</v>
      </c>
      <c r="I247" s="48">
        <f t="shared" si="4"/>
        <v>3</v>
      </c>
      <c r="J247" s="48">
        <f t="shared" si="5"/>
        <v>4</v>
      </c>
      <c r="K247" s="49" t="str">
        <f>IFERROR(__xludf.DUMMYFUNCTION("IFERROR(IF(A247="""",""ENTER STOCK"",LET(stock,A247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47" s="48">
        <f t="shared" si="6"/>
        <v>0</v>
      </c>
      <c r="M247" s="48">
        <f t="shared" si="7"/>
        <v>1</v>
      </c>
      <c r="N247" s="50">
        <f t="shared" si="8"/>
        <v>8</v>
      </c>
      <c r="O247" s="51" t="s">
        <v>414</v>
      </c>
      <c r="P247" s="46" t="str">
        <f t="shared" si="9"/>
        <v>WAIT</v>
      </c>
      <c r="Q247" s="52"/>
      <c r="R247" s="53">
        <f t="shared" si="10"/>
        <v>15</v>
      </c>
      <c r="S247" s="53">
        <f>IFERROR(__xludf.DUMMYFUNCTION("IFERROR(ROUND(GOOGLEFINANCE(A247,""volume"")/GOOGLEFINANCE(A247,""volumeavg""),2),"""")"),2.14)</f>
        <v>2.14</v>
      </c>
      <c r="T247" s="53" t="str">
        <f t="shared" si="11"/>
        <v>HIGH VOL</v>
      </c>
      <c r="U247" s="53">
        <f>IFERROR(__xludf.DUMMYFUNCTION("IFERROR(
  LET(
    sd, GOOGLEFINANCE(A247,""close"",TODAY()-100,TODAY()),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"""")"),1.08)</f>
        <v>1.08</v>
      </c>
      <c r="V247" s="53" t="str">
        <f t="shared" si="12"/>
        <v>MEDIUM</v>
      </c>
      <c r="W247" s="53">
        <f>IFERROR(__xludf.DUMMYFUNCTION("IFERROR(ROUND((B247/GOOGLEFINANCE(A247,""high52"")-1)*100,1),"""")"),-13.8)</f>
        <v>-13.8</v>
      </c>
      <c r="X247" s="53">
        <f>IFERROR(__xludf.DUMMYFUNCTION("IFERROR(ROUND((B247-GOOGLEFINANCE(A247,""low52""))/(GOOGLEFINANCE(A247,""high52"")-GOOGLEFINANCE(A247,""low52""))*100,1),"""")"),70.7)</f>
        <v>70.7</v>
      </c>
      <c r="Y247" s="53" t="str">
        <f t="shared" si="13"/>
        <v>UPPER</v>
      </c>
      <c r="Z247" s="53">
        <f>IFERROR(__xludf.DUMMYFUNCTION("IFERROR(ROUND(((B247 / INDEX(GOOGLEFINANCE(TRIM(A247), ""price"", TODAY()-34, TODAY()), 2, 2)) - (GOOGLEFINANCE(""NIFTY_50"") / INDEX(GOOGLEFINANCE(""NIFTY_50"", ""price"", TODAY()-34, TODAY()), 2, 2))) * 100, 2), ""Check History"")"),8.39)</f>
        <v>8.39</v>
      </c>
      <c r="AA247" s="53" t="str">
        <f t="shared" si="14"/>
        <v>STRONG RS</v>
      </c>
      <c r="AB247" s="53">
        <f>IFERROR(__xludf.DUMMYFUNCTION("IFERROR(LET(
  p, QUERY(GOOGLEFINANCE(TRIM(A247),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Loading"")"),31.6)</f>
        <v>31.6</v>
      </c>
      <c r="AC247" s="53" t="str">
        <f t="shared" si="15"/>
        <v>WEAK MOM</v>
      </c>
      <c r="AD247" s="53" t="str">
        <f>IFERROR(__xludf.DUMMYFUNCTION("IFERROR(IF(GOOGLEFINANCE(A247,""eps"")&gt;0,""EPS+"",""EPS-""),"""")"),"EPS+")</f>
        <v>EPS+</v>
      </c>
      <c r="AE247" s="53">
        <f t="shared" si="16"/>
        <v>8</v>
      </c>
      <c r="AF247" s="53">
        <f>IFERROR(__xludf.DUMMYFUNCTION("IFERROR(N247+IF(S247&gt;=1.2,1,0)+IF(U247&gt;=1,1,0)+IF(Z247&gt;0,1,0)+IF(AND(W247&gt;=-20,W247&lt;=0),1,0)+IF(IFERROR(GOOGLEFINANCE(A247,""eps""),0)&gt;0,1,0),"""")"),13.0)</f>
        <v>13</v>
      </c>
      <c r="AG247" s="53" t="str">
        <f t="shared" si="17"/>
        <v>WAIT</v>
      </c>
    </row>
    <row r="248" ht="15.0" customHeight="1">
      <c r="A248" s="43" t="s">
        <v>415</v>
      </c>
      <c r="B248" s="44">
        <f>IFERROR(__xludf.DUMMYFUNCTION("GOOGLEFINANCE(A248,""price"")"),869.3)</f>
        <v>869.3</v>
      </c>
      <c r="C248" s="45">
        <f>IFERROR(__xludf.DUMMYFUNCTION("AVERAGE(QUERY(SORT(GOOGLEFINANCE(A248,""price"",TODAY()-150,TODAY()),1,0),""select Col2 limit 50""))"),1013.9500000000002)</f>
        <v>1013.95</v>
      </c>
      <c r="D248" s="45">
        <f>IFERROR(__xludf.DUMMYFUNCTION("AVERAGE(QUERY(SORT(GOOGLEFINANCE(A248,""price"",TODAY()-300,TODAY()),1,0),""select Col2 limit 100""))"),948.1519999999999)</f>
        <v>948.152</v>
      </c>
      <c r="E248" s="45">
        <f>IFERROR(__xludf.DUMMYFUNCTION("AVERAGE(QUERY(SORT(GOOGLEFINANCE(A248,""price"",TODAY()-500,TODAY()),1,0),""select Col2 limit 200""))"),798.6995000000002)</f>
        <v>798.6995</v>
      </c>
      <c r="F248" s="46" t="str">
        <f t="shared" si="1"/>
        <v>Unconfirmed</v>
      </c>
      <c r="G248" s="47">
        <f t="shared" si="2"/>
        <v>8.839432102</v>
      </c>
      <c r="H248" s="48" t="str">
        <f t="shared" si="3"/>
        <v>Golden ✓</v>
      </c>
      <c r="I248" s="48">
        <f t="shared" si="4"/>
        <v>3</v>
      </c>
      <c r="J248" s="48">
        <f t="shared" si="5"/>
        <v>4</v>
      </c>
      <c r="K248" s="49" t="str">
        <f>IFERROR(__xludf.DUMMYFUNCTION("IFERROR(IF(A248="""",""ENTER STOCK"",LET(stock,A248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48" s="48">
        <f t="shared" si="6"/>
        <v>0</v>
      </c>
      <c r="M248" s="48">
        <f t="shared" si="7"/>
        <v>1</v>
      </c>
      <c r="N248" s="50">
        <f t="shared" si="8"/>
        <v>8</v>
      </c>
      <c r="O248" s="51" t="s">
        <v>153</v>
      </c>
      <c r="P248" s="46" t="str">
        <f t="shared" si="9"/>
        <v>WAIT</v>
      </c>
      <c r="Q248" s="52"/>
      <c r="R248" s="53">
        <f t="shared" si="10"/>
        <v>15</v>
      </c>
      <c r="S248" s="53">
        <f>IFERROR(__xludf.DUMMYFUNCTION("IFERROR(ROUND(GOOGLEFINANCE(A248,""volume"")/GOOGLEFINANCE(A248,""volumeavg""),2),"""")"),1.47)</f>
        <v>1.47</v>
      </c>
      <c r="T248" s="53" t="str">
        <f t="shared" si="11"/>
        <v>OK VOL</v>
      </c>
      <c r="U248" s="53">
        <f>IFERROR(__xludf.DUMMYFUNCTION("IFERROR(
  LET(
    sd, GOOGLEFINANCE(A248,""close"",TODAY()-100,TODAY()),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"""")"),1.99)</f>
        <v>1.99</v>
      </c>
      <c r="V248" s="53" t="str">
        <f t="shared" si="12"/>
        <v>FAST</v>
      </c>
      <c r="W248" s="53">
        <f>IFERROR(__xludf.DUMMYFUNCTION("IFERROR(ROUND((B248/GOOGLEFINANCE(A248,""high52"")-1)*100,1),"""")"),-21.5)</f>
        <v>-21.5</v>
      </c>
      <c r="X248" s="53">
        <f>IFERROR(__xludf.DUMMYFUNCTION("IFERROR(ROUND((B248-GOOGLEFINANCE(A248,""low52""))/(GOOGLEFINANCE(A248,""high52"")-GOOGLEFINANCE(A248,""low52""))*100,1),"""")"),55.9)</f>
        <v>55.9</v>
      </c>
      <c r="Y248" s="53" t="str">
        <f t="shared" si="13"/>
        <v>MID</v>
      </c>
      <c r="Z248" s="53">
        <f>IFERROR(__xludf.DUMMYFUNCTION("IFERROR(ROUND(((B248 / INDEX(GOOGLEFINANCE(TRIM(A248), ""price"", TODAY()-34, TODAY()), 2, 2)) - (GOOGLEFINANCE(""NIFTY_50"") / INDEX(GOOGLEFINANCE(""NIFTY_50"", ""price"", TODAY()-34, TODAY()), 2, 2))) * 100, 2), ""Check History"")"),-5.96)</f>
        <v>-5.96</v>
      </c>
      <c r="AA248" s="53" t="str">
        <f t="shared" si="14"/>
        <v>WEAK RS</v>
      </c>
      <c r="AB248" s="53">
        <f>IFERROR(__xludf.DUMMYFUNCTION("IFERROR(LET(
  p, QUERY(GOOGLEFINANCE(TRIM(A248),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Loading"")"),49.6)</f>
        <v>49.6</v>
      </c>
      <c r="AC248" s="53" t="str">
        <f t="shared" si="15"/>
        <v>IDEAL ENTRY</v>
      </c>
      <c r="AD248" s="53" t="str">
        <f>IFERROR(__xludf.DUMMYFUNCTION("IFERROR(IF(GOOGLEFINANCE(A248,""eps"")&gt;0,""EPS+"",""EPS-""),"""")"),"EPS+")</f>
        <v>EPS+</v>
      </c>
      <c r="AE248" s="53">
        <f t="shared" si="16"/>
        <v>6</v>
      </c>
      <c r="AF248" s="53">
        <f>IFERROR(__xludf.DUMMYFUNCTION("IFERROR(N248+IF(S248&gt;=1.2,1,0)+IF(U248&gt;=1,1,0)+IF(Z248&gt;0,1,0)+IF(AND(W248&gt;=-20,W248&lt;=0),1,0)+IF(IFERROR(GOOGLEFINANCE(A248,""eps""),0)&gt;0,1,0),"""")"),11.0)</f>
        <v>11</v>
      </c>
      <c r="AG248" s="53" t="str">
        <f t="shared" si="17"/>
        <v>WAIT</v>
      </c>
    </row>
    <row r="249" ht="15.0" customHeight="1">
      <c r="A249" s="43" t="s">
        <v>416</v>
      </c>
      <c r="B249" s="44">
        <f>IFERROR(__xludf.DUMMYFUNCTION("GOOGLEFINANCE(A249,""price"")"),154.46)</f>
        <v>154.46</v>
      </c>
      <c r="C249" s="45">
        <f>IFERROR(__xludf.DUMMYFUNCTION("AVERAGE(QUERY(SORT(GOOGLEFINANCE(A249,""price"",TODAY()-150,TODAY()),1,0),""select Col2 limit 50""))"),192.26340000000005)</f>
        <v>192.2634</v>
      </c>
      <c r="D249" s="45">
        <f>IFERROR(__xludf.DUMMYFUNCTION("AVERAGE(QUERY(SORT(GOOGLEFINANCE(A249,""price"",TODAY()-300,TODAY()),1,0),""select Col2 limit 100""))"),177.62179999999998)</f>
        <v>177.6218</v>
      </c>
      <c r="E249" s="45">
        <f>IFERROR(__xludf.DUMMYFUNCTION("AVERAGE(QUERY(SORT(GOOGLEFINANCE(A249,""price"",TODAY()-500,TODAY()),1,0),""select Col2 limit 200""))"),153.50519999999986)</f>
        <v>153.5052</v>
      </c>
      <c r="F249" s="46" t="str">
        <f t="shared" si="1"/>
        <v>Unconfirmed</v>
      </c>
      <c r="G249" s="47">
        <f t="shared" si="2"/>
        <v>0.621998473</v>
      </c>
      <c r="H249" s="48" t="str">
        <f t="shared" si="3"/>
        <v>Golden ✓</v>
      </c>
      <c r="I249" s="48">
        <f t="shared" si="4"/>
        <v>3</v>
      </c>
      <c r="J249" s="48">
        <f t="shared" si="5"/>
        <v>2</v>
      </c>
      <c r="K249" s="49" t="str">
        <f>IFERROR(__xludf.DUMMYFUNCTION("IFERROR(IF(A249="""",""ENTER STOCK"",LET(stock,A249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49" s="48">
        <f t="shared" si="6"/>
        <v>0</v>
      </c>
      <c r="M249" s="48">
        <f t="shared" si="7"/>
        <v>1</v>
      </c>
      <c r="N249" s="50">
        <f t="shared" si="8"/>
        <v>6</v>
      </c>
      <c r="O249" s="51" t="s">
        <v>271</v>
      </c>
      <c r="P249" s="46" t="str">
        <f t="shared" si="9"/>
        <v>WAIT</v>
      </c>
      <c r="Q249" s="52"/>
      <c r="R249" s="53">
        <f t="shared" si="10"/>
        <v>15</v>
      </c>
      <c r="S249" s="53">
        <f>IFERROR(__xludf.DUMMYFUNCTION("IFERROR(ROUND(GOOGLEFINANCE(A249,""volume"")/GOOGLEFINANCE(A249,""volumeavg""),2),"""")"),2.96)</f>
        <v>2.96</v>
      </c>
      <c r="T249" s="53" t="str">
        <f t="shared" si="11"/>
        <v>HIGH VOL</v>
      </c>
      <c r="U249" s="53">
        <f>IFERROR(__xludf.DUMMYFUNCTION("IFERROR(
  LET(
    sd, GOOGLEFINANCE(A249,""close"",TODAY()-100,TODAY()),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"""")"),1.78)</f>
        <v>1.78</v>
      </c>
      <c r="V249" s="53" t="str">
        <f t="shared" si="12"/>
        <v>FAST</v>
      </c>
      <c r="W249" s="53">
        <f>IFERROR(__xludf.DUMMYFUNCTION("IFERROR(ROUND((B249/GOOGLEFINANCE(A249,""high52"")-1)*100,1),"""")"),-28.3)</f>
        <v>-28.3</v>
      </c>
      <c r="X249" s="53">
        <f>IFERROR(__xludf.DUMMYFUNCTION("IFERROR(ROUND((B249-GOOGLEFINANCE(A249,""low52""))/(GOOGLEFINANCE(A249,""high52"")-GOOGLEFINANCE(A249,""low52""))*100,1),"""")"),49.0)</f>
        <v>49</v>
      </c>
      <c r="Y249" s="53" t="str">
        <f t="shared" si="13"/>
        <v>MID</v>
      </c>
      <c r="Z249" s="53">
        <f>IFERROR(__xludf.DUMMYFUNCTION("IFERROR(ROUND(((B249 / INDEX(GOOGLEFINANCE(TRIM(A249), ""price"", TODAY()-34, TODAY()), 2, 2)) - (GOOGLEFINANCE(""NIFTY_50"") / INDEX(GOOGLEFINANCE(""NIFTY_50"", ""price"", TODAY()-34, TODAY()), 2, 2))) * 100, 2), ""Check History"")"),-14.34)</f>
        <v>-14.34</v>
      </c>
      <c r="AA249" s="53" t="str">
        <f t="shared" si="14"/>
        <v>WEAK RS</v>
      </c>
      <c r="AB249" s="53">
        <f>IFERROR(__xludf.DUMMYFUNCTION("IFERROR(LET(
  p, QUERY(GOOGLEFINANCE(TRIM(A249),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Loading"")"),29.6)</f>
        <v>29.6</v>
      </c>
      <c r="AC249" s="53" t="str">
        <f t="shared" si="15"/>
        <v>WEAK MOM</v>
      </c>
      <c r="AD249" s="53" t="str">
        <f>IFERROR(__xludf.DUMMYFUNCTION("IFERROR(IF(GOOGLEFINANCE(A249,""eps"")&gt;0,""EPS+"",""EPS-""),"""")"),"EPS+")</f>
        <v>EPS+</v>
      </c>
      <c r="AE249" s="53">
        <f t="shared" si="16"/>
        <v>6</v>
      </c>
      <c r="AF249" s="53">
        <f>IFERROR(__xludf.DUMMYFUNCTION("IFERROR(N249+IF(S249&gt;=1.2,1,0)+IF(U249&gt;=1,1,0)+IF(Z249&gt;0,1,0)+IF(AND(W249&gt;=-20,W249&lt;=0),1,0)+IF(IFERROR(GOOGLEFINANCE(A249,""eps""),0)&gt;0,1,0),"""")"),9.0)</f>
        <v>9</v>
      </c>
      <c r="AG249" s="53" t="str">
        <f t="shared" si="17"/>
        <v>WAIT</v>
      </c>
    </row>
    <row r="250" ht="15.0" customHeight="1">
      <c r="A250" s="43" t="s">
        <v>417</v>
      </c>
      <c r="B250" s="44">
        <f>IFERROR(__xludf.DUMMYFUNCTION("GOOGLEFINANCE(A250,""price"")"),24370.0)</f>
        <v>24370</v>
      </c>
      <c r="C250" s="45">
        <f>IFERROR(__xludf.DUMMYFUNCTION("AVERAGE(QUERY(SORT(GOOGLEFINANCE(A250,""price"",TODAY()-150,TODAY()),1,0),""select Col2 limit 50""))"),22283.1)</f>
        <v>22283.1</v>
      </c>
      <c r="D250" s="45">
        <f>IFERROR(__xludf.DUMMYFUNCTION("AVERAGE(QUERY(SORT(GOOGLEFINANCE(A250,""price"",TODAY()-300,TODAY()),1,0),""select Col2 limit 100""))"),21109.84)</f>
        <v>21109.84</v>
      </c>
      <c r="E250" s="45">
        <f>IFERROR(__xludf.DUMMYFUNCTION("AVERAGE(QUERY(SORT(GOOGLEFINANCE(A250,""price"",TODAY()-500,TODAY()),1,0),""select Col2 limit 200""))"),20070.78)</f>
        <v>20070.78</v>
      </c>
      <c r="F250" s="46" t="str">
        <f t="shared" si="1"/>
        <v>In Bull Run</v>
      </c>
      <c r="G250" s="47">
        <f t="shared" si="2"/>
        <v>21.42029358</v>
      </c>
      <c r="H250" s="48" t="str">
        <f t="shared" si="3"/>
        <v>Golden ✓</v>
      </c>
      <c r="I250" s="48">
        <f t="shared" si="4"/>
        <v>3</v>
      </c>
      <c r="J250" s="48">
        <f t="shared" si="5"/>
        <v>0</v>
      </c>
      <c r="K250" s="49" t="str">
        <f>IFERROR(__xludf.DUMMYFUNCTION("IFERROR(IF(A250="""",""ENTER STOCK"",LET(stock,A250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50" s="48">
        <f t="shared" si="6"/>
        <v>0</v>
      </c>
      <c r="M250" s="48">
        <f t="shared" si="7"/>
        <v>1</v>
      </c>
      <c r="N250" s="50">
        <f t="shared" si="8"/>
        <v>4</v>
      </c>
      <c r="O250" s="51" t="s">
        <v>175</v>
      </c>
      <c r="P250" s="46" t="str">
        <f t="shared" si="9"/>
        <v>SKIP</v>
      </c>
      <c r="Q250" s="52"/>
      <c r="R250" s="53">
        <f t="shared" si="10"/>
        <v>15</v>
      </c>
      <c r="S250" s="53">
        <f>IFERROR(__xludf.DUMMYFUNCTION("IFERROR(ROUND(GOOGLEFINANCE(A250,""volume"")/GOOGLEFINANCE(A250,""volumeavg""),2),"""")"),1.07)</f>
        <v>1.07</v>
      </c>
      <c r="T250" s="53" t="str">
        <f t="shared" si="11"/>
        <v>LOW VOL</v>
      </c>
      <c r="U250" s="53">
        <f>IFERROR(__xludf.DUMMYFUNCTION("IFERROR(
  LET(
    sd, GOOGLEFINANCE(A250,""close"",TODAY()-100,TODAY()),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"""")"),1.37)</f>
        <v>1.37</v>
      </c>
      <c r="V250" s="53" t="str">
        <f t="shared" si="12"/>
        <v>FAST</v>
      </c>
      <c r="W250" s="53">
        <f>IFERROR(__xludf.DUMMYFUNCTION("IFERROR(ROUND((B250/GOOGLEFINANCE(A250,""high52"")-1)*100,1),"""")"),-7.4)</f>
        <v>-7.4</v>
      </c>
      <c r="X250" s="53">
        <f>IFERROR(__xludf.DUMMYFUNCTION("IFERROR(ROUND((B250-GOOGLEFINANCE(A250,""low52""))/(GOOGLEFINANCE(A250,""high52"")-GOOGLEFINANCE(A250,""low52""))*100,1),"""")"),87.7)</f>
        <v>87.7</v>
      </c>
      <c r="Y250" s="53" t="str">
        <f t="shared" si="13"/>
        <v>UPPER</v>
      </c>
      <c r="Z250" s="53">
        <f>IFERROR(__xludf.DUMMYFUNCTION("IFERROR(ROUND(((B250 / INDEX(GOOGLEFINANCE(TRIM(A250), ""price"", TODAY()-34, TODAY()), 2, 2)) - (GOOGLEFINANCE(""NIFTY_50"") / INDEX(GOOGLEFINANCE(""NIFTY_50"", ""price"", TODAY()-34, TODAY()), 2, 2))) * 100, 2), ""Check History"")"),10.03)</f>
        <v>10.03</v>
      </c>
      <c r="AA250" s="53" t="str">
        <f t="shared" si="14"/>
        <v>STRONG RS</v>
      </c>
      <c r="AB250" s="53">
        <f>IFERROR(__xludf.DUMMYFUNCTION("IFERROR(LET(
  p, QUERY(GOOGLEFINANCE(TRIM(A250),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Loading"")"),42.6)</f>
        <v>42.6</v>
      </c>
      <c r="AC250" s="53" t="str">
        <f t="shared" si="15"/>
        <v>WEAK MOM</v>
      </c>
      <c r="AD250" s="53" t="str">
        <f>IFERROR(__xludf.DUMMYFUNCTION("IFERROR(IF(GOOGLEFINANCE(A250,""eps"")&gt;0,""EPS+"",""EPS-""),"""")"),"EPS+")</f>
        <v>EPS+</v>
      </c>
      <c r="AE250" s="53">
        <f t="shared" si="16"/>
        <v>8</v>
      </c>
      <c r="AF250" s="53">
        <f>IFERROR(__xludf.DUMMYFUNCTION("IFERROR(N250+IF(S250&gt;=1.2,1,0)+IF(U250&gt;=1,1,0)+IF(Z250&gt;0,1,0)+IF(AND(W250&gt;=-20,W250&lt;=0),1,0)+IF(IFERROR(GOOGLEFINANCE(A250,""eps""),0)&gt;0,1,0),"""")"),8.0)</f>
        <v>8</v>
      </c>
      <c r="AG250" s="53" t="str">
        <f t="shared" si="17"/>
        <v>BUY</v>
      </c>
    </row>
    <row r="251" ht="15.0" customHeight="1">
      <c r="A251" s="43" t="s">
        <v>418</v>
      </c>
      <c r="B251" s="44">
        <f>IFERROR(__xludf.DUMMYFUNCTION("GOOGLEFINANCE(A251,""price"")"),3670.0)</f>
        <v>3670</v>
      </c>
      <c r="C251" s="45">
        <f>IFERROR(__xludf.DUMMYFUNCTION("AVERAGE(QUERY(SORT(GOOGLEFINANCE(A251,""price"",TODAY()-150,TODAY()),1,0),""select Col2 limit 50""))"),3456.8219999999988)</f>
        <v>3456.822</v>
      </c>
      <c r="D251" s="45">
        <f>IFERROR(__xludf.DUMMYFUNCTION("AVERAGE(QUERY(SORT(GOOGLEFINANCE(A251,""price"",TODAY()-300,TODAY()),1,0),""select Col2 limit 100""))"),3228.501)</f>
        <v>3228.501</v>
      </c>
      <c r="E251" s="45">
        <f>IFERROR(__xludf.DUMMYFUNCTION("AVERAGE(QUERY(SORT(GOOGLEFINANCE(A251,""price"",TODAY()-500,TODAY()),1,0),""select Col2 limit 200""))"),2957.4095000000025)</f>
        <v>2957.4095</v>
      </c>
      <c r="F251" s="46" t="str">
        <f t="shared" si="1"/>
        <v>In Bull Run</v>
      </c>
      <c r="G251" s="47">
        <f t="shared" si="2"/>
        <v>24.09509065</v>
      </c>
      <c r="H251" s="48" t="str">
        <f t="shared" si="3"/>
        <v>Golden ✓</v>
      </c>
      <c r="I251" s="48">
        <f t="shared" si="4"/>
        <v>3</v>
      </c>
      <c r="J251" s="48">
        <f t="shared" si="5"/>
        <v>0</v>
      </c>
      <c r="K251" s="49" t="str">
        <f>IFERROR(__xludf.DUMMYFUNCTION("IFERROR(IF(A251="""",""ENTER STOCK"",LET(stock,A251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51" s="48">
        <f t="shared" si="6"/>
        <v>0</v>
      </c>
      <c r="M251" s="48">
        <f t="shared" si="7"/>
        <v>1</v>
      </c>
      <c r="N251" s="50">
        <f t="shared" si="8"/>
        <v>4</v>
      </c>
      <c r="O251" s="51" t="s">
        <v>175</v>
      </c>
      <c r="P251" s="46" t="str">
        <f t="shared" si="9"/>
        <v>SKIP</v>
      </c>
      <c r="Q251" s="52"/>
      <c r="R251" s="53">
        <f t="shared" si="10"/>
        <v>15</v>
      </c>
      <c r="S251" s="53">
        <f>IFERROR(__xludf.DUMMYFUNCTION("IFERROR(ROUND(GOOGLEFINANCE(A251,""volume"")/GOOGLEFINANCE(A251,""volumeavg""),2),"""")"),1.45)</f>
        <v>1.45</v>
      </c>
      <c r="T251" s="53" t="str">
        <f t="shared" si="11"/>
        <v>OK VOL</v>
      </c>
      <c r="U251" s="53">
        <f>IFERROR(__xludf.DUMMYFUNCTION("IFERROR(
  LET(
    sd, GOOGLEFINANCE(A251,""close"",TODAY()-100,TODAY()),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"""")"),1.1)</f>
        <v>1.1</v>
      </c>
      <c r="V251" s="53" t="str">
        <f t="shared" si="12"/>
        <v>MEDIUM</v>
      </c>
      <c r="W251" s="53">
        <f>IFERROR(__xludf.DUMMYFUNCTION("IFERROR(ROUND((B251/GOOGLEFINANCE(A251,""high52"")-1)*100,1),"""")"),-8.2)</f>
        <v>-8.2</v>
      </c>
      <c r="X251" s="53">
        <f>IFERROR(__xludf.DUMMYFUNCTION("IFERROR(ROUND((B251-GOOGLEFINANCE(A251,""low52""))/(GOOGLEFINANCE(A251,""high52"")-GOOGLEFINANCE(A251,""low52""))*100,1),"""")"),88.0)</f>
        <v>88</v>
      </c>
      <c r="Y251" s="53" t="str">
        <f t="shared" si="13"/>
        <v>UPPER</v>
      </c>
      <c r="Z251" s="53">
        <f>IFERROR(__xludf.DUMMYFUNCTION("IFERROR(ROUND(((B251 / INDEX(GOOGLEFINANCE(TRIM(A251), ""price"", TODAY()-34, TODAY()), 2, 2)) - (GOOGLEFINANCE(""NIFTY_50"") / INDEX(GOOGLEFINANCE(""NIFTY_50"", ""price"", TODAY()-34, TODAY()), 2, 2))) * 100, 2), ""Check History"")"),10.4)</f>
        <v>10.4</v>
      </c>
      <c r="AA251" s="53" t="str">
        <f t="shared" si="14"/>
        <v>STRONG RS</v>
      </c>
      <c r="AB251" s="53">
        <f>IFERROR(__xludf.DUMMYFUNCTION("IFERROR(LET(
  p, QUERY(GOOGLEFINANCE(TRIM(A251),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Loading"")"),60.2)</f>
        <v>60.2</v>
      </c>
      <c r="AC251" s="53" t="str">
        <f t="shared" si="15"/>
        <v>IDEAL ENTRY</v>
      </c>
      <c r="AD251" s="53" t="str">
        <f>IFERROR(__xludf.DUMMYFUNCTION("IFERROR(IF(GOOGLEFINANCE(A251,""eps"")&gt;0,""EPS+"",""EPS-""),"""")"),"EPS+")</f>
        <v>EPS+</v>
      </c>
      <c r="AE251" s="53">
        <f t="shared" si="16"/>
        <v>8</v>
      </c>
      <c r="AF251" s="53">
        <f>IFERROR(__xludf.DUMMYFUNCTION("IFERROR(N251+IF(S251&gt;=1.2,1,0)+IF(U251&gt;=1,1,0)+IF(Z251&gt;0,1,0)+IF(AND(W251&gt;=-20,W251&lt;=0),1,0)+IF(IFERROR(GOOGLEFINANCE(A251,""eps""),0)&gt;0,1,0),"""")"),9.0)</f>
        <v>9</v>
      </c>
      <c r="AG251" s="53" t="str">
        <f t="shared" si="17"/>
        <v>BUY</v>
      </c>
    </row>
    <row r="252" ht="15.0" customHeight="1">
      <c r="A252" s="43" t="s">
        <v>419</v>
      </c>
      <c r="B252" s="44">
        <f>IFERROR(__xludf.DUMMYFUNCTION("GOOGLEFINANCE(A252,""price"")"),1683.8)</f>
        <v>1683.8</v>
      </c>
      <c r="C252" s="45">
        <f>IFERROR(__xludf.DUMMYFUNCTION("AVERAGE(QUERY(SORT(GOOGLEFINANCE(A252,""price"",TODAY()-150,TODAY()),1,0),""select Col2 limit 50""))"),1672.2099999999998)</f>
        <v>1672.21</v>
      </c>
      <c r="D252" s="45">
        <f>IFERROR(__xludf.DUMMYFUNCTION("AVERAGE(QUERY(SORT(GOOGLEFINANCE(A252,""price"",TODAY()-300,TODAY()),1,0),""select Col2 limit 100""))"),1545.1780000000008)</f>
        <v>1545.178</v>
      </c>
      <c r="E252" s="45">
        <f>IFERROR(__xludf.DUMMYFUNCTION("AVERAGE(QUERY(SORT(GOOGLEFINANCE(A252,""price"",TODAY()-500,TODAY()),1,0),""select Col2 limit 200""))"),1386.4475000000007)</f>
        <v>1386.4475</v>
      </c>
      <c r="F252" s="46" t="str">
        <f t="shared" si="1"/>
        <v>In Bull Run</v>
      </c>
      <c r="G252" s="47">
        <f t="shared" si="2"/>
        <v>21.44707968</v>
      </c>
      <c r="H252" s="48" t="str">
        <f t="shared" si="3"/>
        <v>Golden ✓</v>
      </c>
      <c r="I252" s="48">
        <f t="shared" si="4"/>
        <v>3</v>
      </c>
      <c r="J252" s="48">
        <f t="shared" si="5"/>
        <v>0</v>
      </c>
      <c r="K252" s="49" t="str">
        <f>IFERROR(__xludf.DUMMYFUNCTION("IFERROR(IF(A252="""",""ENTER STOCK"",LET(stock,A252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52" s="48">
        <f t="shared" si="6"/>
        <v>0</v>
      </c>
      <c r="M252" s="48">
        <f t="shared" si="7"/>
        <v>1</v>
      </c>
      <c r="N252" s="50">
        <f t="shared" si="8"/>
        <v>4</v>
      </c>
      <c r="O252" s="51" t="s">
        <v>198</v>
      </c>
      <c r="P252" s="46" t="str">
        <f t="shared" si="9"/>
        <v>SKIP</v>
      </c>
      <c r="Q252" s="52"/>
      <c r="R252" s="53">
        <f t="shared" si="10"/>
        <v>15</v>
      </c>
      <c r="S252" s="53">
        <f>IFERROR(__xludf.DUMMYFUNCTION("IFERROR(ROUND(GOOGLEFINANCE(A252,""volume"")/GOOGLEFINANCE(A252,""volumeavg""),2),"""")"),1.23)</f>
        <v>1.23</v>
      </c>
      <c r="T252" s="53" t="str">
        <f t="shared" si="11"/>
        <v>OK VOL</v>
      </c>
      <c r="U252" s="53">
        <f>IFERROR(__xludf.DUMMYFUNCTION("IFERROR(
  LET(
    sd, GOOGLEFINANCE(A252,""close"",TODAY()-100,TODAY()),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"""")"),1.54)</f>
        <v>1.54</v>
      </c>
      <c r="V252" s="53" t="str">
        <f t="shared" si="12"/>
        <v>FAST</v>
      </c>
      <c r="W252" s="53">
        <f>IFERROR(__xludf.DUMMYFUNCTION("IFERROR(ROUND((B252/GOOGLEFINANCE(A252,""high52"")-1)*100,1),"""")"),-13.0)</f>
        <v>-13</v>
      </c>
      <c r="X252" s="53">
        <f>IFERROR(__xludf.DUMMYFUNCTION("IFERROR(ROUND((B252-GOOGLEFINANCE(A252,""low52""))/(GOOGLEFINANCE(A252,""high52"")-GOOGLEFINANCE(A252,""low52""))*100,1),"""")"),75.2)</f>
        <v>75.2</v>
      </c>
      <c r="Y252" s="53" t="str">
        <f t="shared" si="13"/>
        <v>UPPER</v>
      </c>
      <c r="Z252" s="53">
        <f>IFERROR(__xludf.DUMMYFUNCTION("IFERROR(ROUND(((B252 / INDEX(GOOGLEFINANCE(TRIM(A252), ""price"", TODAY()-34, TODAY()), 2, 2)) - (GOOGLEFINANCE(""NIFTY_50"") / INDEX(GOOGLEFINANCE(""NIFTY_50"", ""price"", TODAY()-34, TODAY()), 2, 2))) * 100, 2), ""Check History"")"),2.78)</f>
        <v>2.78</v>
      </c>
      <c r="AA252" s="53" t="str">
        <f t="shared" si="14"/>
        <v>MILD RS</v>
      </c>
      <c r="AB252" s="53">
        <f>IFERROR(__xludf.DUMMYFUNCTION("IFERROR(LET(
  p, QUERY(GOOGLEFINANCE(TRIM(A252),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Loading"")"),49.1)</f>
        <v>49.1</v>
      </c>
      <c r="AC252" s="53" t="str">
        <f t="shared" si="15"/>
        <v>IDEAL ENTRY</v>
      </c>
      <c r="AD252" s="53" t="str">
        <f>IFERROR(__xludf.DUMMYFUNCTION("IFERROR(IF(GOOGLEFINANCE(A252,""eps"")&gt;0,""EPS+"",""EPS-""),"""")"),"EPS+")</f>
        <v>EPS+</v>
      </c>
      <c r="AE252" s="53">
        <f t="shared" si="16"/>
        <v>8</v>
      </c>
      <c r="AF252" s="53">
        <f>IFERROR(__xludf.DUMMYFUNCTION("IFERROR(N252+IF(S252&gt;=1.2,1,0)+IF(U252&gt;=1,1,0)+IF(Z252&gt;0,1,0)+IF(AND(W252&gt;=-20,W252&lt;=0),1,0)+IF(IFERROR(GOOGLEFINANCE(A252,""eps""),0)&gt;0,1,0),"""")"),9.0)</f>
        <v>9</v>
      </c>
      <c r="AG252" s="53" t="str">
        <f t="shared" si="17"/>
        <v>BUY</v>
      </c>
    </row>
    <row r="253" ht="15.0" customHeight="1">
      <c r="A253" s="43" t="s">
        <v>420</v>
      </c>
      <c r="B253" s="44">
        <f>IFERROR(__xludf.DUMMYFUNCTION("GOOGLEFINANCE(A253,""price"")"),658.55)</f>
        <v>658.55</v>
      </c>
      <c r="C253" s="45">
        <f>IFERROR(__xludf.DUMMYFUNCTION("AVERAGE(QUERY(SORT(GOOGLEFINANCE(A253,""price"",TODAY()-150,TODAY()),1,0),""select Col2 limit 50""))"),689.3820000000001)</f>
        <v>689.382</v>
      </c>
      <c r="D253" s="45">
        <f>IFERROR(__xludf.DUMMYFUNCTION("AVERAGE(QUERY(SORT(GOOGLEFINANCE(A253,""price"",TODAY()-300,TODAY()),1,0),""select Col2 limit 100""))"),621.0355000000002)</f>
        <v>621.0355</v>
      </c>
      <c r="E253" s="45">
        <f>IFERROR(__xludf.DUMMYFUNCTION("AVERAGE(QUERY(SORT(GOOGLEFINANCE(A253,""price"",TODAY()-500,TODAY()),1,0),""select Col2 limit 200""))"),537.7485)</f>
        <v>537.7485</v>
      </c>
      <c r="F253" s="46" t="str">
        <f t="shared" si="1"/>
        <v>Unconfirmed</v>
      </c>
      <c r="G253" s="47">
        <f t="shared" si="2"/>
        <v>22.46431185</v>
      </c>
      <c r="H253" s="48" t="str">
        <f t="shared" si="3"/>
        <v>Golden ✓</v>
      </c>
      <c r="I253" s="48">
        <f t="shared" si="4"/>
        <v>3</v>
      </c>
      <c r="J253" s="48">
        <f t="shared" si="5"/>
        <v>0</v>
      </c>
      <c r="K253" s="49" t="str">
        <f>IFERROR(__xludf.DUMMYFUNCTION("IFERROR(IF(A253="""",""ENTER STOCK"",LET(stock,A253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53" s="48">
        <f t="shared" si="6"/>
        <v>0</v>
      </c>
      <c r="M253" s="48">
        <f t="shared" si="7"/>
        <v>1</v>
      </c>
      <c r="N253" s="50">
        <f t="shared" si="8"/>
        <v>4</v>
      </c>
      <c r="O253" s="51" t="s">
        <v>414</v>
      </c>
      <c r="P253" s="46" t="str">
        <f t="shared" si="9"/>
        <v>WAIT</v>
      </c>
      <c r="Q253" s="52"/>
      <c r="R253" s="53">
        <f t="shared" si="10"/>
        <v>15</v>
      </c>
      <c r="S253" s="53">
        <f>IFERROR(__xludf.DUMMYFUNCTION("IFERROR(ROUND(GOOGLEFINANCE(A253,""volume"")/GOOGLEFINANCE(A253,""volumeavg""),2),"""")"),1.94)</f>
        <v>1.94</v>
      </c>
      <c r="T253" s="53" t="str">
        <f t="shared" si="11"/>
        <v>HIGH VOL</v>
      </c>
      <c r="U253" s="53">
        <f>IFERROR(__xludf.DUMMYFUNCTION("IFERROR(
  LET(
    sd, GOOGLEFINANCE(A253,""close"",TODAY()-100,TODAY()),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"""")"),1.12)</f>
        <v>1.12</v>
      </c>
      <c r="V253" s="53" t="str">
        <f t="shared" si="12"/>
        <v>MEDIUM</v>
      </c>
      <c r="W253" s="53">
        <f>IFERROR(__xludf.DUMMYFUNCTION("IFERROR(ROUND((B253/GOOGLEFINANCE(A253,""high52"")-1)*100,1),"""")"),-14.5)</f>
        <v>-14.5</v>
      </c>
      <c r="X253" s="53">
        <f>IFERROR(__xludf.DUMMYFUNCTION("IFERROR(ROUND((B253-GOOGLEFINANCE(A253,""low52""))/(GOOGLEFINANCE(A253,""high52"")-GOOGLEFINANCE(A253,""low52""))*100,1),"""")"),72.7)</f>
        <v>72.7</v>
      </c>
      <c r="Y253" s="53" t="str">
        <f t="shared" si="13"/>
        <v>UPPER</v>
      </c>
      <c r="Z253" s="53">
        <f>IFERROR(__xludf.DUMMYFUNCTION("IFERROR(ROUND(((B253 / INDEX(GOOGLEFINANCE(TRIM(A253), ""price"", TODAY()-34, TODAY()), 2, 2)) - (GOOGLEFINANCE(""NIFTY_50"") / INDEX(GOOGLEFINANCE(""NIFTY_50"", ""price"", TODAY()-34, TODAY()), 2, 2))) * 100, 2), ""Check History"")"),6.91)</f>
        <v>6.91</v>
      </c>
      <c r="AA253" s="53" t="str">
        <f t="shared" si="14"/>
        <v>STRONG RS</v>
      </c>
      <c r="AB253" s="53">
        <f>IFERROR(__xludf.DUMMYFUNCTION("IFERROR(LET(
  p, QUERY(GOOGLEFINANCE(TRIM(A253),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Loading"")"),41.6)</f>
        <v>41.6</v>
      </c>
      <c r="AC253" s="53" t="str">
        <f t="shared" si="15"/>
        <v>WEAK MOM</v>
      </c>
      <c r="AD253" s="53" t="str">
        <f>IFERROR(__xludf.DUMMYFUNCTION("IFERROR(IF(GOOGLEFINANCE(A253,""eps"")&gt;0,""EPS+"",""EPS-""),"""")"),"EPS+")</f>
        <v>EPS+</v>
      </c>
      <c r="AE253" s="53">
        <f t="shared" si="16"/>
        <v>8</v>
      </c>
      <c r="AF253" s="53">
        <f>IFERROR(__xludf.DUMMYFUNCTION("IFERROR(N253+IF(S253&gt;=1.2,1,0)+IF(U253&gt;=1,1,0)+IF(Z253&gt;0,1,0)+IF(AND(W253&gt;=-20,W253&lt;=0),1,0)+IF(IFERROR(GOOGLEFINANCE(A253,""eps""),0)&gt;0,1,0),"""")"),9.0)</f>
        <v>9</v>
      </c>
      <c r="AG253" s="53" t="str">
        <f t="shared" si="17"/>
        <v>WAIT</v>
      </c>
    </row>
    <row r="254" ht="15.0" customHeight="1">
      <c r="A254" s="43" t="s">
        <v>421</v>
      </c>
      <c r="B254" s="44">
        <f>IFERROR(__xludf.DUMMYFUNCTION("GOOGLEFINANCE(A254,""price"")"),386.95)</f>
        <v>386.95</v>
      </c>
      <c r="C254" s="45">
        <f>IFERROR(__xludf.DUMMYFUNCTION("AVERAGE(QUERY(SORT(GOOGLEFINANCE(A254,""price"",TODAY()-150,TODAY()),1,0),""select Col2 limit 50""))"),370.41700000000003)</f>
        <v>370.417</v>
      </c>
      <c r="D254" s="45">
        <f>IFERROR(__xludf.DUMMYFUNCTION("AVERAGE(QUERY(SORT(GOOGLEFINANCE(A254,""price"",TODAY()-300,TODAY()),1,0),""select Col2 limit 100""))"),325.95239999999995)</f>
        <v>325.9524</v>
      </c>
      <c r="E254" s="45">
        <f>IFERROR(__xludf.DUMMYFUNCTION("AVERAGE(QUERY(SORT(GOOGLEFINANCE(A254,""price"",TODAY()-500,TODAY()),1,0),""select Col2 limit 200""))"),263.7700000000001)</f>
        <v>263.77</v>
      </c>
      <c r="F254" s="46" t="str">
        <f t="shared" si="1"/>
        <v>In Bull Run</v>
      </c>
      <c r="G254" s="47">
        <f t="shared" si="2"/>
        <v>46.69977632</v>
      </c>
      <c r="H254" s="48" t="str">
        <f t="shared" si="3"/>
        <v>Golden ✓</v>
      </c>
      <c r="I254" s="48">
        <f t="shared" si="4"/>
        <v>3</v>
      </c>
      <c r="J254" s="48">
        <f t="shared" si="5"/>
        <v>0</v>
      </c>
      <c r="K254" s="49" t="str">
        <f>IFERROR(__xludf.DUMMYFUNCTION("IFERROR(IF(A254="""",""ENTER STOCK"",LET(stock,A254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54" s="48">
        <f t="shared" si="6"/>
        <v>0</v>
      </c>
      <c r="M254" s="48">
        <f t="shared" si="7"/>
        <v>1</v>
      </c>
      <c r="N254" s="50">
        <f t="shared" si="8"/>
        <v>4</v>
      </c>
      <c r="O254" s="51" t="s">
        <v>414</v>
      </c>
      <c r="P254" s="46" t="str">
        <f t="shared" si="9"/>
        <v>SKIP</v>
      </c>
      <c r="Q254" s="52"/>
      <c r="R254" s="53">
        <f t="shared" si="10"/>
        <v>15</v>
      </c>
      <c r="S254" s="53">
        <f>IFERROR(__xludf.DUMMYFUNCTION("IFERROR(ROUND(GOOGLEFINANCE(A254,""volume"")/GOOGLEFINANCE(A254,""volumeavg""),2),"""")"),2.32)</f>
        <v>2.32</v>
      </c>
      <c r="T254" s="53" t="str">
        <f t="shared" si="11"/>
        <v>HIGH VOL</v>
      </c>
      <c r="U254" s="53">
        <f>IFERROR(__xludf.DUMMYFUNCTION("IFERROR(
  LET(
    sd, GOOGLEFINANCE(A254,""close"",TODAY()-100,TODAY()),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"""")"),0.87)</f>
        <v>0.87</v>
      </c>
      <c r="V254" s="53" t="str">
        <f t="shared" si="12"/>
        <v>SLOW</v>
      </c>
      <c r="W254" s="53">
        <f>IFERROR(__xludf.DUMMYFUNCTION("IFERROR(ROUND((B254/GOOGLEFINANCE(A254,""high52"")-1)*100,1),"""")"),-10.3)</f>
        <v>-10.3</v>
      </c>
      <c r="X254" s="53">
        <f>IFERROR(__xludf.DUMMYFUNCTION("IFERROR(ROUND((B254-GOOGLEFINANCE(A254,""low52""))/(GOOGLEFINANCE(A254,""high52"")-GOOGLEFINANCE(A254,""low52""))*100,1),"""")"),84.8)</f>
        <v>84.8</v>
      </c>
      <c r="Y254" s="53" t="str">
        <f t="shared" si="13"/>
        <v>UPPER</v>
      </c>
      <c r="Z254" s="53">
        <f>IFERROR(__xludf.DUMMYFUNCTION("IFERROR(ROUND(((B254 / INDEX(GOOGLEFINANCE(TRIM(A254), ""price"", TODAY()-34, TODAY()), 2, 2)) - (GOOGLEFINANCE(""NIFTY_50"") / INDEX(GOOGLEFINANCE(""NIFTY_50"", ""price"", TODAY()-34, TODAY()), 2, 2))) * 100, 2), ""Check History"")"),24.98)</f>
        <v>24.98</v>
      </c>
      <c r="AA254" s="53" t="str">
        <f t="shared" si="14"/>
        <v>STRONG RS</v>
      </c>
      <c r="AB254" s="53">
        <f>IFERROR(__xludf.DUMMYFUNCTION("IFERROR(LET(
  p, QUERY(GOOGLEFINANCE(TRIM(A254),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Loading"")"),42.3)</f>
        <v>42.3</v>
      </c>
      <c r="AC254" s="53" t="str">
        <f t="shared" si="15"/>
        <v>WEAK MOM</v>
      </c>
      <c r="AD254" s="53" t="str">
        <f>IFERROR(__xludf.DUMMYFUNCTION("IFERROR(IF(GOOGLEFINANCE(A254,""eps"")&gt;0,""EPS+"",""EPS-""),"""")"),"EPS+")</f>
        <v>EPS+</v>
      </c>
      <c r="AE254" s="53">
        <f t="shared" si="16"/>
        <v>8</v>
      </c>
      <c r="AF254" s="53">
        <f>IFERROR(__xludf.DUMMYFUNCTION("IFERROR(N254+IF(S254&gt;=1.2,1,0)+IF(U254&gt;=1,1,0)+IF(Z254&gt;0,1,0)+IF(AND(W254&gt;=-20,W254&lt;=0),1,0)+IF(IFERROR(GOOGLEFINANCE(A254,""eps""),0)&gt;0,1,0),"""")"),8.0)</f>
        <v>8</v>
      </c>
      <c r="AG254" s="53" t="str">
        <f t="shared" si="17"/>
        <v>BUY</v>
      </c>
    </row>
    <row r="255" ht="15.75" customHeight="1">
      <c r="A255" s="55" t="s">
        <v>422</v>
      </c>
      <c r="B255" s="44">
        <f>IFERROR(__xludf.DUMMYFUNCTION("GOOGLEFINANCE(A255,""price"")"),3038.3)</f>
        <v>3038.3</v>
      </c>
      <c r="C255" s="45">
        <f>IFERROR(__xludf.DUMMYFUNCTION("AVERAGE(QUERY(SORT(GOOGLEFINANCE(A255,""price"",TODAY()-150,TODAY()),1,0),""select Col2 limit 50""))"),2905.6360000000004)</f>
        <v>2905.636</v>
      </c>
      <c r="D255" s="45">
        <f>IFERROR(__xludf.DUMMYFUNCTION("AVERAGE(QUERY(SORT(GOOGLEFINANCE(A255,""price"",TODAY()-300,TODAY()),1,0),""select Col2 limit 100""))"),2829.7430000000004)</f>
        <v>2829.743</v>
      </c>
      <c r="E255" s="45">
        <f>IFERROR(__xludf.DUMMYFUNCTION("AVERAGE(QUERY(SORT(GOOGLEFINANCE(A255,""price"",TODAY()-500,TODAY()),1,0),""select Col2 limit 200""))"),2787.3325000000013)</f>
        <v>2787.3325</v>
      </c>
      <c r="F255" s="46" t="str">
        <f t="shared" si="1"/>
        <v>In Bull Run</v>
      </c>
      <c r="G255" s="47">
        <f t="shared" si="2"/>
        <v>9.003859425</v>
      </c>
      <c r="H255" s="48" t="str">
        <f t="shared" si="3"/>
        <v>Golden ✓</v>
      </c>
      <c r="I255" s="48">
        <f t="shared" si="4"/>
        <v>3</v>
      </c>
      <c r="J255" s="48">
        <f t="shared" si="5"/>
        <v>4</v>
      </c>
      <c r="K255" s="49" t="str">
        <f>IFERROR(__xludf.DUMMYFUNCTION("IFERROR(IF(A255="""",""ENTER STOCK"",LET(stock,A255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55" s="48">
        <f t="shared" si="6"/>
        <v>0</v>
      </c>
      <c r="M255" s="48">
        <f t="shared" si="7"/>
        <v>1</v>
      </c>
      <c r="N255" s="50">
        <f t="shared" si="8"/>
        <v>8</v>
      </c>
      <c r="P255" s="46" t="str">
        <f t="shared" si="9"/>
        <v>PRIME BUY</v>
      </c>
      <c r="Q255" s="52"/>
      <c r="R255" s="53">
        <f t="shared" si="10"/>
        <v>15</v>
      </c>
      <c r="S255" s="53">
        <f>IFERROR(__xludf.DUMMYFUNCTION("IFERROR(ROUND(GOOGLEFINANCE(A255,""volume"")/GOOGLEFINANCE(A255,""volumeavg""),2),"""")"),0.82)</f>
        <v>0.82</v>
      </c>
      <c r="T255" s="53" t="str">
        <f t="shared" si="11"/>
        <v>LOW VOL</v>
      </c>
      <c r="U255" s="53">
        <f>IFERROR(__xludf.DUMMYFUNCTION("IFERROR(
  LET(
    sd, GOOGLEFINANCE(A255,""close"",TODAY()-100,TODAY()),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"""")"),0.91)</f>
        <v>0.91</v>
      </c>
      <c r="V255" s="53" t="str">
        <f t="shared" si="12"/>
        <v>MEDIUM</v>
      </c>
      <c r="W255" s="53">
        <f>IFERROR(__xludf.DUMMYFUNCTION("IFERROR(ROUND((B255/GOOGLEFINANCE(A255,""high52"")-1)*100,1),"""")"),-15.8)</f>
        <v>-15.8</v>
      </c>
      <c r="X255" s="53">
        <f>IFERROR(__xludf.DUMMYFUNCTION("IFERROR(ROUND((B255-GOOGLEFINANCE(A255,""low52""))/(GOOGLEFINANCE(A255,""high52"")-GOOGLEFINANCE(A255,""low52""))*100,1),"""")"),74.2)</f>
        <v>74.2</v>
      </c>
      <c r="Y255" s="53" t="str">
        <f t="shared" si="13"/>
        <v>UPPER</v>
      </c>
      <c r="Z255" s="53">
        <f>IFERROR(__xludf.DUMMYFUNCTION("IFERROR(ROUND(((B255 / INDEX(GOOGLEFINANCE(TRIM(A255), ""price"", TODAY()-34, TODAY()), 2, 2)) - (GOOGLEFINANCE(""NIFTY_50"") / INDEX(GOOGLEFINANCE(""NIFTY_50"", ""price"", TODAY()-34, TODAY()), 2, 2))) * 100, 2), ""Check History"")"),10.25)</f>
        <v>10.25</v>
      </c>
      <c r="AA255" s="53" t="str">
        <f t="shared" si="14"/>
        <v>STRONG RS</v>
      </c>
      <c r="AB255" s="53">
        <f>IFERROR(__xludf.DUMMYFUNCTION("IFERROR(LET(
  p, QUERY(GOOGLEFINANCE(TRIM(A255),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Loading"")"),62.2)</f>
        <v>62.2</v>
      </c>
      <c r="AC255" s="53" t="str">
        <f t="shared" si="15"/>
        <v>IDEAL ENTRY</v>
      </c>
      <c r="AD255" s="53" t="str">
        <f>IFERROR(__xludf.DUMMYFUNCTION("IFERROR(IF(GOOGLEFINANCE(A255,""eps"")&gt;0,""EPS+"",""EPS-""),"""")"),"EPS+")</f>
        <v>EPS+</v>
      </c>
      <c r="AE255" s="53">
        <f t="shared" si="16"/>
        <v>5</v>
      </c>
      <c r="AF255" s="53">
        <f>IFERROR(__xludf.DUMMYFUNCTION("IFERROR(N255+IF(S255&gt;=1.2,1,0)+IF(U255&gt;=1,1,0)+IF(Z255&gt;0,1,0)+IF(AND(W255&gt;=-20,W255&lt;=0),1,0)+IF(IFERROR(GOOGLEFINANCE(A255,""eps""),0)&gt;0,1,0),"""")"),11.0)</f>
        <v>11</v>
      </c>
      <c r="AG255" s="53" t="str">
        <f t="shared" si="17"/>
        <v>PRIME BUY [10-20d]</v>
      </c>
    </row>
    <row r="256" ht="15.75" customHeight="1">
      <c r="A256" s="55" t="s">
        <v>423</v>
      </c>
      <c r="B256" s="44">
        <f>IFERROR(__xludf.DUMMYFUNCTION("GOOGLEFINANCE(A256,""price"")"),1324.2)</f>
        <v>1324.2</v>
      </c>
      <c r="C256" s="45">
        <f>IFERROR(__xludf.DUMMYFUNCTION("AVERAGE(QUERY(SORT(GOOGLEFINANCE(A256,""price"",TODAY()-150,TODAY()),1,0),""select Col2 limit 50""))"),1315.6580000000001)</f>
        <v>1315.658</v>
      </c>
      <c r="D256" s="45">
        <f>IFERROR(__xludf.DUMMYFUNCTION("AVERAGE(QUERY(SORT(GOOGLEFINANCE(A256,""price"",TODAY()-300,TODAY()),1,0),""select Col2 limit 100""))"),1233.9990000000003)</f>
        <v>1233.999</v>
      </c>
      <c r="E256" s="45">
        <f>IFERROR(__xludf.DUMMYFUNCTION("AVERAGE(QUERY(SORT(GOOGLEFINANCE(A256,""price"",TODAY()-500,TODAY()),1,0),""select Col2 limit 200""))"),1068.9002500000006)</f>
        <v>1068.90025</v>
      </c>
      <c r="F256" s="46" t="str">
        <f t="shared" si="1"/>
        <v>In Bull Run</v>
      </c>
      <c r="G256" s="47">
        <f t="shared" si="2"/>
        <v>23.88433813</v>
      </c>
      <c r="H256" s="48" t="str">
        <f t="shared" si="3"/>
        <v>Golden ✓</v>
      </c>
      <c r="I256" s="48">
        <f t="shared" si="4"/>
        <v>3</v>
      </c>
      <c r="J256" s="48">
        <f t="shared" si="5"/>
        <v>0</v>
      </c>
      <c r="K256" s="49" t="str">
        <f>IFERROR(__xludf.DUMMYFUNCTION("IFERROR(IF(A256="""",""ENTER STOCK"",LET(stock,A256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56" s="48">
        <f t="shared" si="6"/>
        <v>0</v>
      </c>
      <c r="M256" s="48">
        <f t="shared" si="7"/>
        <v>1</v>
      </c>
      <c r="N256" s="50">
        <f t="shared" si="8"/>
        <v>4</v>
      </c>
      <c r="P256" s="46" t="str">
        <f t="shared" si="9"/>
        <v>SKIP</v>
      </c>
      <c r="Q256" s="52"/>
      <c r="R256" s="53">
        <f t="shared" si="10"/>
        <v>15</v>
      </c>
      <c r="S256" s="53">
        <f>IFERROR(__xludf.DUMMYFUNCTION("IFERROR(ROUND(GOOGLEFINANCE(A256,""volume"")/GOOGLEFINANCE(A256,""volumeavg""),2),"""")"),0.61)</f>
        <v>0.61</v>
      </c>
      <c r="T256" s="53" t="str">
        <f t="shared" si="11"/>
        <v>LOW VOL</v>
      </c>
      <c r="U256" s="53">
        <f>IFERROR(__xludf.DUMMYFUNCTION("IFERROR(
  LET(
    sd, GOOGLEFINANCE(A256,""close"",TODAY()-100,TODAY()),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"""")"),1.03)</f>
        <v>1.03</v>
      </c>
      <c r="V256" s="53" t="str">
        <f t="shared" si="12"/>
        <v>MEDIUM</v>
      </c>
      <c r="W256" s="53">
        <f>IFERROR(__xludf.DUMMYFUNCTION("IFERROR(ROUND((B256/GOOGLEFINANCE(A256,""high52"")-1)*100,1),"""")"),-13.5)</f>
        <v>-13.5</v>
      </c>
      <c r="X256" s="53">
        <f>IFERROR(__xludf.DUMMYFUNCTION("IFERROR(ROUND((B256-GOOGLEFINANCE(A256,""low52""))/(GOOGLEFINANCE(A256,""high52"")-GOOGLEFINANCE(A256,""low52""))*100,1),"""")"),78.4)</f>
        <v>78.4</v>
      </c>
      <c r="Y256" s="53" t="str">
        <f t="shared" si="13"/>
        <v>UPPER</v>
      </c>
      <c r="Z256" s="53">
        <f>IFERROR(__xludf.DUMMYFUNCTION("IFERROR(ROUND(((B256 / INDEX(GOOGLEFINANCE(TRIM(A256), ""price"", TODAY()-34, TODAY()), 2, 2)) - (GOOGLEFINANCE(""NIFTY_50"") / INDEX(GOOGLEFINANCE(""NIFTY_50"", ""price"", TODAY()-34, TODAY()), 2, 2))) * 100, 2), ""Check History"")"),7.24)</f>
        <v>7.24</v>
      </c>
      <c r="AA256" s="53" t="str">
        <f t="shared" si="14"/>
        <v>STRONG RS</v>
      </c>
      <c r="AB256" s="53">
        <f>IFERROR(__xludf.DUMMYFUNCTION("IFERROR(LET(
  p, QUERY(GOOGLEFINANCE(TRIM(A256),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Loading"")"),49.9)</f>
        <v>49.9</v>
      </c>
      <c r="AC256" s="53" t="str">
        <f t="shared" si="15"/>
        <v>IDEAL ENTRY</v>
      </c>
      <c r="AD256" s="53" t="str">
        <f>IFERROR(__xludf.DUMMYFUNCTION("IFERROR(IF(GOOGLEFINANCE(A256,""eps"")&gt;0,""EPS+"",""EPS-""),"""")"),"EPS+")</f>
        <v>EPS+</v>
      </c>
      <c r="AE256" s="53">
        <f t="shared" si="16"/>
        <v>6</v>
      </c>
      <c r="AF256" s="53">
        <f>IFERROR(__xludf.DUMMYFUNCTION("IFERROR(N256+IF(S256&gt;=1.2,1,0)+IF(U256&gt;=1,1,0)+IF(Z256&gt;0,1,0)+IF(AND(W256&gt;=-20,W256&lt;=0),1,0)+IF(IFERROR(GOOGLEFINANCE(A256,""eps""),0)&gt;0,1,0),"""")"),8.0)</f>
        <v>8</v>
      </c>
      <c r="AG256" s="53" t="str">
        <f t="shared" si="17"/>
        <v>BUY</v>
      </c>
    </row>
    <row r="257" ht="15.75" customHeight="1">
      <c r="A257" s="55" t="s">
        <v>424</v>
      </c>
      <c r="B257" s="44">
        <f>IFERROR(__xludf.DUMMYFUNCTION("GOOGLEFINANCE(A257,""price"")"),176.35)</f>
        <v>176.35</v>
      </c>
      <c r="C257" s="45">
        <f>IFERROR(__xludf.DUMMYFUNCTION("AVERAGE(QUERY(SORT(GOOGLEFINANCE(A257,""price"",TODAY()-150,TODAY()),1,0),""select Col2 limit 50""))"),182.73620000000005)</f>
        <v>182.7362</v>
      </c>
      <c r="D257" s="45">
        <f>IFERROR(__xludf.DUMMYFUNCTION("AVERAGE(QUERY(SORT(GOOGLEFINANCE(A257,""price"",TODAY()-300,TODAY()),1,0),""select Col2 limit 100""))"),170.1165)</f>
        <v>170.1165</v>
      </c>
      <c r="E257" s="45">
        <f>IFERROR(__xludf.DUMMYFUNCTION("AVERAGE(QUERY(SORT(GOOGLEFINANCE(A257,""price"",TODAY()-500,TODAY()),1,0),""select Col2 limit 200""))"),153.54445000000007)</f>
        <v>153.54445</v>
      </c>
      <c r="F257" s="46" t="str">
        <f t="shared" si="1"/>
        <v>Unconfirmed</v>
      </c>
      <c r="G257" s="47">
        <f t="shared" si="2"/>
        <v>14.85273483</v>
      </c>
      <c r="H257" s="48" t="str">
        <f t="shared" si="3"/>
        <v>Golden ✓</v>
      </c>
      <c r="I257" s="48">
        <f t="shared" si="4"/>
        <v>3</v>
      </c>
      <c r="J257" s="48">
        <f t="shared" si="5"/>
        <v>0</v>
      </c>
      <c r="K257" s="49" t="str">
        <f>IFERROR(__xludf.DUMMYFUNCTION("IFERROR(IF(A257="""",""ENTER STOCK"",LET(stock,A257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57" s="48">
        <f t="shared" si="6"/>
        <v>0</v>
      </c>
      <c r="M257" s="48">
        <f t="shared" si="7"/>
        <v>1</v>
      </c>
      <c r="N257" s="50">
        <f t="shared" si="8"/>
        <v>4</v>
      </c>
      <c r="P257" s="46" t="str">
        <f t="shared" si="9"/>
        <v>WAIT</v>
      </c>
      <c r="Q257" s="52"/>
      <c r="R257" s="53">
        <f t="shared" si="10"/>
        <v>15</v>
      </c>
      <c r="S257" s="53">
        <f>IFERROR(__xludf.DUMMYFUNCTION("IFERROR(ROUND(GOOGLEFINANCE(A257,""volume"")/GOOGLEFINANCE(A257,""volumeavg""),2),"""")"),1.12)</f>
        <v>1.12</v>
      </c>
      <c r="T257" s="53" t="str">
        <f t="shared" si="11"/>
        <v>LOW VOL</v>
      </c>
      <c r="U257" s="53">
        <f>IFERROR(__xludf.DUMMYFUNCTION("IFERROR(
  LET(
    sd, GOOGLEFINANCE(A257,""close"",TODAY()-100,TODAY()),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"""")"),1.43)</f>
        <v>1.43</v>
      </c>
      <c r="V257" s="53" t="str">
        <f t="shared" si="12"/>
        <v>FAST</v>
      </c>
      <c r="W257" s="53">
        <f>IFERROR(__xludf.DUMMYFUNCTION("IFERROR(ROUND((B257/GOOGLEFINANCE(A257,""high52"")-1)*100,1),"""")"),-16.9)</f>
        <v>-16.9</v>
      </c>
      <c r="X257" s="53">
        <f>IFERROR(__xludf.DUMMYFUNCTION("IFERROR(ROUND((B257-GOOGLEFINANCE(A257,""low52""))/(GOOGLEFINANCE(A257,""high52"")-GOOGLEFINANCE(A257,""low52""))*100,1),"""")"),61.9)</f>
        <v>61.9</v>
      </c>
      <c r="Y257" s="53" t="str">
        <f t="shared" si="13"/>
        <v>UPPER</v>
      </c>
      <c r="Z257" s="53">
        <f>IFERROR(__xludf.DUMMYFUNCTION("IFERROR(ROUND(((B257 / INDEX(GOOGLEFINANCE(TRIM(A257), ""price"", TODAY()-34, TODAY()), 2, 2)) - (GOOGLEFINANCE(""NIFTY_50"") / INDEX(GOOGLEFINANCE(""NIFTY_50"", ""price"", TODAY()-34, TODAY()), 2, 2))) * 100, 2), ""Check History"")"),1.75)</f>
        <v>1.75</v>
      </c>
      <c r="AA257" s="53" t="str">
        <f t="shared" si="14"/>
        <v>MILD RS</v>
      </c>
      <c r="AB257" s="53">
        <f>IFERROR(__xludf.DUMMYFUNCTION("IFERROR(LET(
  p, QUERY(GOOGLEFINANCE(TRIM(A257),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Loading"")"),52.6)</f>
        <v>52.6</v>
      </c>
      <c r="AC257" s="53" t="str">
        <f t="shared" si="15"/>
        <v>IDEAL ENTRY</v>
      </c>
      <c r="AD257" s="53" t="str">
        <f>IFERROR(__xludf.DUMMYFUNCTION("IFERROR(IF(GOOGLEFINANCE(A257,""eps"")&gt;0,""EPS+"",""EPS-""),"""")"),"EPS+")</f>
        <v>EPS+</v>
      </c>
      <c r="AE257" s="53">
        <f t="shared" si="16"/>
        <v>6</v>
      </c>
      <c r="AF257" s="53">
        <f>IFERROR(__xludf.DUMMYFUNCTION("IFERROR(N257+IF(S257&gt;=1.2,1,0)+IF(U257&gt;=1,1,0)+IF(Z257&gt;0,1,0)+IF(AND(W257&gt;=-20,W257&lt;=0),1,0)+IF(IFERROR(GOOGLEFINANCE(A257,""eps""),0)&gt;0,1,0),"""")"),8.0)</f>
        <v>8</v>
      </c>
      <c r="AG257" s="53" t="str">
        <f t="shared" si="17"/>
        <v>WAIT</v>
      </c>
    </row>
    <row r="258" ht="15.75" customHeight="1">
      <c r="A258" s="55" t="s">
        <v>425</v>
      </c>
      <c r="B258" s="44">
        <f>IFERROR(__xludf.DUMMYFUNCTION("GOOGLEFINANCE(A258,""price"")"),398.65)</f>
        <v>398.65</v>
      </c>
      <c r="C258" s="45">
        <f>IFERROR(__xludf.DUMMYFUNCTION("AVERAGE(QUERY(SORT(GOOGLEFINANCE(A258,""price"",TODAY()-150,TODAY()),1,0),""select Col2 limit 50""))"),417.746)</f>
        <v>417.746</v>
      </c>
      <c r="D258" s="45">
        <f>IFERROR(__xludf.DUMMYFUNCTION("AVERAGE(QUERY(SORT(GOOGLEFINANCE(A258,""price"",TODAY()-300,TODAY()),1,0),""select Col2 limit 100""))"),396.94300000000015)</f>
        <v>396.943</v>
      </c>
      <c r="E258" s="45">
        <f>IFERROR(__xludf.DUMMYFUNCTION("AVERAGE(QUERY(SORT(GOOGLEFINANCE(A258,""price"",TODAY()-500,TODAY()),1,0),""select Col2 limit 200""))"),403.42199999999997)</f>
        <v>403.422</v>
      </c>
      <c r="F258" s="46" t="str">
        <f t="shared" si="1"/>
        <v>Unconfirmed</v>
      </c>
      <c r="G258" s="47">
        <f t="shared" si="2"/>
        <v>-1.182880458</v>
      </c>
      <c r="H258" s="48" t="str">
        <f t="shared" si="3"/>
        <v>Inverted ✗</v>
      </c>
      <c r="I258" s="48">
        <f t="shared" si="4"/>
        <v>0</v>
      </c>
      <c r="J258" s="48">
        <f t="shared" si="5"/>
        <v>0</v>
      </c>
      <c r="K258" s="49" t="str">
        <f>IFERROR(__xludf.DUMMYFUNCTION("IFERROR(IF(A258="""",""ENTER STOCK"",LET(stock,A258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58" s="48">
        <f t="shared" si="6"/>
        <v>0</v>
      </c>
      <c r="M258" s="48">
        <f t="shared" si="7"/>
        <v>1</v>
      </c>
      <c r="N258" s="50">
        <f t="shared" si="8"/>
        <v>1</v>
      </c>
      <c r="P258" s="46" t="str">
        <f t="shared" si="9"/>
        <v>WAIT</v>
      </c>
      <c r="Q258" s="52"/>
      <c r="R258" s="53">
        <f t="shared" si="10"/>
        <v>15</v>
      </c>
      <c r="S258" s="53">
        <f>IFERROR(__xludf.DUMMYFUNCTION("IFERROR(ROUND(GOOGLEFINANCE(A258,""volume"")/GOOGLEFINANCE(A258,""volumeavg""),2),"""")"),1.48)</f>
        <v>1.48</v>
      </c>
      <c r="T258" s="53" t="str">
        <f t="shared" si="11"/>
        <v>OK VOL</v>
      </c>
      <c r="U258" s="53">
        <f>IFERROR(__xludf.DUMMYFUNCTION("IFERROR(
  LET(
    sd, GOOGLEFINANCE(A258,""close"",TODAY()-100,TODAY()),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"""")"),2.01)</f>
        <v>2.01</v>
      </c>
      <c r="V258" s="53" t="str">
        <f t="shared" si="12"/>
        <v>FAST</v>
      </c>
      <c r="W258" s="53">
        <f>IFERROR(__xludf.DUMMYFUNCTION("IFERROR(ROUND((B258/GOOGLEFINANCE(A258,""high52"")-1)*100,1),"""")"),-19.5)</f>
        <v>-19.5</v>
      </c>
      <c r="X258" s="53">
        <f>IFERROR(__xludf.DUMMYFUNCTION("IFERROR(ROUND((B258-GOOGLEFINANCE(A258,""low52""))/(GOOGLEFINANCE(A258,""high52"")-GOOGLEFINANCE(A258,""low52""))*100,1),"""")"),38.6)</f>
        <v>38.6</v>
      </c>
      <c r="Y258" s="53" t="str">
        <f t="shared" si="13"/>
        <v>UPPER</v>
      </c>
      <c r="Z258" s="53">
        <f>IFERROR(__xludf.DUMMYFUNCTION("IFERROR(ROUND(((B258 / INDEX(GOOGLEFINANCE(TRIM(A258), ""price"", TODAY()-34, TODAY()), 2, 2)) - (GOOGLEFINANCE(""NIFTY_50"") / INDEX(GOOGLEFINANCE(""NIFTY_50"", ""price"", TODAY()-34, TODAY()), 2, 2))) * 100, 2), ""Check History"")"),0.79)</f>
        <v>0.79</v>
      </c>
      <c r="AA258" s="53" t="str">
        <f t="shared" si="14"/>
        <v>MILD RS</v>
      </c>
      <c r="AB258" s="53">
        <f>IFERROR(__xludf.DUMMYFUNCTION("IFERROR(LET(
  p, QUERY(GOOGLEFINANCE(TRIM(A258),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Loading"")"),40.3)</f>
        <v>40.3</v>
      </c>
      <c r="AC258" s="53" t="str">
        <f t="shared" si="15"/>
        <v>WEAK MOM</v>
      </c>
      <c r="AD258" s="53" t="str">
        <f>IFERROR(__xludf.DUMMYFUNCTION("IFERROR(IF(GOOGLEFINANCE(A258,""eps"")&gt;0,""EPS+"",""EPS-""),"""")"),"EPS+")</f>
        <v>EPS+</v>
      </c>
      <c r="AE258" s="53">
        <f t="shared" si="16"/>
        <v>6</v>
      </c>
      <c r="AF258" s="53">
        <f>IFERROR(__xludf.DUMMYFUNCTION("IFERROR(N258+IF(S258&gt;=1.2,1,0)+IF(U258&gt;=1,1,0)+IF(Z258&gt;0,1,0)+IF(AND(W258&gt;=-20,W258&lt;=0),1,0)+IF(IFERROR(GOOGLEFINANCE(A258,""eps""),0)&gt;0,1,0),"""")"),6.0)</f>
        <v>6</v>
      </c>
      <c r="AG258" s="53" t="str">
        <f t="shared" si="17"/>
        <v>WAIT</v>
      </c>
    </row>
    <row r="259" ht="15.75" customHeight="1">
      <c r="A259" s="55" t="s">
        <v>426</v>
      </c>
      <c r="B259" s="44">
        <f>IFERROR(__xludf.DUMMYFUNCTION("GOOGLEFINANCE(A259,""price"")"),1075.7)</f>
        <v>1075.7</v>
      </c>
      <c r="C259" s="45">
        <f>IFERROR(__xludf.DUMMYFUNCTION("AVERAGE(QUERY(SORT(GOOGLEFINANCE(A259,""price"",TODAY()-150,TODAY()),1,0),""select Col2 limit 50""))"),1286.7279999999998)</f>
        <v>1286.728</v>
      </c>
      <c r="D259" s="45">
        <f>IFERROR(__xludf.DUMMYFUNCTION("AVERAGE(QUERY(SORT(GOOGLEFINANCE(A259,""price"",TODAY()-300,TODAY()),1,0),""select Col2 limit 100""))"),1415.4129999999998)</f>
        <v>1415.413</v>
      </c>
      <c r="E259" s="45">
        <f>IFERROR(__xludf.DUMMYFUNCTION("AVERAGE(QUERY(SORT(GOOGLEFINANCE(A259,""price"",TODAY()-500,TODAY()),1,0),""select Col2 limit 200""))"),1576.3395000000005)</f>
        <v>1576.3395</v>
      </c>
      <c r="F259" s="46" t="str">
        <f t="shared" si="1"/>
        <v>In Bear Run</v>
      </c>
      <c r="G259" s="47">
        <f t="shared" si="2"/>
        <v>-31.75962412</v>
      </c>
      <c r="H259" s="48" t="str">
        <f t="shared" si="3"/>
        <v>Inverted ✗</v>
      </c>
      <c r="I259" s="48">
        <f t="shared" si="4"/>
        <v>0</v>
      </c>
      <c r="J259" s="48">
        <f t="shared" si="5"/>
        <v>0</v>
      </c>
      <c r="K259" s="49" t="str">
        <f>IFERROR(__xludf.DUMMYFUNCTION("IFERROR(IF(A259="""",""ENTER STOCK"",LET(stock,A259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59" s="48">
        <f t="shared" si="6"/>
        <v>0</v>
      </c>
      <c r="M259" s="48">
        <f t="shared" si="7"/>
        <v>1</v>
      </c>
      <c r="N259" s="50">
        <f t="shared" si="8"/>
        <v>1</v>
      </c>
      <c r="P259" s="46" t="str">
        <f t="shared" si="9"/>
        <v>REVERSE TRADE</v>
      </c>
      <c r="Q259" s="52"/>
      <c r="R259" s="53">
        <f t="shared" si="10"/>
        <v>15</v>
      </c>
      <c r="S259" s="53">
        <f>IFERROR(__xludf.DUMMYFUNCTION("IFERROR(ROUND(GOOGLEFINANCE(A259,""volume"")/GOOGLEFINANCE(A259,""volumeavg""),2),"""")"),1.55)</f>
        <v>1.55</v>
      </c>
      <c r="T259" s="53" t="str">
        <f t="shared" si="11"/>
        <v>HIGH VOL</v>
      </c>
      <c r="U259" s="53">
        <f>IFERROR(__xludf.DUMMYFUNCTION("IFERROR(
  LET(
    sd, GOOGLEFINANCE(A259,""close"",TODAY()-100,TODAY()),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"""")"),0.65)</f>
        <v>0.65</v>
      </c>
      <c r="V259" s="53" t="str">
        <f t="shared" si="12"/>
        <v>SLOW</v>
      </c>
      <c r="W259" s="53">
        <f>IFERROR(__xludf.DUMMYFUNCTION("IFERROR(ROUND((B259/GOOGLEFINANCE(A259,""high52"")-1)*100,1),"""")"),-51.8)</f>
        <v>-51.8</v>
      </c>
      <c r="X259" s="53">
        <f>IFERROR(__xludf.DUMMYFUNCTION("IFERROR(ROUND((B259-GOOGLEFINANCE(A259,""low52""))/(GOOGLEFINANCE(A259,""high52"")-GOOGLEFINANCE(A259,""low52""))*100,1),"""")"),1.3)</f>
        <v>1.3</v>
      </c>
      <c r="Y259" s="53" t="str">
        <f t="shared" si="13"/>
        <v>DEEP RECOVERY</v>
      </c>
      <c r="Z259" s="53">
        <f>IFERROR(__xludf.DUMMYFUNCTION("IFERROR(ROUND(((B259 / INDEX(GOOGLEFINANCE(TRIM(A259), ""price"", TODAY()-34, TODAY()), 2, 2)) - (GOOGLEFINANCE(""NIFTY_50"") / INDEX(GOOGLEFINANCE(""NIFTY_50"", ""price"", TODAY()-34, TODAY()), 2, 2))) * 100, 2), ""Check History"")"),-3.08)</f>
        <v>-3.08</v>
      </c>
      <c r="AA259" s="53" t="str">
        <f t="shared" si="14"/>
        <v>WEAK RS</v>
      </c>
      <c r="AB259" s="53">
        <f>IFERROR(__xludf.DUMMYFUNCTION("IFERROR(LET(
  p, QUERY(GOOGLEFINANCE(TRIM(A259),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Loading"")"),53.6)</f>
        <v>53.6</v>
      </c>
      <c r="AC259" s="53" t="str">
        <f t="shared" si="15"/>
        <v>IDEAL ENTRY</v>
      </c>
      <c r="AD259" s="53" t="str">
        <f>IFERROR(__xludf.DUMMYFUNCTION("IFERROR(IF(GOOGLEFINANCE(A259,""eps"")&gt;0,""EPS+"",""EPS-""),"""")"),"EPS+")</f>
        <v>EPS+</v>
      </c>
      <c r="AE259" s="53">
        <f t="shared" si="16"/>
        <v>4</v>
      </c>
      <c r="AF259" s="53">
        <f>IFERROR(__xludf.DUMMYFUNCTION("IFERROR(N259+IF(S259&gt;=1.2,1,0)+IF(U259&gt;=1,1,0)+IF(Z259&gt;0,1,0)+IF(AND(W259&gt;=-20,W259&lt;=0),1,0)+IF(IFERROR(GOOGLEFINANCE(A259,""eps""),0)&gt;0,1,0),"""")"),3.0)</f>
        <v>3</v>
      </c>
      <c r="AG259" s="53" t="str">
        <f t="shared" si="17"/>
        <v>REVERSE TRADE</v>
      </c>
    </row>
    <row r="260" ht="15.75" customHeight="1">
      <c r="A260" s="55" t="s">
        <v>427</v>
      </c>
      <c r="B260" s="44">
        <f>IFERROR(__xludf.DUMMYFUNCTION("GOOGLEFINANCE(A260,""price"")"),748.5)</f>
        <v>748.5</v>
      </c>
      <c r="C260" s="45">
        <f>IFERROR(__xludf.DUMMYFUNCTION("AVERAGE(QUERY(SORT(GOOGLEFINANCE(A260,""price"",TODAY()-150,TODAY()),1,0),""select Col2 limit 50""))"),855.35)</f>
        <v>855.35</v>
      </c>
      <c r="D260" s="45">
        <f>IFERROR(__xludf.DUMMYFUNCTION("AVERAGE(QUERY(SORT(GOOGLEFINANCE(A260,""price"",TODAY()-300,TODAY()),1,0),""select Col2 limit 100""))"),910.7829999999996)</f>
        <v>910.783</v>
      </c>
      <c r="E260" s="45">
        <f>IFERROR(__xludf.DUMMYFUNCTION("AVERAGE(QUERY(SORT(GOOGLEFINANCE(A260,""price"",TODAY()-500,TODAY()),1,0),""select Col2 limit 200""))"),1013.7719999999998)</f>
        <v>1013.772</v>
      </c>
      <c r="F260" s="46" t="str">
        <f t="shared" si="1"/>
        <v>In Bear Run</v>
      </c>
      <c r="G260" s="47">
        <f t="shared" si="2"/>
        <v>-26.16683041</v>
      </c>
      <c r="H260" s="48" t="str">
        <f t="shared" si="3"/>
        <v>Inverted ✗</v>
      </c>
      <c r="I260" s="48">
        <f t="shared" si="4"/>
        <v>0</v>
      </c>
      <c r="J260" s="48">
        <f t="shared" si="5"/>
        <v>0</v>
      </c>
      <c r="K260" s="49" t="str">
        <f>IFERROR(__xludf.DUMMYFUNCTION("IFERROR(IF(A260="""",""ENTER STOCK"",LET(stock,A260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60" s="48">
        <f t="shared" si="6"/>
        <v>0</v>
      </c>
      <c r="M260" s="48">
        <f t="shared" si="7"/>
        <v>1</v>
      </c>
      <c r="N260" s="50">
        <f t="shared" si="8"/>
        <v>1</v>
      </c>
      <c r="P260" s="46" t="str">
        <f t="shared" si="9"/>
        <v>REVERSE TRADE</v>
      </c>
      <c r="Q260" s="52"/>
      <c r="R260" s="53">
        <f t="shared" si="10"/>
        <v>15</v>
      </c>
      <c r="S260" s="53">
        <f>IFERROR(__xludf.DUMMYFUNCTION("IFERROR(ROUND(GOOGLEFINANCE(A260,""volume"")/GOOGLEFINANCE(A260,""volumeavg""),2),"""")"),2.36)</f>
        <v>2.36</v>
      </c>
      <c r="T260" s="53" t="str">
        <f t="shared" si="11"/>
        <v>HIGH VOL</v>
      </c>
      <c r="U260" s="53">
        <f>IFERROR(__xludf.DUMMYFUNCTION("IFERROR(
  LET(
    sd, GOOGLEFINANCE(A260,""close"",TODAY()-100,TODAY()),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"""")"),0.98)</f>
        <v>0.98</v>
      </c>
      <c r="V260" s="53" t="str">
        <f t="shared" si="12"/>
        <v>MEDIUM</v>
      </c>
      <c r="W260" s="53">
        <f>IFERROR(__xludf.DUMMYFUNCTION("IFERROR(ROUND((B260/GOOGLEFINANCE(A260,""high52"")-1)*100,1),"""")"),-46.1)</f>
        <v>-46.1</v>
      </c>
      <c r="X260" s="53">
        <f>IFERROR(__xludf.DUMMYFUNCTION("IFERROR(ROUND((B260-GOOGLEFINANCE(A260,""low52""))/(GOOGLEFINANCE(A260,""high52"")-GOOGLEFINANCE(A260,""low52""))*100,1),"""")"),0.5)</f>
        <v>0.5</v>
      </c>
      <c r="Y260" s="53" t="str">
        <f t="shared" si="13"/>
        <v>DEEP RECOVERY</v>
      </c>
      <c r="Z260" s="53">
        <f>IFERROR(__xludf.DUMMYFUNCTION("IFERROR(ROUND(((B260 / INDEX(GOOGLEFINANCE(TRIM(A260), ""price"", TODAY()-34, TODAY()), 2, 2)) - (GOOGLEFINANCE(""NIFTY_50"") / INDEX(GOOGLEFINANCE(""NIFTY_50"", ""price"", TODAY()-34, TODAY()), 2, 2))) * 100, 2), ""Check History"")"),-1.36)</f>
        <v>-1.36</v>
      </c>
      <c r="AA260" s="53" t="str">
        <f t="shared" si="14"/>
        <v>WEAK RS</v>
      </c>
      <c r="AB260" s="53">
        <f>IFERROR(__xludf.DUMMYFUNCTION("IFERROR(LET(
  p, QUERY(GOOGLEFINANCE(TRIM(A260),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Loading"")"),37.1)</f>
        <v>37.1</v>
      </c>
      <c r="AC260" s="53" t="str">
        <f t="shared" si="15"/>
        <v>WEAK MOM</v>
      </c>
      <c r="AD260" s="53" t="str">
        <f>IFERROR(__xludf.DUMMYFUNCTION("IFERROR(IF(GOOGLEFINANCE(A260,""eps"")&gt;0,""EPS+"",""EPS-""),"""")"),"EPS+")</f>
        <v>EPS+</v>
      </c>
      <c r="AE260" s="53">
        <f t="shared" si="16"/>
        <v>5</v>
      </c>
      <c r="AF260" s="53">
        <f>IFERROR(__xludf.DUMMYFUNCTION("IFERROR(N260+IF(S260&gt;=1.2,1,0)+IF(U260&gt;=1,1,0)+IF(Z260&gt;0,1,0)+IF(AND(W260&gt;=-20,W260&lt;=0),1,0)+IF(IFERROR(GOOGLEFINANCE(A260,""eps""),0)&gt;0,1,0),"""")"),3.0)</f>
        <v>3</v>
      </c>
      <c r="AG260" s="53" t="str">
        <f t="shared" si="17"/>
        <v>REVERSE TRADE</v>
      </c>
    </row>
    <row r="261" ht="15.75" customHeight="1">
      <c r="A261" s="55" t="s">
        <v>428</v>
      </c>
      <c r="B261" s="44">
        <f>IFERROR(__xludf.DUMMYFUNCTION("GOOGLEFINANCE(A261,""price"")"),53.85)</f>
        <v>53.85</v>
      </c>
      <c r="C261" s="45">
        <f>IFERROR(__xludf.DUMMYFUNCTION("AVERAGE(QUERY(SORT(GOOGLEFINANCE(A261,""price"",TODAY()-150,TODAY()),1,0),""select Col2 limit 50""))"),65.416)</f>
        <v>65.416</v>
      </c>
      <c r="D261" s="45">
        <f>IFERROR(__xludf.DUMMYFUNCTION("AVERAGE(QUERY(SORT(GOOGLEFINANCE(A261,""price"",TODAY()-300,TODAY()),1,0),""select Col2 limit 100""))"),71.33339999999998)</f>
        <v>71.3334</v>
      </c>
      <c r="E261" s="45">
        <f>IFERROR(__xludf.DUMMYFUNCTION("AVERAGE(QUERY(SORT(GOOGLEFINANCE(A261,""price"",TODAY()-500,TODAY()),1,0),""select Col2 limit 200""))"),75.74114999999998)</f>
        <v>75.74115</v>
      </c>
      <c r="F261" s="46" t="str">
        <f t="shared" si="1"/>
        <v>In Bear Run</v>
      </c>
      <c r="G261" s="47">
        <f t="shared" si="2"/>
        <v>-28.90258466</v>
      </c>
      <c r="H261" s="48" t="str">
        <f t="shared" si="3"/>
        <v>Inverted ✗</v>
      </c>
      <c r="I261" s="48">
        <f t="shared" si="4"/>
        <v>0</v>
      </c>
      <c r="J261" s="48">
        <f t="shared" si="5"/>
        <v>0</v>
      </c>
      <c r="K261" s="49" t="str">
        <f>IFERROR(__xludf.DUMMYFUNCTION("IFERROR(IF(A261="""",""ENTER STOCK"",LET(stock,A261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61" s="48">
        <f t="shared" si="6"/>
        <v>0</v>
      </c>
      <c r="M261" s="48">
        <f t="shared" si="7"/>
        <v>1</v>
      </c>
      <c r="N261" s="50">
        <f t="shared" si="8"/>
        <v>1</v>
      </c>
      <c r="P261" s="46" t="str">
        <f t="shared" si="9"/>
        <v>REVERSE TRADE</v>
      </c>
      <c r="Q261" s="52"/>
      <c r="R261" s="53">
        <f t="shared" si="10"/>
        <v>15</v>
      </c>
      <c r="S261" s="53">
        <f>IFERROR(__xludf.DUMMYFUNCTION("IFERROR(ROUND(GOOGLEFINANCE(A261,""volume"")/GOOGLEFINANCE(A261,""volumeavg""),2),"""")"),1.63)</f>
        <v>1.63</v>
      </c>
      <c r="T261" s="53" t="str">
        <f t="shared" si="11"/>
        <v>HIGH VOL</v>
      </c>
      <c r="U261" s="53">
        <f>IFERROR(__xludf.DUMMYFUNCTION("IFERROR(
  LET(
    sd, GOOGLEFINANCE(A261,""close"",TODAY()-100,TODAY()),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"""")"),1.39)</f>
        <v>1.39</v>
      </c>
      <c r="V261" s="53" t="str">
        <f t="shared" si="12"/>
        <v>FAST</v>
      </c>
      <c r="W261" s="53">
        <f>IFERROR(__xludf.DUMMYFUNCTION("IFERROR(ROUND((B261/GOOGLEFINANCE(A261,""high52"")-1)*100,1),"""")"),-45.5)</f>
        <v>-45.5</v>
      </c>
      <c r="X261" s="53">
        <f>IFERROR(__xludf.DUMMYFUNCTION("IFERROR(ROUND((B261-GOOGLEFINANCE(A261,""low52""))/(GOOGLEFINANCE(A261,""high52"")-GOOGLEFINANCE(A261,""low52""))*100,1),"""")"),0.8)</f>
        <v>0.8</v>
      </c>
      <c r="Y261" s="53" t="str">
        <f t="shared" si="13"/>
        <v>DEEP RECOVERY</v>
      </c>
      <c r="Z261" s="53">
        <f>IFERROR(__xludf.DUMMYFUNCTION("IFERROR(ROUND(((B261 / INDEX(GOOGLEFINANCE(TRIM(A261), ""price"", TODAY()-34, TODAY()), 2, 2)) - (GOOGLEFINANCE(""NIFTY_50"") / INDEX(GOOGLEFINANCE(""NIFTY_50"", ""price"", TODAY()-34, TODAY()), 2, 2))) * 100, 2), ""Check History"")"),-9.56)</f>
        <v>-9.56</v>
      </c>
      <c r="AA261" s="53" t="str">
        <f t="shared" si="14"/>
        <v>WEAK RS</v>
      </c>
      <c r="AB261" s="53">
        <f>IFERROR(__xludf.DUMMYFUNCTION("IFERROR(LET(
  p, QUERY(GOOGLEFINANCE(TRIM(A261),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Loading"")"),34.7)</f>
        <v>34.7</v>
      </c>
      <c r="AC261" s="53" t="str">
        <f t="shared" si="15"/>
        <v>WEAK MOM</v>
      </c>
      <c r="AD261" s="53" t="str">
        <f>IFERROR(__xludf.DUMMYFUNCTION("IFERROR(IF(GOOGLEFINANCE(A261,""eps"")&gt;0,""EPS+"",""EPS-""),"""")"),"EPS-")</f>
        <v>EPS-</v>
      </c>
      <c r="AE261" s="53">
        <f t="shared" si="16"/>
        <v>6</v>
      </c>
      <c r="AF261" s="53">
        <f>IFERROR(__xludf.DUMMYFUNCTION("IFERROR(N261+IF(S261&gt;=1.2,1,0)+IF(U261&gt;=1,1,0)+IF(Z261&gt;0,1,0)+IF(AND(W261&gt;=-20,W261&lt;=0),1,0)+IF(IFERROR(GOOGLEFINANCE(A261,""eps""),0)&gt;0,1,0),"""")"),3.0)</f>
        <v>3</v>
      </c>
      <c r="AG261" s="53" t="str">
        <f t="shared" si="17"/>
        <v>REVERSE TRADE</v>
      </c>
    </row>
    <row r="262" ht="15.75" customHeight="1">
      <c r="A262" s="55" t="s">
        <v>429</v>
      </c>
      <c r="B262" s="44">
        <f>IFERROR(__xludf.DUMMYFUNCTION("GOOGLEFINANCE(A262,""price"")"),1115.3)</f>
        <v>1115.3</v>
      </c>
      <c r="C262" s="45">
        <f>IFERROR(__xludf.DUMMYFUNCTION("AVERAGE(QUERY(SORT(GOOGLEFINANCE(A262,""price"",TODAY()-150,TODAY()),1,0),""select Col2 limit 50""))"),1278.9140000000002)</f>
        <v>1278.914</v>
      </c>
      <c r="D262" s="45">
        <f>IFERROR(__xludf.DUMMYFUNCTION("AVERAGE(QUERY(SORT(GOOGLEFINANCE(A262,""price"",TODAY()-300,TODAY()),1,0),""select Col2 limit 100""))"),1498.5820000000008)</f>
        <v>1498.582</v>
      </c>
      <c r="E262" s="45">
        <f>IFERROR(__xludf.DUMMYFUNCTION("AVERAGE(QUERY(SORT(GOOGLEFINANCE(A262,""price"",TODAY()-500,TODAY()),1,0),""select Col2 limit 200""))"),1729.0005000000012)</f>
        <v>1729.0005</v>
      </c>
      <c r="F262" s="46" t="str">
        <f t="shared" si="1"/>
        <v>In Bear Run</v>
      </c>
      <c r="G262" s="47">
        <f t="shared" si="2"/>
        <v>-35.49452415</v>
      </c>
      <c r="H262" s="48" t="str">
        <f t="shared" si="3"/>
        <v>Inverted ✗</v>
      </c>
      <c r="I262" s="48">
        <f t="shared" si="4"/>
        <v>0</v>
      </c>
      <c r="J262" s="48">
        <f t="shared" si="5"/>
        <v>0</v>
      </c>
      <c r="K262" s="49" t="str">
        <f>IFERROR(__xludf.DUMMYFUNCTION("IFERROR(IF(A262="""",""ENTER STOCK"",LET(stock,A262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62" s="48">
        <f t="shared" si="6"/>
        <v>0</v>
      </c>
      <c r="M262" s="48">
        <f t="shared" si="7"/>
        <v>1</v>
      </c>
      <c r="N262" s="50">
        <f t="shared" si="8"/>
        <v>1</v>
      </c>
      <c r="P262" s="46" t="str">
        <f t="shared" si="9"/>
        <v>REVERSE TRADE</v>
      </c>
      <c r="Q262" s="52"/>
      <c r="R262" s="53">
        <f t="shared" si="10"/>
        <v>15</v>
      </c>
      <c r="S262" s="53">
        <f>IFERROR(__xludf.DUMMYFUNCTION("IFERROR(ROUND(GOOGLEFINANCE(A262,""volume"")/GOOGLEFINANCE(A262,""volumeavg""),2),"""")"),1.22)</f>
        <v>1.22</v>
      </c>
      <c r="T262" s="53" t="str">
        <f t="shared" si="11"/>
        <v>OK VOL</v>
      </c>
      <c r="U262" s="53">
        <f>IFERROR(__xludf.DUMMYFUNCTION("IFERROR(
  LET(
    sd, GOOGLEFINANCE(A262,""close"",TODAY()-100,TODAY()),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"""")"),1.37)</f>
        <v>1.37</v>
      </c>
      <c r="V262" s="53" t="str">
        <f t="shared" si="12"/>
        <v>FAST</v>
      </c>
      <c r="W262" s="53">
        <f>IFERROR(__xludf.DUMMYFUNCTION("IFERROR(ROUND((B262/GOOGLEFINANCE(A262,""high52"")-1)*100,1),"""")"),-56.1)</f>
        <v>-56.1</v>
      </c>
      <c r="X262" s="53">
        <f>IFERROR(__xludf.DUMMYFUNCTION("IFERROR(ROUND((B262-GOOGLEFINANCE(A262,""low52""))/(GOOGLEFINANCE(A262,""high52"")-GOOGLEFINANCE(A262,""low52""))*100,1),"""")"),2.4)</f>
        <v>2.4</v>
      </c>
      <c r="Y262" s="53" t="str">
        <f t="shared" si="13"/>
        <v>DEEP RECOVERY</v>
      </c>
      <c r="Z262" s="53">
        <f>IFERROR(__xludf.DUMMYFUNCTION("IFERROR(ROUND(((B262 / INDEX(GOOGLEFINANCE(TRIM(A262), ""price"", TODAY()-34, TODAY()), 2, 2)) - (GOOGLEFINANCE(""NIFTY_50"") / INDEX(GOOGLEFINANCE(""NIFTY_50"", ""price"", TODAY()-34, TODAY()), 2, 2))) * 100, 2), ""Check History"")"),0.14)</f>
        <v>0.14</v>
      </c>
      <c r="AA262" s="53" t="str">
        <f t="shared" si="14"/>
        <v>MILD RS</v>
      </c>
      <c r="AB262" s="53">
        <f>IFERROR(__xludf.DUMMYFUNCTION("IFERROR(LET(
  p, QUERY(GOOGLEFINANCE(TRIM(A262),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Loading"")"),49.8)</f>
        <v>49.8</v>
      </c>
      <c r="AC262" s="53" t="str">
        <f t="shared" si="15"/>
        <v>IDEAL ENTRY</v>
      </c>
      <c r="AD262" s="53" t="str">
        <f>IFERROR(__xludf.DUMMYFUNCTION("IFERROR(IF(GOOGLEFINANCE(A262,""eps"")&gt;0,""EPS+"",""EPS-""),"""")"),"EPS-")</f>
        <v>EPS-</v>
      </c>
      <c r="AE262" s="53">
        <f t="shared" si="16"/>
        <v>6</v>
      </c>
      <c r="AF262" s="53">
        <f>IFERROR(__xludf.DUMMYFUNCTION("IFERROR(N262+IF(S262&gt;=1.2,1,0)+IF(U262&gt;=1,1,0)+IF(Z262&gt;0,1,0)+IF(AND(W262&gt;=-20,W262&lt;=0),1,0)+IF(IFERROR(GOOGLEFINANCE(A262,""eps""),0)&gt;0,1,0),"""")"),4.0)</f>
        <v>4</v>
      </c>
      <c r="AG262" s="53" t="str">
        <f t="shared" si="17"/>
        <v>REVERSE TRADE</v>
      </c>
    </row>
    <row r="263" ht="15.75" customHeight="1">
      <c r="A263" s="55" t="s">
        <v>430</v>
      </c>
      <c r="B263" s="44">
        <f>IFERROR(__xludf.DUMMYFUNCTION("GOOGLEFINANCE(A263,""price"")"),869.15)</f>
        <v>869.15</v>
      </c>
      <c r="C263" s="45">
        <f>IFERROR(__xludf.DUMMYFUNCTION("AVERAGE(QUERY(SORT(GOOGLEFINANCE(A263,""price"",TODAY()-150,TODAY()),1,0),""select Col2 limit 50""))"),872.6059999999998)</f>
        <v>872.606</v>
      </c>
      <c r="D263" s="45">
        <f>IFERROR(__xludf.DUMMYFUNCTION("AVERAGE(QUERY(SORT(GOOGLEFINANCE(A263,""price"",TODAY()-300,TODAY()),1,0),""select Col2 limit 100""))"),819.1154999999994)</f>
        <v>819.1155</v>
      </c>
      <c r="E263" s="45">
        <f>IFERROR(__xludf.DUMMYFUNCTION("AVERAGE(QUERY(SORT(GOOGLEFINANCE(A263,""price"",TODAY()-500,TODAY()),1,0),""select Col2 limit 200""))"),824.1749999999998)</f>
        <v>824.175</v>
      </c>
      <c r="F263" s="46" t="str">
        <f t="shared" si="1"/>
        <v>Unconfirmed</v>
      </c>
      <c r="G263" s="47">
        <f t="shared" si="2"/>
        <v>5.456972124</v>
      </c>
      <c r="H263" s="48" t="str">
        <f t="shared" si="3"/>
        <v>Inverted ✗</v>
      </c>
      <c r="I263" s="48">
        <f t="shared" si="4"/>
        <v>0</v>
      </c>
      <c r="J263" s="48">
        <f t="shared" si="5"/>
        <v>4</v>
      </c>
      <c r="K263" s="49" t="str">
        <f>IFERROR(__xludf.DUMMYFUNCTION("IFERROR(IF(A263="""",""ENTER STOCK"",LET(stock,A263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63" s="48">
        <f t="shared" si="6"/>
        <v>0</v>
      </c>
      <c r="M263" s="48">
        <f t="shared" si="7"/>
        <v>1</v>
      </c>
      <c r="N263" s="50">
        <f t="shared" si="8"/>
        <v>5</v>
      </c>
      <c r="P263" s="46" t="str">
        <f t="shared" si="9"/>
        <v>WAIT</v>
      </c>
      <c r="Q263" s="52"/>
      <c r="R263" s="53">
        <f t="shared" si="10"/>
        <v>15</v>
      </c>
      <c r="S263" s="53">
        <f>IFERROR(__xludf.DUMMYFUNCTION("IFERROR(ROUND(GOOGLEFINANCE(A263,""volume"")/GOOGLEFINANCE(A263,""volumeavg""),2),"""")"),0.43)</f>
        <v>0.43</v>
      </c>
      <c r="T263" s="53" t="str">
        <f t="shared" si="11"/>
        <v>LOW VOL</v>
      </c>
      <c r="U263" s="53">
        <f>IFERROR(__xludf.DUMMYFUNCTION("IFERROR(
  LET(
    sd, GOOGLEFINANCE(A263,""close"",TODAY()-100,TODAY()),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"""")"),1.56)</f>
        <v>1.56</v>
      </c>
      <c r="V263" s="53" t="str">
        <f t="shared" si="12"/>
        <v>FAST</v>
      </c>
      <c r="W263" s="53">
        <f>IFERROR(__xludf.DUMMYFUNCTION("IFERROR(ROUND((B263/GOOGLEFINANCE(A263,""high52"")-1)*100,1),"""")"),-17.0)</f>
        <v>-17</v>
      </c>
      <c r="X263" s="53">
        <f>IFERROR(__xludf.DUMMYFUNCTION("IFERROR(ROUND((B263-GOOGLEFINANCE(A263,""low52""))/(GOOGLEFINANCE(A263,""high52"")-GOOGLEFINANCE(A263,""low52""))*100,1),"""")"),63.8)</f>
        <v>63.8</v>
      </c>
      <c r="Y263" s="53" t="str">
        <f t="shared" si="13"/>
        <v>UPPER</v>
      </c>
      <c r="Z263" s="53">
        <f>IFERROR(__xludf.DUMMYFUNCTION("IFERROR(ROUND(((B263 / INDEX(GOOGLEFINANCE(TRIM(A263), ""price"", TODAY()-34, TODAY()), 2, 2)) - (GOOGLEFINANCE(""NIFTY_50"") / INDEX(GOOGLEFINANCE(""NIFTY_50"", ""price"", TODAY()-34, TODAY()), 2, 2))) * 100, 2), ""Check History"")"),5.91)</f>
        <v>5.91</v>
      </c>
      <c r="AA263" s="53" t="str">
        <f t="shared" si="14"/>
        <v>STRONG RS</v>
      </c>
      <c r="AB263" s="53">
        <f>IFERROR(__xludf.DUMMYFUNCTION("IFERROR(LET(
  p, QUERY(GOOGLEFINANCE(TRIM(A263),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Loading"")"),43.5)</f>
        <v>43.5</v>
      </c>
      <c r="AC263" s="53" t="str">
        <f t="shared" si="15"/>
        <v>WEAK MOM</v>
      </c>
      <c r="AD263" s="53" t="str">
        <f>IFERROR(__xludf.DUMMYFUNCTION("IFERROR(IF(GOOGLEFINANCE(A263,""eps"")&gt;0,""EPS+"",""EPS-""),"""")"),"EPS+")</f>
        <v>EPS+</v>
      </c>
      <c r="AE263" s="53">
        <f t="shared" si="16"/>
        <v>6</v>
      </c>
      <c r="AF263" s="53">
        <f>IFERROR(__xludf.DUMMYFUNCTION("IFERROR(N263+IF(S263&gt;=1.2,1,0)+IF(U263&gt;=1,1,0)+IF(Z263&gt;0,1,0)+IF(AND(W263&gt;=-20,W263&lt;=0),1,0)+IF(IFERROR(GOOGLEFINANCE(A263,""eps""),0)&gt;0,1,0),"""")"),9.0)</f>
        <v>9</v>
      </c>
      <c r="AG263" s="53" t="str">
        <f t="shared" si="17"/>
        <v>WAIT</v>
      </c>
    </row>
    <row r="264" ht="15.75" customHeight="1">
      <c r="A264" s="55" t="s">
        <v>431</v>
      </c>
      <c r="B264" s="44">
        <f>IFERROR(__xludf.DUMMYFUNCTION("GOOGLEFINANCE(A264,""price"")"),595.0)</f>
        <v>595</v>
      </c>
      <c r="C264" s="45">
        <f>IFERROR(__xludf.DUMMYFUNCTION("AVERAGE(QUERY(SORT(GOOGLEFINANCE(A264,""price"",TODAY()-150,TODAY()),1,0),""select Col2 limit 50""))"),669.315)</f>
        <v>669.315</v>
      </c>
      <c r="D264" s="45">
        <f>IFERROR(__xludf.DUMMYFUNCTION("AVERAGE(QUERY(SORT(GOOGLEFINANCE(A264,""price"",TODAY()-300,TODAY()),1,0),""select Col2 limit 100""))"),710.8330000000002)</f>
        <v>710.833</v>
      </c>
      <c r="E264" s="45">
        <f>IFERROR(__xludf.DUMMYFUNCTION("AVERAGE(QUERY(SORT(GOOGLEFINANCE(A264,""price"",TODAY()-500,TODAY()),1,0),""select Col2 limit 200""))"),734.0824999999998)</f>
        <v>734.0825</v>
      </c>
      <c r="F264" s="46" t="str">
        <f t="shared" si="1"/>
        <v>In Bear Run</v>
      </c>
      <c r="G264" s="47">
        <f t="shared" si="2"/>
        <v>-18.94643994</v>
      </c>
      <c r="H264" s="48" t="str">
        <f t="shared" si="3"/>
        <v>Inverted ✗</v>
      </c>
      <c r="I264" s="48">
        <f t="shared" si="4"/>
        <v>0</v>
      </c>
      <c r="J264" s="48">
        <f t="shared" si="5"/>
        <v>0</v>
      </c>
      <c r="K264" s="49" t="str">
        <f>IFERROR(__xludf.DUMMYFUNCTION("IFERROR(IF(A264="""",""ENTER STOCK"",LET(stock,A264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64" s="48">
        <f t="shared" si="6"/>
        <v>0</v>
      </c>
      <c r="M264" s="48">
        <f t="shared" si="7"/>
        <v>1</v>
      </c>
      <c r="N264" s="50">
        <f t="shared" si="8"/>
        <v>1</v>
      </c>
      <c r="P264" s="46" t="str">
        <f t="shared" si="9"/>
        <v>REVERSE TRADE</v>
      </c>
      <c r="Q264" s="52"/>
      <c r="R264" s="53">
        <f t="shared" si="10"/>
        <v>15</v>
      </c>
      <c r="S264" s="53">
        <f>IFERROR(__xludf.DUMMYFUNCTION("IFERROR(ROUND(GOOGLEFINANCE(A264,""volume"")/GOOGLEFINANCE(A264,""volumeavg""),2),"""")"),0.86)</f>
        <v>0.86</v>
      </c>
      <c r="T264" s="53" t="str">
        <f t="shared" si="11"/>
        <v>LOW VOL</v>
      </c>
      <c r="U264" s="53">
        <f>IFERROR(__xludf.DUMMYFUNCTION("IFERROR(
  LET(
    sd, GOOGLEFINANCE(A264,""close"",TODAY()-100,TODAY()),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"""")"),1.07)</f>
        <v>1.07</v>
      </c>
      <c r="V264" s="53" t="str">
        <f t="shared" si="12"/>
        <v>MEDIUM</v>
      </c>
      <c r="W264" s="53">
        <f>IFERROR(__xludf.DUMMYFUNCTION("IFERROR(ROUND((B264/GOOGLEFINANCE(A264,""high52"")-1)*100,1),"""")"),-37.1)</f>
        <v>-37.1</v>
      </c>
      <c r="X264" s="53">
        <f>IFERROR(__xludf.DUMMYFUNCTION("IFERROR(ROUND((B264-GOOGLEFINANCE(A264,""low52""))/(GOOGLEFINANCE(A264,""high52"")-GOOGLEFINANCE(A264,""low52""))*100,1),"""")"),5.1)</f>
        <v>5.1</v>
      </c>
      <c r="Y264" s="53" t="str">
        <f t="shared" si="13"/>
        <v>MID</v>
      </c>
      <c r="Z264" s="53">
        <f>IFERROR(__xludf.DUMMYFUNCTION("IFERROR(ROUND(((B264 / INDEX(GOOGLEFINANCE(TRIM(A264), ""price"", TODAY()-34, TODAY()), 2, 2)) - (GOOGLEFINANCE(""NIFTY_50"") / INDEX(GOOGLEFINANCE(""NIFTY_50"", ""price"", TODAY()-34, TODAY()), 2, 2))) * 100, 2), ""Check History"")"),-2.77)</f>
        <v>-2.77</v>
      </c>
      <c r="AA264" s="53" t="str">
        <f t="shared" si="14"/>
        <v>WEAK RS</v>
      </c>
      <c r="AB264" s="53">
        <f>IFERROR(__xludf.DUMMYFUNCTION("IFERROR(LET(
  p, QUERY(GOOGLEFINANCE(TRIM(A264),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Loading"")"),36.3)</f>
        <v>36.3</v>
      </c>
      <c r="AC264" s="53" t="str">
        <f t="shared" si="15"/>
        <v>WEAK MOM</v>
      </c>
      <c r="AD264" s="53" t="str">
        <f>IFERROR(__xludf.DUMMYFUNCTION("IFERROR(IF(GOOGLEFINANCE(A264,""eps"")&gt;0,""EPS+"",""EPS-""),"""")"),"")</f>
        <v/>
      </c>
      <c r="AE264" s="53">
        <f t="shared" si="16"/>
        <v>2</v>
      </c>
      <c r="AF264" s="53">
        <f>IFERROR(__xludf.DUMMYFUNCTION("IFERROR(N264+IF(S264&gt;=1.2,1,0)+IF(U264&gt;=1,1,0)+IF(Z264&gt;0,1,0)+IF(AND(W264&gt;=-20,W264&lt;=0),1,0)+IF(IFERROR(GOOGLEFINANCE(A264,""eps""),0)&gt;0,1,0),"""")"),2.0)</f>
        <v>2</v>
      </c>
      <c r="AG264" s="53" t="str">
        <f t="shared" si="17"/>
        <v>REVERSE TRADE</v>
      </c>
    </row>
    <row r="265" ht="15.75" customHeight="1">
      <c r="A265" s="55" t="s">
        <v>432</v>
      </c>
      <c r="B265" s="44">
        <f>IFERROR(__xludf.DUMMYFUNCTION("GOOGLEFINANCE(A265,""price"")"),161.0)</f>
        <v>161</v>
      </c>
      <c r="C265" s="45">
        <f>IFERROR(__xludf.DUMMYFUNCTION("AVERAGE(QUERY(SORT(GOOGLEFINANCE(A265,""price"",TODAY()-150,TODAY()),1,0),""select Col2 limit 50""))"),206.98839999999996)</f>
        <v>206.9884</v>
      </c>
      <c r="D265" s="45">
        <f>IFERROR(__xludf.DUMMYFUNCTION("AVERAGE(QUERY(SORT(GOOGLEFINANCE(A265,""price"",TODAY()-300,TODAY()),1,0),""select Col2 limit 100""))"),231.18469999999994)</f>
        <v>231.1847</v>
      </c>
      <c r="E265" s="45">
        <f>IFERROR(__xludf.DUMMYFUNCTION("AVERAGE(QUERY(SORT(GOOGLEFINANCE(A265,""price"",TODAY()-500,TODAY()),1,0),""select Col2 limit 200""))"),243.76975000000024)</f>
        <v>243.76975</v>
      </c>
      <c r="F265" s="46" t="str">
        <f t="shared" si="1"/>
        <v>In Bear Run</v>
      </c>
      <c r="G265" s="47">
        <f t="shared" si="2"/>
        <v>-33.95406936</v>
      </c>
      <c r="H265" s="48" t="str">
        <f t="shared" si="3"/>
        <v>Inverted ✗</v>
      </c>
      <c r="I265" s="48">
        <f t="shared" si="4"/>
        <v>0</v>
      </c>
      <c r="J265" s="48">
        <f t="shared" si="5"/>
        <v>0</v>
      </c>
      <c r="K265" s="49" t="str">
        <f>IFERROR(__xludf.DUMMYFUNCTION("IFERROR(IF(A265="""",""ENTER STOCK"",LET(stock,A265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65" s="48">
        <f t="shared" si="6"/>
        <v>0</v>
      </c>
      <c r="M265" s="48">
        <f t="shared" si="7"/>
        <v>1</v>
      </c>
      <c r="N265" s="50">
        <f t="shared" si="8"/>
        <v>1</v>
      </c>
      <c r="P265" s="46" t="str">
        <f t="shared" si="9"/>
        <v>REVERSE TRADE</v>
      </c>
      <c r="Q265" s="52"/>
      <c r="R265" s="53">
        <f t="shared" si="10"/>
        <v>15</v>
      </c>
      <c r="S265" s="53">
        <f>IFERROR(__xludf.DUMMYFUNCTION("IFERROR(ROUND(GOOGLEFINANCE(A265,""volume"")/GOOGLEFINANCE(A265,""volumeavg""),2),"""")"),0.86)</f>
        <v>0.86</v>
      </c>
      <c r="T265" s="53" t="str">
        <f t="shared" si="11"/>
        <v>LOW VOL</v>
      </c>
      <c r="U265" s="53">
        <f>IFERROR(__xludf.DUMMYFUNCTION("IFERROR(
  LET(
    sd, GOOGLEFINANCE(A265,""close"",TODAY()-100,TODAY()),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"""")"),0.82)</f>
        <v>0.82</v>
      </c>
      <c r="V265" s="53" t="str">
        <f t="shared" si="12"/>
        <v>SLOW</v>
      </c>
      <c r="W265" s="53">
        <f>IFERROR(__xludf.DUMMYFUNCTION("IFERROR(ROUND((B265/GOOGLEFINANCE(A265,""high52"")-1)*100,1),"""")"),-46.7)</f>
        <v>-46.7</v>
      </c>
      <c r="X265" s="53">
        <f>IFERROR(__xludf.DUMMYFUNCTION("IFERROR(ROUND((B265-GOOGLEFINANCE(A265,""low52""))/(GOOGLEFINANCE(A265,""high52"")-GOOGLEFINANCE(A265,""low52""))*100,1),"""")"),2.1)</f>
        <v>2.1</v>
      </c>
      <c r="Y265" s="53" t="str">
        <f t="shared" si="13"/>
        <v>DEEP RECOVERY</v>
      </c>
      <c r="Z265" s="53">
        <f>IFERROR(__xludf.DUMMYFUNCTION("IFERROR(ROUND(((B265 / INDEX(GOOGLEFINANCE(TRIM(A265), ""price"", TODAY()-34, TODAY()), 2, 2)) - (GOOGLEFINANCE(""NIFTY_50"") / INDEX(GOOGLEFINANCE(""NIFTY_50"", ""price"", TODAY()-34, TODAY()), 2, 2))) * 100, 2), ""Check History"")"),-17.16)</f>
        <v>-17.16</v>
      </c>
      <c r="AA265" s="53" t="str">
        <f t="shared" si="14"/>
        <v>WEAK RS</v>
      </c>
      <c r="AB265" s="53">
        <f>IFERROR(__xludf.DUMMYFUNCTION("IFERROR(LET(
  p, QUERY(GOOGLEFINANCE(TRIM(A265),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Loading"")"),29.7)</f>
        <v>29.7</v>
      </c>
      <c r="AC265" s="53" t="str">
        <f t="shared" si="15"/>
        <v>WEAK MOM</v>
      </c>
      <c r="AD265" s="53" t="str">
        <f>IFERROR(__xludf.DUMMYFUNCTION("IFERROR(IF(GOOGLEFINANCE(A265,""eps"")&gt;0,""EPS+"",""EPS-""),"""")"),"EPS+")</f>
        <v>EPS+</v>
      </c>
      <c r="AE265" s="53">
        <f t="shared" si="16"/>
        <v>1</v>
      </c>
      <c r="AF265" s="53">
        <f>IFERROR(__xludf.DUMMYFUNCTION("IFERROR(N265+IF(S265&gt;=1.2,1,0)+IF(U265&gt;=1,1,0)+IF(Z265&gt;0,1,0)+IF(AND(W265&gt;=-20,W265&lt;=0),1,0)+IF(IFERROR(GOOGLEFINANCE(A265,""eps""),0)&gt;0,1,0),"""")"),2.0)</f>
        <v>2</v>
      </c>
      <c r="AG265" s="53" t="str">
        <f t="shared" si="17"/>
        <v>REVERSE TRADE</v>
      </c>
    </row>
    <row r="266" ht="15.75" customHeight="1">
      <c r="A266" s="55" t="s">
        <v>433</v>
      </c>
      <c r="B266" s="44">
        <f>IFERROR(__xludf.DUMMYFUNCTION("GOOGLEFINANCE(A266,""price"")"),1462.0)</f>
        <v>1462</v>
      </c>
      <c r="C266" s="45">
        <f>IFERROR(__xludf.DUMMYFUNCTION("AVERAGE(QUERY(SORT(GOOGLEFINANCE(A266,""price"",TODAY()-150,TODAY()),1,0),""select Col2 limit 50""))"),1491.3619999999999)</f>
        <v>1491.362</v>
      </c>
      <c r="D266" s="45">
        <f>IFERROR(__xludf.DUMMYFUNCTION("AVERAGE(QUERY(SORT(GOOGLEFINANCE(A266,""price"",TODAY()-300,TODAY()),1,0),""select Col2 limit 100""))"),1608.7139999999997)</f>
        <v>1608.714</v>
      </c>
      <c r="E266" s="45">
        <f>IFERROR(__xludf.DUMMYFUNCTION("AVERAGE(QUERY(SORT(GOOGLEFINANCE(A266,""price"",TODAY()-500,TODAY()),1,0),""select Col2 limit 200""))"),1782.2479999999998)</f>
        <v>1782.248</v>
      </c>
      <c r="F266" s="46" t="str">
        <f t="shared" si="1"/>
        <v>In Bear Run</v>
      </c>
      <c r="G266" s="47">
        <f t="shared" si="2"/>
        <v>-17.96876753</v>
      </c>
      <c r="H266" s="48" t="str">
        <f t="shared" si="3"/>
        <v>Inverted ✗</v>
      </c>
      <c r="I266" s="48">
        <f t="shared" si="4"/>
        <v>0</v>
      </c>
      <c r="J266" s="48">
        <f t="shared" si="5"/>
        <v>0</v>
      </c>
      <c r="K266" s="49" t="str">
        <f>IFERROR(__xludf.DUMMYFUNCTION("IFERROR(IF(A266="""",""ENTER STOCK"",LET(stock,A266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66" s="48">
        <f t="shared" si="6"/>
        <v>0</v>
      </c>
      <c r="M266" s="48">
        <f t="shared" si="7"/>
        <v>1</v>
      </c>
      <c r="N266" s="50">
        <f t="shared" si="8"/>
        <v>1</v>
      </c>
      <c r="P266" s="46" t="str">
        <f t="shared" si="9"/>
        <v>REVERSE TRADE</v>
      </c>
      <c r="Q266" s="52"/>
      <c r="R266" s="53">
        <f t="shared" si="10"/>
        <v>15</v>
      </c>
      <c r="S266" s="53">
        <f>IFERROR(__xludf.DUMMYFUNCTION("IFERROR(ROUND(GOOGLEFINANCE(A266,""volume"")/GOOGLEFINANCE(A266,""volumeavg""),2),"""")"),1.67)</f>
        <v>1.67</v>
      </c>
      <c r="T266" s="53" t="str">
        <f t="shared" si="11"/>
        <v>HIGH VOL</v>
      </c>
      <c r="U266" s="53">
        <f>IFERROR(__xludf.DUMMYFUNCTION("IFERROR(
  LET(
    sd, GOOGLEFINANCE(A266,""close"",TODAY()-100,TODAY()),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"""")"),0.49)</f>
        <v>0.49</v>
      </c>
      <c r="V266" s="53" t="str">
        <f t="shared" si="12"/>
        <v>SLOW</v>
      </c>
      <c r="W266" s="53">
        <f>IFERROR(__xludf.DUMMYFUNCTION("IFERROR(ROUND((B266/GOOGLEFINANCE(A266,""high52"")-1)*100,1),"""")"),-33.1)</f>
        <v>-33.1</v>
      </c>
      <c r="X266" s="53">
        <f>IFERROR(__xludf.DUMMYFUNCTION("IFERROR(ROUND((B266-GOOGLEFINANCE(A266,""low52""))/(GOOGLEFINANCE(A266,""high52"")-GOOGLEFINANCE(A266,""low52""))*100,1),"""")"),23.0)</f>
        <v>23</v>
      </c>
      <c r="Y266" s="53" t="str">
        <f t="shared" si="13"/>
        <v>MID</v>
      </c>
      <c r="Z266" s="53">
        <f>IFERROR(__xludf.DUMMYFUNCTION("IFERROR(ROUND(((B266 / INDEX(GOOGLEFINANCE(TRIM(A266), ""price"", TODAY()-34, TODAY()), 2, 2)) - (GOOGLEFINANCE(""NIFTY_50"") / INDEX(GOOGLEFINANCE(""NIFTY_50"", ""price"", TODAY()-34, TODAY()), 2, 2))) * 100, 2), ""Check History"")"),16.71)</f>
        <v>16.71</v>
      </c>
      <c r="AA266" s="53" t="str">
        <f t="shared" si="14"/>
        <v>STRONG RS</v>
      </c>
      <c r="AB266" s="53">
        <f>IFERROR(__xludf.DUMMYFUNCTION("IFERROR(LET(
  p, QUERY(GOOGLEFINANCE(TRIM(A266),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Loading"")"),56.4)</f>
        <v>56.4</v>
      </c>
      <c r="AC266" s="53" t="str">
        <f t="shared" si="15"/>
        <v>IDEAL ENTRY</v>
      </c>
      <c r="AD266" s="53" t="str">
        <f>IFERROR(__xludf.DUMMYFUNCTION("IFERROR(IF(GOOGLEFINANCE(A266,""eps"")&gt;0,""EPS+"",""EPS-""),"""")"),"EPS+")</f>
        <v>EPS+</v>
      </c>
      <c r="AE266" s="53">
        <f t="shared" si="16"/>
        <v>5</v>
      </c>
      <c r="AF266" s="53">
        <f>IFERROR(__xludf.DUMMYFUNCTION("IFERROR(N266+IF(S266&gt;=1.2,1,0)+IF(U266&gt;=1,1,0)+IF(Z266&gt;0,1,0)+IF(AND(W266&gt;=-20,W266&lt;=0),1,0)+IF(IFERROR(GOOGLEFINANCE(A266,""eps""),0)&gt;0,1,0),"""")"),4.0)</f>
        <v>4</v>
      </c>
      <c r="AG266" s="53" t="str">
        <f t="shared" si="17"/>
        <v>REVERSE TRADE</v>
      </c>
    </row>
    <row r="267" ht="15.75" customHeight="1">
      <c r="A267" s="55" t="s">
        <v>434</v>
      </c>
      <c r="B267" s="44">
        <f>IFERROR(__xludf.DUMMYFUNCTION("GOOGLEFINANCE(A267,""price"")"),468.9)</f>
        <v>468.9</v>
      </c>
      <c r="C267" s="45">
        <f>IFERROR(__xludf.DUMMYFUNCTION("AVERAGE(QUERY(SORT(GOOGLEFINANCE(A267,""price"",TODAY()-150,TODAY()),1,0),""select Col2 limit 50""))"),464.4380000000001)</f>
        <v>464.438</v>
      </c>
      <c r="D267" s="45">
        <f>IFERROR(__xludf.DUMMYFUNCTION("AVERAGE(QUERY(SORT(GOOGLEFINANCE(A267,""price"",TODAY()-300,TODAY()),1,0),""select Col2 limit 100""))"),450.23650000000015)</f>
        <v>450.2365</v>
      </c>
      <c r="E267" s="45">
        <f>IFERROR(__xludf.DUMMYFUNCTION("AVERAGE(QUERY(SORT(GOOGLEFINANCE(A267,""price"",TODAY()-500,TODAY()),1,0),""select Col2 limit 200""))"),476.06425)</f>
        <v>476.06425</v>
      </c>
      <c r="F267" s="46" t="str">
        <f t="shared" si="1"/>
        <v>Unconfirmed</v>
      </c>
      <c r="G267" s="47">
        <f t="shared" si="2"/>
        <v>-1.504891409</v>
      </c>
      <c r="H267" s="48" t="str">
        <f t="shared" si="3"/>
        <v>Inverted ✗</v>
      </c>
      <c r="I267" s="48">
        <f t="shared" si="4"/>
        <v>0</v>
      </c>
      <c r="J267" s="48">
        <f t="shared" si="5"/>
        <v>0</v>
      </c>
      <c r="K267" s="49" t="str">
        <f>IFERROR(__xludf.DUMMYFUNCTION("IFERROR(IF(A267="""",""ENTER STOCK"",LET(stock,A267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67" s="48">
        <f t="shared" si="6"/>
        <v>0</v>
      </c>
      <c r="M267" s="48">
        <f t="shared" si="7"/>
        <v>1</v>
      </c>
      <c r="N267" s="50">
        <f t="shared" si="8"/>
        <v>1</v>
      </c>
      <c r="P267" s="46" t="str">
        <f t="shared" si="9"/>
        <v>WAIT</v>
      </c>
      <c r="Q267" s="52"/>
      <c r="R267" s="53">
        <f t="shared" si="10"/>
        <v>15</v>
      </c>
      <c r="S267" s="53">
        <f>IFERROR(__xludf.DUMMYFUNCTION("IFERROR(ROUND(GOOGLEFINANCE(A267,""volume"")/GOOGLEFINANCE(A267,""volumeavg""),2),"""")"),0.59)</f>
        <v>0.59</v>
      </c>
      <c r="T267" s="53" t="str">
        <f t="shared" si="11"/>
        <v>LOW VOL</v>
      </c>
      <c r="U267" s="53">
        <f>IFERROR(__xludf.DUMMYFUNCTION("IFERROR(
  LET(
    sd, GOOGLEFINANCE(A267,""close"",TODAY()-100,TODAY()),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"""")"),1.23)</f>
        <v>1.23</v>
      </c>
      <c r="V267" s="53" t="str">
        <f t="shared" si="12"/>
        <v>FAST</v>
      </c>
      <c r="W267" s="53">
        <f>IFERROR(__xludf.DUMMYFUNCTION("IFERROR(ROUND((B267/GOOGLEFINANCE(A267,""high52"")-1)*100,1),"""")"),-24.7)</f>
        <v>-24.7</v>
      </c>
      <c r="X267" s="53">
        <f>IFERROR(__xludf.DUMMYFUNCTION("IFERROR(ROUND((B267-GOOGLEFINANCE(A267,""low52""))/(GOOGLEFINANCE(A267,""high52"")-GOOGLEFINANCE(A267,""low52""))*100,1),"""")"),29.3)</f>
        <v>29.3</v>
      </c>
      <c r="Y267" s="53" t="str">
        <f t="shared" si="13"/>
        <v>MID</v>
      </c>
      <c r="Z267" s="53">
        <f>IFERROR(__xludf.DUMMYFUNCTION("IFERROR(ROUND(((B267 / INDEX(GOOGLEFINANCE(TRIM(A267), ""price"", TODAY()-34, TODAY()), 2, 2)) - (GOOGLEFINANCE(""NIFTY_50"") / INDEX(GOOGLEFINANCE(""NIFTY_50"", ""price"", TODAY()-34, TODAY()), 2, 2))) * 100, 2), ""Check History"")"),9.11)</f>
        <v>9.11</v>
      </c>
      <c r="AA267" s="53" t="str">
        <f t="shared" si="14"/>
        <v>STRONG RS</v>
      </c>
      <c r="AB267" s="53">
        <f>IFERROR(__xludf.DUMMYFUNCTION("IFERROR(LET(
  p, QUERY(GOOGLEFINANCE(TRIM(A267),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Loading"")"),46.4)</f>
        <v>46.4</v>
      </c>
      <c r="AC267" s="53" t="str">
        <f t="shared" si="15"/>
        <v>IDEAL ENTRY</v>
      </c>
      <c r="AD267" s="53" t="str">
        <f>IFERROR(__xludf.DUMMYFUNCTION("IFERROR(IF(GOOGLEFINANCE(A267,""eps"")&gt;0,""EPS+"",""EPS-""),"""")"),"EPS+")</f>
        <v>EPS+</v>
      </c>
      <c r="AE267" s="53">
        <f t="shared" si="16"/>
        <v>5</v>
      </c>
      <c r="AF267" s="53">
        <f>IFERROR(__xludf.DUMMYFUNCTION("IFERROR(N267+IF(S267&gt;=1.2,1,0)+IF(U267&gt;=1,1,0)+IF(Z267&gt;0,1,0)+IF(AND(W267&gt;=-20,W267&lt;=0),1,0)+IF(IFERROR(GOOGLEFINANCE(A267,""eps""),0)&gt;0,1,0),"""")"),4.0)</f>
        <v>4</v>
      </c>
      <c r="AG267" s="53" t="str">
        <f t="shared" si="17"/>
        <v>WAIT</v>
      </c>
    </row>
    <row r="268" ht="15.75" customHeight="1">
      <c r="A268" s="55" t="s">
        <v>435</v>
      </c>
      <c r="B268" s="44">
        <f>IFERROR(__xludf.DUMMYFUNCTION("GOOGLEFINANCE(A268,""price"")"),2818.5)</f>
        <v>2818.5</v>
      </c>
      <c r="C268" s="45">
        <f>IFERROR(__xludf.DUMMYFUNCTION("AVERAGE(QUERY(SORT(GOOGLEFINANCE(A268,""price"",TODAY()-150,TODAY()),1,0),""select Col2 limit 50""))"),2931.5180000000005)</f>
        <v>2931.518</v>
      </c>
      <c r="D268" s="45">
        <f>IFERROR(__xludf.DUMMYFUNCTION("AVERAGE(QUERY(SORT(GOOGLEFINANCE(A268,""price"",TODAY()-300,TODAY()),1,0),""select Col2 limit 100""))"),3122.2649999999994)</f>
        <v>3122.265</v>
      </c>
      <c r="E268" s="45">
        <f>IFERROR(__xludf.DUMMYFUNCTION("AVERAGE(QUERY(SORT(GOOGLEFINANCE(A268,""price"",TODAY()-500,TODAY()),1,0),""select Col2 limit 200""))"),3277.928499999999)</f>
        <v>3277.9285</v>
      </c>
      <c r="F268" s="46" t="str">
        <f t="shared" si="1"/>
        <v>In Bear Run</v>
      </c>
      <c r="G268" s="47">
        <f t="shared" si="2"/>
        <v>-14.01581822</v>
      </c>
      <c r="H268" s="48" t="str">
        <f t="shared" si="3"/>
        <v>Inverted ✗</v>
      </c>
      <c r="I268" s="48">
        <f t="shared" si="4"/>
        <v>0</v>
      </c>
      <c r="J268" s="48">
        <f t="shared" si="5"/>
        <v>0</v>
      </c>
      <c r="K268" s="49" t="str">
        <f>IFERROR(__xludf.DUMMYFUNCTION("IFERROR(IF(A268="""",""ENTER STOCK"",LET(stock,A268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68" s="48">
        <f t="shared" si="6"/>
        <v>0</v>
      </c>
      <c r="M268" s="48">
        <f t="shared" si="7"/>
        <v>1</v>
      </c>
      <c r="N268" s="50">
        <f t="shared" si="8"/>
        <v>1</v>
      </c>
      <c r="P268" s="46" t="str">
        <f t="shared" si="9"/>
        <v>REVERSE TRADE</v>
      </c>
      <c r="Q268" s="52"/>
      <c r="R268" s="53">
        <f t="shared" si="10"/>
        <v>15</v>
      </c>
      <c r="S268" s="53">
        <f>IFERROR(__xludf.DUMMYFUNCTION("IFERROR(ROUND(GOOGLEFINANCE(A268,""volume"")/GOOGLEFINANCE(A268,""volumeavg""),2),"""")"),1.4)</f>
        <v>1.4</v>
      </c>
      <c r="T268" s="53" t="str">
        <f t="shared" si="11"/>
        <v>OK VOL</v>
      </c>
      <c r="U268" s="53">
        <f>IFERROR(__xludf.DUMMYFUNCTION("IFERROR(
  LET(
    sd, GOOGLEFINANCE(A268,""close"",TODAY()-100,TODAY()),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"""")"),0.84)</f>
        <v>0.84</v>
      </c>
      <c r="V268" s="53" t="str">
        <f t="shared" si="12"/>
        <v>SLOW</v>
      </c>
      <c r="W268" s="53">
        <f>IFERROR(__xludf.DUMMYFUNCTION("IFERROR(ROUND((B268/GOOGLEFINANCE(A268,""high52"")-1)*100,1),"""")"),-28.0)</f>
        <v>-28</v>
      </c>
      <c r="X268" s="53">
        <f>IFERROR(__xludf.DUMMYFUNCTION("IFERROR(ROUND((B268-GOOGLEFINANCE(A268,""low52""))/(GOOGLEFINANCE(A268,""high52"")-GOOGLEFINANCE(A268,""low52""))*100,1),"""")"),12.7)</f>
        <v>12.7</v>
      </c>
      <c r="Y268" s="53" t="str">
        <f t="shared" si="13"/>
        <v>MID</v>
      </c>
      <c r="Z268" s="53">
        <f>IFERROR(__xludf.DUMMYFUNCTION("IFERROR(ROUND(((B268 / INDEX(GOOGLEFINANCE(TRIM(A268), ""price"", TODAY()-34, TODAY()), 2, 2)) - (GOOGLEFINANCE(""NIFTY_50"") / INDEX(GOOGLEFINANCE(""NIFTY_50"", ""price"", TODAY()-34, TODAY()), 2, 2))) * 100, 2), ""Check History"")"),2.57)</f>
        <v>2.57</v>
      </c>
      <c r="AA268" s="53" t="str">
        <f t="shared" si="14"/>
        <v>MILD RS</v>
      </c>
      <c r="AB268" s="53">
        <f>IFERROR(__xludf.DUMMYFUNCTION("IFERROR(LET(
  p, QUERY(GOOGLEFINANCE(TRIM(A268),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Loading"")"),43.7)</f>
        <v>43.7</v>
      </c>
      <c r="AC268" s="53" t="str">
        <f t="shared" si="15"/>
        <v>WEAK MOM</v>
      </c>
      <c r="AD268" s="53" t="str">
        <f>IFERROR(__xludf.DUMMYFUNCTION("IFERROR(IF(GOOGLEFINANCE(A268,""eps"")&gt;0,""EPS+"",""EPS-""),"""")"),"EPS+")</f>
        <v>EPS+</v>
      </c>
      <c r="AE268" s="53">
        <f t="shared" si="16"/>
        <v>4</v>
      </c>
      <c r="AF268" s="53">
        <f>IFERROR(__xludf.DUMMYFUNCTION("IFERROR(N268+IF(S268&gt;=1.2,1,0)+IF(U268&gt;=1,1,0)+IF(Z268&gt;0,1,0)+IF(AND(W268&gt;=-20,W268&lt;=0),1,0)+IF(IFERROR(GOOGLEFINANCE(A268,""eps""),0)&gt;0,1,0),"""")"),4.0)</f>
        <v>4</v>
      </c>
      <c r="AG268" s="53" t="str">
        <f t="shared" si="17"/>
        <v>REVERSE TRADE</v>
      </c>
    </row>
    <row r="269" ht="15.75" customHeight="1">
      <c r="A269" s="55" t="s">
        <v>436</v>
      </c>
      <c r="B269" s="44">
        <f>IFERROR(__xludf.DUMMYFUNCTION("GOOGLEFINANCE(A269,""price"")"),665.0)</f>
        <v>665</v>
      </c>
      <c r="C269" s="45">
        <f>IFERROR(__xludf.DUMMYFUNCTION("AVERAGE(QUERY(SORT(GOOGLEFINANCE(A269,""price"",TODAY()-150,TODAY()),1,0),""select Col2 limit 50""))"),739.7930000000001)</f>
        <v>739.793</v>
      </c>
      <c r="D269" s="45">
        <f>IFERROR(__xludf.DUMMYFUNCTION("AVERAGE(QUERY(SORT(GOOGLEFINANCE(A269,""price"",TODAY()-300,TODAY()),1,0),""select Col2 limit 100""))"),809.1234999999998)</f>
        <v>809.1235</v>
      </c>
      <c r="E269" s="45">
        <f>IFERROR(__xludf.DUMMYFUNCTION("AVERAGE(QUERY(SORT(GOOGLEFINANCE(A269,""price"",TODAY()-500,TODAY()),1,0),""select Col2 limit 200""))"),884.66)</f>
        <v>884.66</v>
      </c>
      <c r="F269" s="46" t="str">
        <f t="shared" si="1"/>
        <v>In Bear Run</v>
      </c>
      <c r="G269" s="47">
        <f t="shared" si="2"/>
        <v>-24.82987815</v>
      </c>
      <c r="H269" s="48" t="str">
        <f t="shared" si="3"/>
        <v>Inverted ✗</v>
      </c>
      <c r="I269" s="48">
        <f t="shared" si="4"/>
        <v>0</v>
      </c>
      <c r="J269" s="48">
        <f t="shared" si="5"/>
        <v>0</v>
      </c>
      <c r="K269" s="49" t="str">
        <f>IFERROR(__xludf.DUMMYFUNCTION("IFERROR(IF(A269="""",""ENTER STOCK"",LET(stock,A269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69" s="48">
        <f t="shared" si="6"/>
        <v>0</v>
      </c>
      <c r="M269" s="48">
        <f t="shared" si="7"/>
        <v>1</v>
      </c>
      <c r="N269" s="50">
        <f t="shared" si="8"/>
        <v>1</v>
      </c>
      <c r="P269" s="46" t="str">
        <f t="shared" si="9"/>
        <v>REVERSE TRADE</v>
      </c>
      <c r="Q269" s="52"/>
      <c r="R269" s="53">
        <f t="shared" si="10"/>
        <v>15</v>
      </c>
      <c r="S269" s="53">
        <f>IFERROR(__xludf.DUMMYFUNCTION("IFERROR(ROUND(GOOGLEFINANCE(A269,""volume"")/GOOGLEFINANCE(A269,""volumeavg""),2),"""")"),0.88)</f>
        <v>0.88</v>
      </c>
      <c r="T269" s="53" t="str">
        <f t="shared" si="11"/>
        <v>LOW VOL</v>
      </c>
      <c r="U269" s="53">
        <f>IFERROR(__xludf.DUMMYFUNCTION("IFERROR(
  LET(
    sd, GOOGLEFINANCE(A269,""close"",TODAY()-100,TODAY()),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"""")"),0.99)</f>
        <v>0.99</v>
      </c>
      <c r="V269" s="53" t="str">
        <f t="shared" si="12"/>
        <v>MEDIUM</v>
      </c>
      <c r="W269" s="53">
        <f>IFERROR(__xludf.DUMMYFUNCTION("IFERROR(ROUND((B269/GOOGLEFINANCE(A269,""high52"")-1)*100,1),"""")"),-40.0)</f>
        <v>-40</v>
      </c>
      <c r="X269" s="53">
        <f>IFERROR(__xludf.DUMMYFUNCTION("IFERROR(ROUND((B269-GOOGLEFINANCE(A269,""low52""))/(GOOGLEFINANCE(A269,""high52"")-GOOGLEFINANCE(A269,""low52""))*100,1),"""")"),6.2)</f>
        <v>6.2</v>
      </c>
      <c r="Y269" s="53" t="str">
        <f t="shared" si="13"/>
        <v>MID</v>
      </c>
      <c r="Z269" s="53">
        <f>IFERROR(__xludf.DUMMYFUNCTION("IFERROR(ROUND(((B269 / INDEX(GOOGLEFINANCE(TRIM(A269), ""price"", TODAY()-34, TODAY()), 2, 2)) - (GOOGLEFINANCE(""NIFTY_50"") / INDEX(GOOGLEFINANCE(""NIFTY_50"", ""price"", TODAY()-34, TODAY()), 2, 2))) * 100, 2), ""Check History"")"),0.73)</f>
        <v>0.73</v>
      </c>
      <c r="AA269" s="53" t="str">
        <f t="shared" si="14"/>
        <v>MILD RS</v>
      </c>
      <c r="AB269" s="53">
        <f>IFERROR(__xludf.DUMMYFUNCTION("IFERROR(LET(
  p, QUERY(GOOGLEFINANCE(TRIM(A269),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Loading"")"),54.3)</f>
        <v>54.3</v>
      </c>
      <c r="AC269" s="53" t="str">
        <f t="shared" si="15"/>
        <v>IDEAL ENTRY</v>
      </c>
      <c r="AD269" s="53" t="str">
        <f>IFERROR(__xludf.DUMMYFUNCTION("IFERROR(IF(GOOGLEFINANCE(A269,""eps"")&gt;0,""EPS+"",""EPS-""),"""")"),"EPS+")</f>
        <v>EPS+</v>
      </c>
      <c r="AE269" s="53">
        <f t="shared" si="16"/>
        <v>3</v>
      </c>
      <c r="AF269" s="53">
        <f>IFERROR(__xludf.DUMMYFUNCTION("IFERROR(N269+IF(S269&gt;=1.2,1,0)+IF(U269&gt;=1,1,0)+IF(Z269&gt;0,1,0)+IF(AND(W269&gt;=-20,W269&lt;=0),1,0)+IF(IFERROR(GOOGLEFINANCE(A269,""eps""),0)&gt;0,1,0),"""")"),3.0)</f>
        <v>3</v>
      </c>
      <c r="AG269" s="53" t="str">
        <f t="shared" si="17"/>
        <v>REVERSE TRADE</v>
      </c>
    </row>
    <row r="270" ht="15.75" customHeight="1">
      <c r="A270" s="55" t="s">
        <v>437</v>
      </c>
      <c r="B270" s="44">
        <f>IFERROR(__xludf.DUMMYFUNCTION("GOOGLEFINANCE(A270,""price"")"),1225.0)</f>
        <v>1225</v>
      </c>
      <c r="C270" s="45">
        <f>IFERROR(__xludf.DUMMYFUNCTION("AVERAGE(QUERY(SORT(GOOGLEFINANCE(A270,""price"",TODAY()-150,TODAY()),1,0),""select Col2 limit 50""))"),1466.648)</f>
        <v>1466.648</v>
      </c>
      <c r="D270" s="45">
        <f>IFERROR(__xludf.DUMMYFUNCTION("AVERAGE(QUERY(SORT(GOOGLEFINANCE(A270,""price"",TODAY()-300,TODAY()),1,0),""select Col2 limit 100""))"),1565.42)</f>
        <v>1565.42</v>
      </c>
      <c r="E270" s="45">
        <f>IFERROR(__xludf.DUMMYFUNCTION("AVERAGE(QUERY(SORT(GOOGLEFINANCE(A270,""price"",TODAY()-500,TODAY()),1,0),""select Col2 limit 200""))"),1826.2619999999993)</f>
        <v>1826.262</v>
      </c>
      <c r="F270" s="46" t="str">
        <f t="shared" si="1"/>
        <v>In Bear Run</v>
      </c>
      <c r="G270" s="47">
        <f t="shared" si="2"/>
        <v>-32.92309647</v>
      </c>
      <c r="H270" s="48" t="str">
        <f t="shared" si="3"/>
        <v>Inverted ✗</v>
      </c>
      <c r="I270" s="48">
        <f t="shared" si="4"/>
        <v>0</v>
      </c>
      <c r="J270" s="48">
        <f t="shared" si="5"/>
        <v>0</v>
      </c>
      <c r="K270" s="49" t="str">
        <f>IFERROR(__xludf.DUMMYFUNCTION("IFERROR(IF(A270="""",""ENTER STOCK"",LET(stock,A270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70" s="48">
        <f t="shared" si="6"/>
        <v>0</v>
      </c>
      <c r="M270" s="48">
        <f t="shared" si="7"/>
        <v>1</v>
      </c>
      <c r="N270" s="50">
        <f t="shared" si="8"/>
        <v>1</v>
      </c>
      <c r="P270" s="46" t="str">
        <f t="shared" si="9"/>
        <v>REVERSE TRADE</v>
      </c>
      <c r="Q270" s="52"/>
      <c r="R270" s="53">
        <f t="shared" si="10"/>
        <v>15</v>
      </c>
      <c r="S270" s="53">
        <f>IFERROR(__xludf.DUMMYFUNCTION("IFERROR(ROUND(GOOGLEFINANCE(A270,""volume"")/GOOGLEFINANCE(A270,""volumeavg""),2),"""")"),1.11)</f>
        <v>1.11</v>
      </c>
      <c r="T270" s="53" t="str">
        <f t="shared" si="11"/>
        <v>LOW VOL</v>
      </c>
      <c r="U270" s="53">
        <f>IFERROR(__xludf.DUMMYFUNCTION("IFERROR(
  LET(
    sd, GOOGLEFINANCE(A270,""close"",TODAY()-100,TODAY()),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"""")"),1.57)</f>
        <v>1.57</v>
      </c>
      <c r="V270" s="53" t="str">
        <f t="shared" si="12"/>
        <v>FAST</v>
      </c>
      <c r="W270" s="53">
        <f>IFERROR(__xludf.DUMMYFUNCTION("IFERROR(ROUND((B270/GOOGLEFINANCE(A270,""high52"")-1)*100,1),"""")"),-49.8)</f>
        <v>-49.8</v>
      </c>
      <c r="X270" s="53">
        <f>IFERROR(__xludf.DUMMYFUNCTION("IFERROR(ROUND((B270-GOOGLEFINANCE(A270,""low52""))/(GOOGLEFINANCE(A270,""high52"")-GOOGLEFINANCE(A270,""low52""))*100,1),"""")"),1.1)</f>
        <v>1.1</v>
      </c>
      <c r="Y270" s="53" t="str">
        <f t="shared" si="13"/>
        <v>DEEP RECOVERY</v>
      </c>
      <c r="Z270" s="53">
        <f>IFERROR(__xludf.DUMMYFUNCTION("IFERROR(ROUND(((B270 / INDEX(GOOGLEFINANCE(TRIM(A270), ""price"", TODAY()-34, TODAY()), 2, 2)) - (GOOGLEFINANCE(""NIFTY_50"") / INDEX(GOOGLEFINANCE(""NIFTY_50"", ""price"", TODAY()-34, TODAY()), 2, 2))) * 100, 2), ""Check History"")"),-5.95)</f>
        <v>-5.95</v>
      </c>
      <c r="AA270" s="53" t="str">
        <f t="shared" si="14"/>
        <v>WEAK RS</v>
      </c>
      <c r="AB270" s="53">
        <f>IFERROR(__xludf.DUMMYFUNCTION("IFERROR(LET(
  p, QUERY(GOOGLEFINANCE(TRIM(A270),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Loading"")"),59.0)</f>
        <v>59</v>
      </c>
      <c r="AC270" s="53" t="str">
        <f t="shared" si="15"/>
        <v>IDEAL ENTRY</v>
      </c>
      <c r="AD270" s="53" t="str">
        <f>IFERROR(__xludf.DUMMYFUNCTION("IFERROR(IF(GOOGLEFINANCE(A270,""eps"")&gt;0,""EPS+"",""EPS-""),"""")"),"EPS+")</f>
        <v>EPS+</v>
      </c>
      <c r="AE270" s="53">
        <f t="shared" si="16"/>
        <v>4</v>
      </c>
      <c r="AF270" s="53">
        <f>IFERROR(__xludf.DUMMYFUNCTION("IFERROR(N270+IF(S270&gt;=1.2,1,0)+IF(U270&gt;=1,1,0)+IF(Z270&gt;0,1,0)+IF(AND(W270&gt;=-20,W270&lt;=0),1,0)+IF(IFERROR(GOOGLEFINANCE(A270,""eps""),0)&gt;0,1,0),"""")"),3.0)</f>
        <v>3</v>
      </c>
      <c r="AG270" s="53" t="str">
        <f t="shared" si="17"/>
        <v>REVERSE TRADE</v>
      </c>
    </row>
    <row r="271" ht="15.75" customHeight="1">
      <c r="A271" s="55" t="s">
        <v>438</v>
      </c>
      <c r="B271" s="44">
        <f>IFERROR(__xludf.DUMMYFUNCTION("GOOGLEFINANCE(A271,""price"")"),11.2)</f>
        <v>11.2</v>
      </c>
      <c r="C271" s="45">
        <f>IFERROR(__xludf.DUMMYFUNCTION("AVERAGE(QUERY(SORT(GOOGLEFINANCE(A271,""price"",TODAY()-150,TODAY()),1,0),""select Col2 limit 50""))"),14.294)</f>
        <v>14.294</v>
      </c>
      <c r="D271" s="45">
        <f>IFERROR(__xludf.DUMMYFUNCTION("AVERAGE(QUERY(SORT(GOOGLEFINANCE(A271,""price"",TODAY()-300,TODAY()),1,0),""select Col2 limit 100""))"),15.394800000000002)</f>
        <v>15.3948</v>
      </c>
      <c r="E271" s="45">
        <f>IFERROR(__xludf.DUMMYFUNCTION("AVERAGE(QUERY(SORT(GOOGLEFINANCE(A271,""price"",TODAY()-500,TODAY()),1,0),""select Col2 limit 200""))"),17.121650000000002)</f>
        <v>17.12165</v>
      </c>
      <c r="F271" s="46" t="str">
        <f t="shared" si="1"/>
        <v>In Bear Run</v>
      </c>
      <c r="G271" s="47">
        <f t="shared" si="2"/>
        <v>-34.58574378</v>
      </c>
      <c r="H271" s="48" t="str">
        <f t="shared" si="3"/>
        <v>Inverted ✗</v>
      </c>
      <c r="I271" s="48">
        <f t="shared" si="4"/>
        <v>0</v>
      </c>
      <c r="J271" s="48">
        <f t="shared" si="5"/>
        <v>0</v>
      </c>
      <c r="K271" s="49" t="str">
        <f>IFERROR(__xludf.DUMMYFUNCTION("IFERROR(IF(A271="""",""ENTER STOCK"",LET(stock,A271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71" s="48">
        <f t="shared" si="6"/>
        <v>0</v>
      </c>
      <c r="M271" s="48">
        <f t="shared" si="7"/>
        <v>1</v>
      </c>
      <c r="N271" s="50">
        <f t="shared" si="8"/>
        <v>1</v>
      </c>
      <c r="P271" s="46" t="str">
        <f t="shared" si="9"/>
        <v>REVERSE TRADE</v>
      </c>
      <c r="Q271" s="52"/>
      <c r="R271" s="53">
        <f t="shared" si="10"/>
        <v>15</v>
      </c>
      <c r="S271" s="53">
        <f>IFERROR(__xludf.DUMMYFUNCTION("IFERROR(ROUND(GOOGLEFINANCE(A271,""volume"")/GOOGLEFINANCE(A271,""volumeavg""),2),"""")"),2.52)</f>
        <v>2.52</v>
      </c>
      <c r="T271" s="53" t="str">
        <f t="shared" si="11"/>
        <v>HIGH VOL</v>
      </c>
      <c r="U271" s="53">
        <f>IFERROR(__xludf.DUMMYFUNCTION("IFERROR(
  LET(
    sd, GOOGLEFINANCE(A271,""close"",TODAY()-100,TODAY()),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"""")"),1.5)</f>
        <v>1.5</v>
      </c>
      <c r="V271" s="53" t="str">
        <f t="shared" si="12"/>
        <v>FAST</v>
      </c>
      <c r="W271" s="53">
        <f>IFERROR(__xludf.DUMMYFUNCTION("IFERROR(ROUND((B271/GOOGLEFINANCE(A271,""high52"")-1)*100,1),"""")"),-52.3)</f>
        <v>-52.3</v>
      </c>
      <c r="X271" s="53">
        <f>IFERROR(__xludf.DUMMYFUNCTION("IFERROR(ROUND((B271-GOOGLEFINANCE(A271,""low52""))/(GOOGLEFINANCE(A271,""high52"")-GOOGLEFINANCE(A271,""low52""))*100,1),"""")"),0.7)</f>
        <v>0.7</v>
      </c>
      <c r="Y271" s="53" t="str">
        <f t="shared" si="13"/>
        <v>DEEP RECOVERY</v>
      </c>
      <c r="Z271" s="53">
        <f>IFERROR(__xludf.DUMMYFUNCTION("IFERROR(ROUND(((B271 / INDEX(GOOGLEFINANCE(TRIM(A271), ""price"", TODAY()-34, TODAY()), 2, 2)) - (GOOGLEFINANCE(""NIFTY_50"") / INDEX(GOOGLEFINANCE(""NIFTY_50"", ""price"", TODAY()-34, TODAY()), 2, 2))) * 100, 2), ""Check History"")"),-10.86)</f>
        <v>-10.86</v>
      </c>
      <c r="AA271" s="53" t="str">
        <f t="shared" si="14"/>
        <v>WEAK RS</v>
      </c>
      <c r="AB271" s="53">
        <f>IFERROR(__xludf.DUMMYFUNCTION("IFERROR(LET(
  p, QUERY(GOOGLEFINANCE(TRIM(A271),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Loading"")"),42.0)</f>
        <v>42</v>
      </c>
      <c r="AC271" s="53" t="str">
        <f t="shared" si="15"/>
        <v>WEAK MOM</v>
      </c>
      <c r="AD271" s="53" t="str">
        <f>IFERROR(__xludf.DUMMYFUNCTION("IFERROR(IF(GOOGLEFINANCE(A271,""eps"")&gt;0,""EPS+"",""EPS-""),"""")"),"EPS-")</f>
        <v>EPS-</v>
      </c>
      <c r="AE271" s="53">
        <f t="shared" si="16"/>
        <v>6</v>
      </c>
      <c r="AF271" s="53">
        <f>IFERROR(__xludf.DUMMYFUNCTION("IFERROR(N271+IF(S271&gt;=1.2,1,0)+IF(U271&gt;=1,1,0)+IF(Z271&gt;0,1,0)+IF(AND(W271&gt;=-20,W271&lt;=0),1,0)+IF(IFERROR(GOOGLEFINANCE(A271,""eps""),0)&gt;0,1,0),"""")"),3.0)</f>
        <v>3</v>
      </c>
      <c r="AG271" s="53" t="str">
        <f t="shared" si="17"/>
        <v>REVERSE TRADE</v>
      </c>
    </row>
    <row r="272" ht="15.75" customHeight="1">
      <c r="A272" s="55" t="s">
        <v>439</v>
      </c>
      <c r="B272" s="44">
        <f>IFERROR(__xludf.DUMMYFUNCTION("GOOGLEFINANCE(A272,""price"")"),674.4)</f>
        <v>674.4</v>
      </c>
      <c r="C272" s="45">
        <f>IFERROR(__xludf.DUMMYFUNCTION("AVERAGE(QUERY(SORT(GOOGLEFINANCE(A272,""price"",TODAY()-150,TODAY()),1,0),""select Col2 limit 50""))"),822.5970000000002)</f>
        <v>822.597</v>
      </c>
      <c r="D272" s="45">
        <f>IFERROR(__xludf.DUMMYFUNCTION("AVERAGE(QUERY(SORT(GOOGLEFINANCE(A272,""price"",TODAY()-300,TODAY()),1,0),""select Col2 limit 100""))"),881.2730000000007)</f>
        <v>881.273</v>
      </c>
      <c r="E272" s="45">
        <f>IFERROR(__xludf.DUMMYFUNCTION("AVERAGE(QUERY(SORT(GOOGLEFINANCE(A272,""price"",TODAY()-500,TODAY()),1,0),""select Col2 limit 200""))"),935.6365000000006)</f>
        <v>935.6365</v>
      </c>
      <c r="F272" s="46" t="str">
        <f t="shared" si="1"/>
        <v>In Bear Run</v>
      </c>
      <c r="G272" s="47">
        <f t="shared" si="2"/>
        <v>-27.92072562</v>
      </c>
      <c r="H272" s="48" t="str">
        <f t="shared" si="3"/>
        <v>Inverted ✗</v>
      </c>
      <c r="I272" s="48">
        <f t="shared" si="4"/>
        <v>0</v>
      </c>
      <c r="J272" s="48">
        <f t="shared" si="5"/>
        <v>0</v>
      </c>
      <c r="K272" s="49" t="str">
        <f>IFERROR(__xludf.DUMMYFUNCTION("IFERROR(IF(A272="""",""ENTER STOCK"",LET(stock,A272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72" s="48">
        <f t="shared" si="6"/>
        <v>0</v>
      </c>
      <c r="M272" s="48">
        <f t="shared" si="7"/>
        <v>1</v>
      </c>
      <c r="N272" s="50">
        <f t="shared" si="8"/>
        <v>1</v>
      </c>
      <c r="P272" s="46" t="str">
        <f t="shared" si="9"/>
        <v>REVERSE TRADE</v>
      </c>
      <c r="Q272" s="52"/>
      <c r="R272" s="53">
        <f t="shared" si="10"/>
        <v>15</v>
      </c>
      <c r="S272" s="53">
        <f>IFERROR(__xludf.DUMMYFUNCTION("IFERROR(ROUND(GOOGLEFINANCE(A272,""volume"")/GOOGLEFINANCE(A272,""volumeavg""),2),"""")"),3.52)</f>
        <v>3.52</v>
      </c>
      <c r="T272" s="53" t="str">
        <f t="shared" si="11"/>
        <v>HIGH VOL</v>
      </c>
      <c r="U272" s="53">
        <f>IFERROR(__xludf.DUMMYFUNCTION("IFERROR(
  LET(
    sd, GOOGLEFINANCE(A272,""close"",TODAY()-100,TODAY()),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"""")"),0.98)</f>
        <v>0.98</v>
      </c>
      <c r="V272" s="53" t="str">
        <f t="shared" si="12"/>
        <v>MEDIUM</v>
      </c>
      <c r="W272" s="53">
        <f>IFERROR(__xludf.DUMMYFUNCTION("IFERROR(ROUND((B272/GOOGLEFINANCE(A272,""high52"")-1)*100,1),"""")"),-38.4)</f>
        <v>-38.4</v>
      </c>
      <c r="X272" s="53">
        <f>IFERROR(__xludf.DUMMYFUNCTION("IFERROR(ROUND((B272-GOOGLEFINANCE(A272,""low52""))/(GOOGLEFINANCE(A272,""high52"")-GOOGLEFINANCE(A272,""low52""))*100,1),"""")"),1.0)</f>
        <v>1</v>
      </c>
      <c r="Y272" s="53" t="str">
        <f t="shared" si="13"/>
        <v>MID</v>
      </c>
      <c r="Z272" s="53">
        <f>IFERROR(__xludf.DUMMYFUNCTION("IFERROR(ROUND(((B272 / INDEX(GOOGLEFINANCE(TRIM(A272), ""price"", TODAY()-34, TODAY()), 2, 2)) - (GOOGLEFINANCE(""NIFTY_50"") / INDEX(GOOGLEFINANCE(""NIFTY_50"", ""price"", TODAY()-34, TODAY()), 2, 2))) * 100, 2), ""Check History"")"),-9.31)</f>
        <v>-9.31</v>
      </c>
      <c r="AA272" s="53" t="str">
        <f t="shared" si="14"/>
        <v>WEAK RS</v>
      </c>
      <c r="AB272" s="53">
        <f>IFERROR(__xludf.DUMMYFUNCTION("IFERROR(LET(
  p, QUERY(GOOGLEFINANCE(TRIM(A272),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Loading"")"),21.9)</f>
        <v>21.9</v>
      </c>
      <c r="AC272" s="53" t="str">
        <f t="shared" si="15"/>
        <v>WEAK MOM</v>
      </c>
      <c r="AD272" s="53" t="str">
        <f>IFERROR(__xludf.DUMMYFUNCTION("IFERROR(IF(GOOGLEFINANCE(A272,""eps"")&gt;0,""EPS+"",""EPS-""),"""")"),"")</f>
        <v/>
      </c>
      <c r="AE272" s="53">
        <f t="shared" si="16"/>
        <v>5</v>
      </c>
      <c r="AF272" s="53">
        <f>IFERROR(__xludf.DUMMYFUNCTION("IFERROR(N272+IF(S272&gt;=1.2,1,0)+IF(U272&gt;=1,1,0)+IF(Z272&gt;0,1,0)+IF(AND(W272&gt;=-20,W272&lt;=0),1,0)+IF(IFERROR(GOOGLEFINANCE(A272,""eps""),0)&gt;0,1,0),"""")"),2.0)</f>
        <v>2</v>
      </c>
      <c r="AG272" s="53" t="str">
        <f t="shared" si="17"/>
        <v>REVERSE TRADE</v>
      </c>
    </row>
    <row r="273" ht="15.75" customHeight="1">
      <c r="A273" s="55" t="s">
        <v>440</v>
      </c>
      <c r="B273" s="44">
        <f>IFERROR(__xludf.DUMMYFUNCTION("GOOGLEFINANCE(A273,""price"")"),6535.0)</f>
        <v>6535</v>
      </c>
      <c r="C273" s="45">
        <f>IFERROR(__xludf.DUMMYFUNCTION("AVERAGE(QUERY(SORT(GOOGLEFINANCE(A273,""price"",TODAY()-150,TODAY()),1,0),""select Col2 limit 50""))"),6891.49)</f>
        <v>6891.49</v>
      </c>
      <c r="D273" s="45">
        <f>IFERROR(__xludf.DUMMYFUNCTION("AVERAGE(QUERY(SORT(GOOGLEFINANCE(A273,""price"",TODAY()-300,TODAY()),1,0),""select Col2 limit 100""))"),6883.545)</f>
        <v>6883.545</v>
      </c>
      <c r="E273" s="45">
        <f>IFERROR(__xludf.DUMMYFUNCTION("AVERAGE(QUERY(SORT(GOOGLEFINANCE(A273,""price"",TODAY()-500,TODAY()),1,0),""select Col2 limit 200""))"),7255.3)</f>
        <v>7255.3</v>
      </c>
      <c r="F273" s="46" t="str">
        <f t="shared" si="1"/>
        <v>In Bear Run</v>
      </c>
      <c r="G273" s="47">
        <f t="shared" si="2"/>
        <v>-9.927914766</v>
      </c>
      <c r="H273" s="48" t="str">
        <f t="shared" si="3"/>
        <v>Inverted ✗</v>
      </c>
      <c r="I273" s="48">
        <f t="shared" si="4"/>
        <v>0</v>
      </c>
      <c r="J273" s="48">
        <f t="shared" si="5"/>
        <v>0</v>
      </c>
      <c r="K273" s="49" t="str">
        <f>IFERROR(__xludf.DUMMYFUNCTION("IFERROR(IF(A273="""",""ENTER STOCK"",LET(stock,A273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73" s="48">
        <f t="shared" si="6"/>
        <v>0</v>
      </c>
      <c r="M273" s="48">
        <f t="shared" si="7"/>
        <v>1</v>
      </c>
      <c r="N273" s="50">
        <f t="shared" si="8"/>
        <v>1</v>
      </c>
      <c r="P273" s="46" t="str">
        <f t="shared" si="9"/>
        <v>REVERSE TRADE</v>
      </c>
      <c r="Q273" s="52"/>
      <c r="R273" s="53">
        <f t="shared" si="10"/>
        <v>15</v>
      </c>
      <c r="S273" s="53">
        <f>IFERROR(__xludf.DUMMYFUNCTION("IFERROR(ROUND(GOOGLEFINANCE(A273,""volume"")/GOOGLEFINANCE(A273,""volumeavg""),2),"""")"),0.92)</f>
        <v>0.92</v>
      </c>
      <c r="T273" s="53" t="str">
        <f t="shared" si="11"/>
        <v>LOW VOL</v>
      </c>
      <c r="U273" s="53">
        <f>IFERROR(__xludf.DUMMYFUNCTION("IFERROR(
  LET(
    sd, GOOGLEFINANCE(A273,""close"",TODAY()-100,TODAY()),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"""")"),1.53)</f>
        <v>1.53</v>
      </c>
      <c r="V273" s="53" t="str">
        <f t="shared" si="12"/>
        <v>FAST</v>
      </c>
      <c r="W273" s="53">
        <f>IFERROR(__xludf.DUMMYFUNCTION("IFERROR(ROUND((B273/GOOGLEFINANCE(A273,""high52"")-1)*100,1),"""")"),-24.2)</f>
        <v>-24.2</v>
      </c>
      <c r="X273" s="53">
        <f>IFERROR(__xludf.DUMMYFUNCTION("IFERROR(ROUND((B273-GOOGLEFINANCE(A273,""low52""))/(GOOGLEFINANCE(A273,""high52"")-GOOGLEFINANCE(A273,""low52""))*100,1),"""")"),35.2)</f>
        <v>35.2</v>
      </c>
      <c r="Y273" s="53" t="str">
        <f t="shared" si="13"/>
        <v>MID</v>
      </c>
      <c r="Z273" s="53">
        <f>IFERROR(__xludf.DUMMYFUNCTION("IFERROR(ROUND(((B273 / INDEX(GOOGLEFINANCE(TRIM(A273), ""price"", TODAY()-34, TODAY()), 2, 2)) - (GOOGLEFINANCE(""NIFTY_50"") / INDEX(GOOGLEFINANCE(""NIFTY_50"", ""price"", TODAY()-34, TODAY()), 2, 2))) * 100, 2), ""Check History"")"),-5.42)</f>
        <v>-5.42</v>
      </c>
      <c r="AA273" s="53" t="str">
        <f t="shared" si="14"/>
        <v>WEAK RS</v>
      </c>
      <c r="AB273" s="53">
        <f>IFERROR(__xludf.DUMMYFUNCTION("IFERROR(LET(
  p, QUERY(GOOGLEFINANCE(TRIM(A273),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Loading"")"),43.7)</f>
        <v>43.7</v>
      </c>
      <c r="AC273" s="53" t="str">
        <f t="shared" si="15"/>
        <v>WEAK MOM</v>
      </c>
      <c r="AD273" s="53" t="str">
        <f>IFERROR(__xludf.DUMMYFUNCTION("IFERROR(IF(GOOGLEFINANCE(A273,""eps"")&gt;0,""EPS+"",""EPS-""),"""")"),"EPS+")</f>
        <v>EPS+</v>
      </c>
      <c r="AE273" s="53">
        <f t="shared" si="16"/>
        <v>3</v>
      </c>
      <c r="AF273" s="53">
        <f>IFERROR(__xludf.DUMMYFUNCTION("IFERROR(N273+IF(S273&gt;=1.2,1,0)+IF(U273&gt;=1,1,0)+IF(Z273&gt;0,1,0)+IF(AND(W273&gt;=-20,W273&lt;=0),1,0)+IF(IFERROR(GOOGLEFINANCE(A273,""eps""),0)&gt;0,1,0),"""")"),3.0)</f>
        <v>3</v>
      </c>
      <c r="AG273" s="53" t="str">
        <f t="shared" si="17"/>
        <v>REVERSE TRADE</v>
      </c>
    </row>
    <row r="274" ht="15.75" customHeight="1">
      <c r="A274" s="55" t="s">
        <v>441</v>
      </c>
      <c r="B274" s="44">
        <f>IFERROR(__xludf.DUMMYFUNCTION("GOOGLEFINANCE(A274,""price"")"),408.0)</f>
        <v>408</v>
      </c>
      <c r="C274" s="45">
        <f>IFERROR(__xludf.DUMMYFUNCTION("AVERAGE(QUERY(SORT(GOOGLEFINANCE(A274,""price"",TODAY()-150,TODAY()),1,0),""select Col2 limit 50""))"),509.49200000000013)</f>
        <v>509.492</v>
      </c>
      <c r="D274" s="45">
        <f>IFERROR(__xludf.DUMMYFUNCTION("AVERAGE(QUERY(SORT(GOOGLEFINANCE(A274,""price"",TODAY()-300,TODAY()),1,0),""select Col2 limit 100""))"),541.8875)</f>
        <v>541.8875</v>
      </c>
      <c r="E274" s="45">
        <f>IFERROR(__xludf.DUMMYFUNCTION("AVERAGE(QUERY(SORT(GOOGLEFINANCE(A274,""price"",TODAY()-500,TODAY()),1,0),""select Col2 limit 200""))"),563.8115)</f>
        <v>563.8115</v>
      </c>
      <c r="F274" s="46" t="str">
        <f t="shared" si="1"/>
        <v>In Bear Run</v>
      </c>
      <c r="G274" s="47">
        <f t="shared" si="2"/>
        <v>-27.63538878</v>
      </c>
      <c r="H274" s="48" t="str">
        <f t="shared" si="3"/>
        <v>Inverted ✗</v>
      </c>
      <c r="I274" s="48">
        <f t="shared" si="4"/>
        <v>0</v>
      </c>
      <c r="J274" s="48">
        <f t="shared" si="5"/>
        <v>0</v>
      </c>
      <c r="K274" s="49" t="str">
        <f>IFERROR(__xludf.DUMMYFUNCTION("IFERROR(IF(A274="""",""ENTER STOCK"",LET(stock,A274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74" s="48">
        <f t="shared" si="6"/>
        <v>0</v>
      </c>
      <c r="M274" s="48">
        <f t="shared" si="7"/>
        <v>1</v>
      </c>
      <c r="N274" s="50">
        <f t="shared" si="8"/>
        <v>1</v>
      </c>
      <c r="P274" s="46" t="str">
        <f t="shared" si="9"/>
        <v>REVERSE TRADE</v>
      </c>
      <c r="Q274" s="52"/>
      <c r="R274" s="53">
        <f t="shared" si="10"/>
        <v>15</v>
      </c>
      <c r="S274" s="53">
        <f>IFERROR(__xludf.DUMMYFUNCTION("IFERROR(ROUND(GOOGLEFINANCE(A274,""volume"")/GOOGLEFINANCE(A274,""volumeavg""),2),"""")"),2.1)</f>
        <v>2.1</v>
      </c>
      <c r="T274" s="53" t="str">
        <f t="shared" si="11"/>
        <v>HIGH VOL</v>
      </c>
      <c r="U274" s="53">
        <f>IFERROR(__xludf.DUMMYFUNCTION("IFERROR(
  LET(
    sd, GOOGLEFINANCE(A274,""close"",TODAY()-100,TODAY()),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"""")"),1.67)</f>
        <v>1.67</v>
      </c>
      <c r="V274" s="53" t="str">
        <f t="shared" si="12"/>
        <v>FAST</v>
      </c>
      <c r="W274" s="53">
        <f>IFERROR(__xludf.DUMMYFUNCTION("IFERROR(ROUND((B274/GOOGLEFINANCE(A274,""high52"")-1)*100,1),"""")"),-45.1)</f>
        <v>-45.1</v>
      </c>
      <c r="X274" s="53">
        <f>IFERROR(__xludf.DUMMYFUNCTION("IFERROR(ROUND((B274-GOOGLEFINANCE(A274,""low52""))/(GOOGLEFINANCE(A274,""high52"")-GOOGLEFINANCE(A274,""low52""))*100,1),"""")"),8.7)</f>
        <v>8.7</v>
      </c>
      <c r="Y274" s="53" t="str">
        <f t="shared" si="13"/>
        <v>DEEP RECOVERY</v>
      </c>
      <c r="Z274" s="53">
        <f>IFERROR(__xludf.DUMMYFUNCTION("IFERROR(ROUND(((B274 / INDEX(GOOGLEFINANCE(TRIM(A274), ""price"", TODAY()-34, TODAY()), 2, 2)) - (GOOGLEFINANCE(""NIFTY_50"") / INDEX(GOOGLEFINANCE(""NIFTY_50"", ""price"", TODAY()-34, TODAY()), 2, 2))) * 100, 2), ""Check History"")"),-12.82)</f>
        <v>-12.82</v>
      </c>
      <c r="AA274" s="53" t="str">
        <f t="shared" si="14"/>
        <v>WEAK RS</v>
      </c>
      <c r="AB274" s="53">
        <f>IFERROR(__xludf.DUMMYFUNCTION("IFERROR(LET(
  p, QUERY(GOOGLEFINANCE(TRIM(A274),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Loading"")"),40.9)</f>
        <v>40.9</v>
      </c>
      <c r="AC274" s="53" t="str">
        <f t="shared" si="15"/>
        <v>WEAK MOM</v>
      </c>
      <c r="AD274" s="53" t="str">
        <f>IFERROR(__xludf.DUMMYFUNCTION("IFERROR(IF(GOOGLEFINANCE(A274,""eps"")&gt;0,""EPS+"",""EPS-""),"""")"),"EPS+")</f>
        <v>EPS+</v>
      </c>
      <c r="AE274" s="53">
        <f t="shared" si="16"/>
        <v>6</v>
      </c>
      <c r="AF274" s="53">
        <f>IFERROR(__xludf.DUMMYFUNCTION("IFERROR(N274+IF(S274&gt;=1.2,1,0)+IF(U274&gt;=1,1,0)+IF(Z274&gt;0,1,0)+IF(AND(W274&gt;=-20,W274&lt;=0),1,0)+IF(IFERROR(GOOGLEFINANCE(A274,""eps""),0)&gt;0,1,0),"""")"),4.0)</f>
        <v>4</v>
      </c>
      <c r="AG274" s="53" t="str">
        <f t="shared" si="17"/>
        <v>REVERSE TRADE</v>
      </c>
    </row>
    <row r="275" ht="15.75" customHeight="1">
      <c r="A275" s="55" t="s">
        <v>442</v>
      </c>
      <c r="B275" s="44">
        <f>IFERROR(__xludf.DUMMYFUNCTION("GOOGLEFINANCE(A275,""price"")"),228.7)</f>
        <v>228.7</v>
      </c>
      <c r="C275" s="45">
        <f>IFERROR(__xludf.DUMMYFUNCTION("AVERAGE(QUERY(SORT(GOOGLEFINANCE(A275,""price"",TODAY()-150,TODAY()),1,0),""select Col2 limit 50""))"),245.83)</f>
        <v>245.83</v>
      </c>
      <c r="D275" s="45">
        <f>IFERROR(__xludf.DUMMYFUNCTION("AVERAGE(QUERY(SORT(GOOGLEFINANCE(A275,""price"",TODAY()-300,TODAY()),1,0),""select Col2 limit 100""))"),251.79339999999996)</f>
        <v>251.7934</v>
      </c>
      <c r="E275" s="45">
        <f>IFERROR(__xludf.DUMMYFUNCTION("AVERAGE(QUERY(SORT(GOOGLEFINANCE(A275,""price"",TODAY()-500,TODAY()),1,0),""select Col2 limit 200""))"),253.49335000000016)</f>
        <v>253.49335</v>
      </c>
      <c r="F275" s="46" t="str">
        <f t="shared" si="1"/>
        <v>In Bear Run</v>
      </c>
      <c r="G275" s="47">
        <f t="shared" si="2"/>
        <v>-9.780670775</v>
      </c>
      <c r="H275" s="48" t="str">
        <f t="shared" si="3"/>
        <v>Inverted ✗</v>
      </c>
      <c r="I275" s="48">
        <f t="shared" si="4"/>
        <v>0</v>
      </c>
      <c r="J275" s="48">
        <f t="shared" si="5"/>
        <v>0</v>
      </c>
      <c r="K275" s="49" t="str">
        <f>IFERROR(__xludf.DUMMYFUNCTION("IFERROR(IF(A275="""",""ENTER STOCK"",LET(stock,A275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75" s="48">
        <f t="shared" si="6"/>
        <v>0</v>
      </c>
      <c r="M275" s="48">
        <f t="shared" si="7"/>
        <v>1</v>
      </c>
      <c r="N275" s="50">
        <f t="shared" si="8"/>
        <v>1</v>
      </c>
      <c r="P275" s="46" t="str">
        <f t="shared" si="9"/>
        <v>REVERSE TRADE</v>
      </c>
      <c r="Q275" s="52"/>
      <c r="R275" s="53">
        <f t="shared" si="10"/>
        <v>15</v>
      </c>
      <c r="S275" s="53">
        <f>IFERROR(__xludf.DUMMYFUNCTION("IFERROR(ROUND(GOOGLEFINANCE(A275,""volume"")/GOOGLEFINANCE(A275,""volumeavg""),2),"""")"),0.82)</f>
        <v>0.82</v>
      </c>
      <c r="T275" s="53" t="str">
        <f t="shared" si="11"/>
        <v>LOW VOL</v>
      </c>
      <c r="U275" s="53">
        <f>IFERROR(__xludf.DUMMYFUNCTION("IFERROR(
  LET(
    sd, GOOGLEFINANCE(A275,""close"",TODAY()-100,TODAY()),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"""")"),1.74)</f>
        <v>1.74</v>
      </c>
      <c r="V275" s="53" t="str">
        <f t="shared" si="12"/>
        <v>FAST</v>
      </c>
      <c r="W275" s="53">
        <f>IFERROR(__xludf.DUMMYFUNCTION("IFERROR(ROUND((B275/GOOGLEFINANCE(A275,""high52"")-1)*100,1),"""")"),-30.4)</f>
        <v>-30.4</v>
      </c>
      <c r="X275" s="53">
        <f>IFERROR(__xludf.DUMMYFUNCTION("IFERROR(ROUND((B275-GOOGLEFINANCE(A275,""low52""))/(GOOGLEFINANCE(A275,""high52"")-GOOGLEFINANCE(A275,""low52""))*100,1),"""")"),18.7)</f>
        <v>18.7</v>
      </c>
      <c r="Y275" s="53" t="str">
        <f t="shared" si="13"/>
        <v>MID</v>
      </c>
      <c r="Z275" s="53">
        <f>IFERROR(__xludf.DUMMYFUNCTION("IFERROR(ROUND(((B275 / INDEX(GOOGLEFINANCE(TRIM(A275), ""price"", TODAY()-34, TODAY()), 2, 2)) - (GOOGLEFINANCE(""NIFTY_50"") / INDEX(GOOGLEFINANCE(""NIFTY_50"", ""price"", TODAY()-34, TODAY()), 2, 2))) * 100, 2), ""Check History"")"),5.13)</f>
        <v>5.13</v>
      </c>
      <c r="AA275" s="53" t="str">
        <f t="shared" si="14"/>
        <v>STRONG RS</v>
      </c>
      <c r="AB275" s="53">
        <f>IFERROR(__xludf.DUMMYFUNCTION("IFERROR(LET(
  p, QUERY(GOOGLEFINANCE(TRIM(A275),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Loading"")"),54.7)</f>
        <v>54.7</v>
      </c>
      <c r="AC275" s="53" t="str">
        <f t="shared" si="15"/>
        <v>IDEAL ENTRY</v>
      </c>
      <c r="AD275" s="53" t="str">
        <f>IFERROR(__xludf.DUMMYFUNCTION("IFERROR(IF(GOOGLEFINANCE(A275,""eps"")&gt;0,""EPS+"",""EPS-""),"""")"),"EPS+")</f>
        <v>EPS+</v>
      </c>
      <c r="AE275" s="53">
        <f t="shared" si="16"/>
        <v>5</v>
      </c>
      <c r="AF275" s="53">
        <f>IFERROR(__xludf.DUMMYFUNCTION("IFERROR(N275+IF(S275&gt;=1.2,1,0)+IF(U275&gt;=1,1,0)+IF(Z275&gt;0,1,0)+IF(AND(W275&gt;=-20,W275&lt;=0),1,0)+IF(IFERROR(GOOGLEFINANCE(A275,""eps""),0)&gt;0,1,0),"""")"),4.0)</f>
        <v>4</v>
      </c>
      <c r="AG275" s="53" t="str">
        <f t="shared" si="17"/>
        <v>REVERSE TRADE</v>
      </c>
    </row>
    <row r="276" ht="15.75" customHeight="1">
      <c r="A276" s="55" t="s">
        <v>443</v>
      </c>
      <c r="B276" s="44">
        <f>IFERROR(__xludf.DUMMYFUNCTION("GOOGLEFINANCE(A276,""price"")"),193.03)</f>
        <v>193.03</v>
      </c>
      <c r="C276" s="45">
        <f>IFERROR(__xludf.DUMMYFUNCTION("AVERAGE(QUERY(SORT(GOOGLEFINANCE(A276,""price"",TODAY()-150,TODAY()),1,0),""select Col2 limit 50""))"),243.3205999999999)</f>
        <v>243.3206</v>
      </c>
      <c r="D276" s="45">
        <f>IFERROR(__xludf.DUMMYFUNCTION("AVERAGE(QUERY(SORT(GOOGLEFINANCE(A276,""price"",TODAY()-300,TODAY()),1,0),""select Col2 limit 100""))"),263.98929999999996)</f>
        <v>263.9893</v>
      </c>
      <c r="E276" s="45">
        <f>IFERROR(__xludf.DUMMYFUNCTION("AVERAGE(QUERY(SORT(GOOGLEFINANCE(A276,""price"",TODAY()-500,TODAY()),1,0),""select Col2 limit 200""))"),296.79915000000005)</f>
        <v>296.79915</v>
      </c>
      <c r="F276" s="46" t="str">
        <f t="shared" si="1"/>
        <v>In Bear Run</v>
      </c>
      <c r="G276" s="47">
        <f t="shared" si="2"/>
        <v>-34.96275175</v>
      </c>
      <c r="H276" s="48" t="str">
        <f t="shared" si="3"/>
        <v>Inverted ✗</v>
      </c>
      <c r="I276" s="48">
        <f t="shared" si="4"/>
        <v>0</v>
      </c>
      <c r="J276" s="48">
        <f t="shared" si="5"/>
        <v>0</v>
      </c>
      <c r="K276" s="49" t="str">
        <f>IFERROR(__xludf.DUMMYFUNCTION("IFERROR(IF(A276="""",""ENTER STOCK"",LET(stock,A276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76" s="48">
        <f t="shared" si="6"/>
        <v>0</v>
      </c>
      <c r="M276" s="48">
        <f t="shared" si="7"/>
        <v>1</v>
      </c>
      <c r="N276" s="50">
        <f t="shared" si="8"/>
        <v>1</v>
      </c>
      <c r="P276" s="46" t="str">
        <f t="shared" si="9"/>
        <v>REVERSE TRADE</v>
      </c>
      <c r="Q276" s="52"/>
      <c r="R276" s="53">
        <f t="shared" si="10"/>
        <v>15</v>
      </c>
      <c r="S276" s="53">
        <f>IFERROR(__xludf.DUMMYFUNCTION("IFERROR(ROUND(GOOGLEFINANCE(A276,""volume"")/GOOGLEFINANCE(A276,""volumeavg""),2),"""")"),1.66)</f>
        <v>1.66</v>
      </c>
      <c r="T276" s="53" t="str">
        <f t="shared" si="11"/>
        <v>HIGH VOL</v>
      </c>
      <c r="U276" s="53">
        <f>IFERROR(__xludf.DUMMYFUNCTION("IFERROR(
  LET(
    sd, GOOGLEFINANCE(A276,""close"",TODAY()-100,TODAY()),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"""")"),1.31)</f>
        <v>1.31</v>
      </c>
      <c r="V276" s="53" t="str">
        <f t="shared" si="12"/>
        <v>FAST</v>
      </c>
      <c r="W276" s="53">
        <f>IFERROR(__xludf.DUMMYFUNCTION("IFERROR(ROUND((B276/GOOGLEFINANCE(A276,""high52"")-1)*100,1),"""")"),-47.0)</f>
        <v>-47</v>
      </c>
      <c r="X276" s="53">
        <f>IFERROR(__xludf.DUMMYFUNCTION("IFERROR(ROUND((B276-GOOGLEFINANCE(A276,""low52""))/(GOOGLEFINANCE(A276,""high52"")-GOOGLEFINANCE(A276,""low52""))*100,1),"""")"),0.0)</f>
        <v>0</v>
      </c>
      <c r="Y276" s="53" t="str">
        <f t="shared" si="13"/>
        <v>DEEP RECOVERY</v>
      </c>
      <c r="Z276" s="53">
        <f>IFERROR(__xludf.DUMMYFUNCTION("IFERROR(ROUND(((B276 / INDEX(GOOGLEFINANCE(TRIM(A276), ""price"", TODAY()-34, TODAY()), 2, 2)) - (GOOGLEFINANCE(""NIFTY_50"") / INDEX(GOOGLEFINANCE(""NIFTY_50"", ""price"", TODAY()-34, TODAY()), 2, 2))) * 100, 2), ""Check History"")"),-6.21)</f>
        <v>-6.21</v>
      </c>
      <c r="AA276" s="53" t="str">
        <f t="shared" si="14"/>
        <v>WEAK RS</v>
      </c>
      <c r="AB276" s="53">
        <f>IFERROR(__xludf.DUMMYFUNCTION("IFERROR(LET(
  p, QUERY(GOOGLEFINANCE(TRIM(A276),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Loading"")"),59.5)</f>
        <v>59.5</v>
      </c>
      <c r="AC276" s="53" t="str">
        <f t="shared" si="15"/>
        <v>IDEAL ENTRY</v>
      </c>
      <c r="AD276" s="53" t="str">
        <f>IFERROR(__xludf.DUMMYFUNCTION("IFERROR(IF(GOOGLEFINANCE(A276,""eps"")&gt;0,""EPS+"",""EPS-""),"""")"),"EPS+")</f>
        <v>EPS+</v>
      </c>
      <c r="AE276" s="53">
        <f t="shared" si="16"/>
        <v>6</v>
      </c>
      <c r="AF276" s="53">
        <f>IFERROR(__xludf.DUMMYFUNCTION("IFERROR(N276+IF(S276&gt;=1.2,1,0)+IF(U276&gt;=1,1,0)+IF(Z276&gt;0,1,0)+IF(AND(W276&gt;=-20,W276&lt;=0),1,0)+IF(IFERROR(GOOGLEFINANCE(A276,""eps""),0)&gt;0,1,0),"""")"),4.0)</f>
        <v>4</v>
      </c>
      <c r="AG276" s="53" t="str">
        <f t="shared" si="17"/>
        <v>REVERSE TRADE</v>
      </c>
    </row>
    <row r="277" ht="15.75" customHeight="1">
      <c r="A277" s="55" t="s">
        <v>444</v>
      </c>
      <c r="B277" s="44">
        <f>IFERROR(__xludf.DUMMYFUNCTION("GOOGLEFINANCE(A277,""price"")"),785.25)</f>
        <v>785.25</v>
      </c>
      <c r="C277" s="45">
        <f>IFERROR(__xludf.DUMMYFUNCTION("AVERAGE(QUERY(SORT(GOOGLEFINANCE(A277,""price"",TODAY()-150,TODAY()),1,0),""select Col2 limit 50""))"),910.8740000000004)</f>
        <v>910.874</v>
      </c>
      <c r="D277" s="45">
        <f>IFERROR(__xludf.DUMMYFUNCTION("AVERAGE(QUERY(SORT(GOOGLEFINANCE(A277,""price"",TODAY()-300,TODAY()),1,0),""select Col2 limit 100""))"),952.0810000000002)</f>
        <v>952.081</v>
      </c>
      <c r="E277" s="45">
        <f>IFERROR(__xludf.DUMMYFUNCTION("AVERAGE(QUERY(SORT(GOOGLEFINANCE(A277,""price"",TODAY()-500,TODAY()),1,0),""select Col2 limit 200""))"),899.3472499999999)</f>
        <v>899.34725</v>
      </c>
      <c r="F277" s="46" t="str">
        <f t="shared" si="1"/>
        <v>In Bear Run</v>
      </c>
      <c r="G277" s="47">
        <f t="shared" si="2"/>
        <v>-12.68667358</v>
      </c>
      <c r="H277" s="48" t="str">
        <f t="shared" si="3"/>
        <v>Inverted ✗</v>
      </c>
      <c r="I277" s="48">
        <f t="shared" si="4"/>
        <v>0</v>
      </c>
      <c r="J277" s="48">
        <f t="shared" si="5"/>
        <v>0</v>
      </c>
      <c r="K277" s="49" t="str">
        <f>IFERROR(__xludf.DUMMYFUNCTION("IFERROR(IF(A277="""",""ENTER STOCK"",LET(stock,A277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77" s="48">
        <f t="shared" si="6"/>
        <v>0</v>
      </c>
      <c r="M277" s="48">
        <f t="shared" si="7"/>
        <v>1</v>
      </c>
      <c r="N277" s="50">
        <f t="shared" si="8"/>
        <v>1</v>
      </c>
      <c r="P277" s="46" t="str">
        <f t="shared" si="9"/>
        <v>REVERSE TRADE</v>
      </c>
      <c r="Q277" s="52"/>
      <c r="R277" s="53">
        <f t="shared" si="10"/>
        <v>15</v>
      </c>
      <c r="S277" s="53">
        <f>IFERROR(__xludf.DUMMYFUNCTION("IFERROR(ROUND(GOOGLEFINANCE(A277,""volume"")/GOOGLEFINANCE(A277,""volumeavg""),2),"""")"),0.32)</f>
        <v>0.32</v>
      </c>
      <c r="T277" s="53" t="str">
        <f t="shared" si="11"/>
        <v>LOW VOL</v>
      </c>
      <c r="U277" s="53">
        <f>IFERROR(__xludf.DUMMYFUNCTION("IFERROR(
  LET(
    sd, GOOGLEFINANCE(A277,""close"",TODAY()-100,TODAY()),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"""")"),0.89)</f>
        <v>0.89</v>
      </c>
      <c r="V277" s="53" t="str">
        <f t="shared" si="12"/>
        <v>SLOW</v>
      </c>
      <c r="W277" s="53">
        <f>IFERROR(__xludf.DUMMYFUNCTION("IFERROR(ROUND((B277/GOOGLEFINANCE(A277,""high52"")-1)*100,1),"""")"),-26.9)</f>
        <v>-26.9</v>
      </c>
      <c r="X277" s="53">
        <f>IFERROR(__xludf.DUMMYFUNCTION("IFERROR(ROUND((B277-GOOGLEFINANCE(A277,""low52""))/(GOOGLEFINANCE(A277,""high52"")-GOOGLEFINANCE(A277,""low52""))*100,1),"""")"),41.7)</f>
        <v>41.7</v>
      </c>
      <c r="Y277" s="53" t="str">
        <f t="shared" si="13"/>
        <v>MID</v>
      </c>
      <c r="Z277" s="53">
        <f>IFERROR(__xludf.DUMMYFUNCTION("IFERROR(ROUND(((B277 / INDEX(GOOGLEFINANCE(TRIM(A277), ""price"", TODAY()-34, TODAY()), 2, 2)) - (GOOGLEFINANCE(""NIFTY_50"") / INDEX(GOOGLEFINANCE(""NIFTY_50"", ""price"", TODAY()-34, TODAY()), 2, 2))) * 100, 2), ""Check History"")"),-3.72)</f>
        <v>-3.72</v>
      </c>
      <c r="AA277" s="53" t="str">
        <f t="shared" si="14"/>
        <v>WEAK RS</v>
      </c>
      <c r="AB277" s="53">
        <f>IFERROR(__xludf.DUMMYFUNCTION("IFERROR(LET(
  p, QUERY(GOOGLEFINANCE(TRIM(A277),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Loading"")"),47.8)</f>
        <v>47.8</v>
      </c>
      <c r="AC277" s="53" t="str">
        <f t="shared" si="15"/>
        <v>IDEAL ENTRY</v>
      </c>
      <c r="AD277" s="53" t="str">
        <f>IFERROR(__xludf.DUMMYFUNCTION("IFERROR(IF(GOOGLEFINANCE(A277,""eps"")&gt;0,""EPS+"",""EPS-""),"""")"),"EPS+")</f>
        <v>EPS+</v>
      </c>
      <c r="AE277" s="53">
        <f t="shared" si="16"/>
        <v>1</v>
      </c>
      <c r="AF277" s="53">
        <f>IFERROR(__xludf.DUMMYFUNCTION("IFERROR(N277+IF(S277&gt;=1.2,1,0)+IF(U277&gt;=1,1,0)+IF(Z277&gt;0,1,0)+IF(AND(W277&gt;=-20,W277&lt;=0),1,0)+IF(IFERROR(GOOGLEFINANCE(A277,""eps""),0)&gt;0,1,0),"""")"),2.0)</f>
        <v>2</v>
      </c>
      <c r="AG277" s="53" t="str">
        <f t="shared" si="17"/>
        <v>REVERSE TRADE</v>
      </c>
    </row>
    <row r="278" ht="15.75" customHeight="1">
      <c r="A278" s="55" t="s">
        <v>445</v>
      </c>
      <c r="B278" s="44">
        <f>IFERROR(__xludf.DUMMYFUNCTION("GOOGLEFINANCE(A278,""price"")"),670.6)</f>
        <v>670.6</v>
      </c>
      <c r="C278" s="45">
        <f>IFERROR(__xludf.DUMMYFUNCTION("AVERAGE(QUERY(SORT(GOOGLEFINANCE(A278,""price"",TODAY()-150,TODAY()),1,0),""select Col2 limit 50""))"),615.3750000000001)</f>
        <v>615.375</v>
      </c>
      <c r="D278" s="45">
        <f>IFERROR(__xludf.DUMMYFUNCTION("AVERAGE(QUERY(SORT(GOOGLEFINANCE(A278,""price"",TODAY()-300,TODAY()),1,0),""select Col2 limit 100""))"),627.4779999999998)</f>
        <v>627.478</v>
      </c>
      <c r="E278" s="45">
        <f>IFERROR(__xludf.DUMMYFUNCTION("AVERAGE(QUERY(SORT(GOOGLEFINANCE(A278,""price"",TODAY()-500,TODAY()),1,0),""select Col2 limit 200""))"),625.3309999999999)</f>
        <v>625.331</v>
      </c>
      <c r="F278" s="46" t="str">
        <f t="shared" si="1"/>
        <v>In Bull Run</v>
      </c>
      <c r="G278" s="47">
        <f t="shared" si="2"/>
        <v>7.239206116</v>
      </c>
      <c r="H278" s="48" t="str">
        <f t="shared" si="3"/>
        <v>Inverted ✗</v>
      </c>
      <c r="I278" s="48">
        <f t="shared" si="4"/>
        <v>0</v>
      </c>
      <c r="J278" s="48">
        <f t="shared" si="5"/>
        <v>4</v>
      </c>
      <c r="K278" s="49" t="str">
        <f>IFERROR(__xludf.DUMMYFUNCTION("IFERROR(IF(A278="""",""ENTER STOCK"",LET(stock,A278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78" s="48">
        <f t="shared" si="6"/>
        <v>0</v>
      </c>
      <c r="M278" s="48">
        <f t="shared" si="7"/>
        <v>1</v>
      </c>
      <c r="N278" s="50">
        <f t="shared" si="8"/>
        <v>5</v>
      </c>
      <c r="P278" s="46" t="str">
        <f t="shared" si="9"/>
        <v>WATCH</v>
      </c>
      <c r="Q278" s="52"/>
      <c r="R278" s="53">
        <f t="shared" si="10"/>
        <v>15</v>
      </c>
      <c r="S278" s="53">
        <f>IFERROR(__xludf.DUMMYFUNCTION("IFERROR(ROUND(GOOGLEFINANCE(A278,""volume"")/GOOGLEFINANCE(A278,""volumeavg""),2),"""")"),1.0)</f>
        <v>1</v>
      </c>
      <c r="T278" s="53" t="str">
        <f t="shared" si="11"/>
        <v>LOW VOL</v>
      </c>
      <c r="U278" s="53">
        <f>IFERROR(__xludf.DUMMYFUNCTION("IFERROR(
  LET(
    sd, GOOGLEFINANCE(A278,""close"",TODAY()-100,TODAY()),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"""")"),0.39)</f>
        <v>0.39</v>
      </c>
      <c r="V278" s="53" t="str">
        <f t="shared" si="12"/>
        <v>SLOW</v>
      </c>
      <c r="W278" s="53">
        <f>IFERROR(__xludf.DUMMYFUNCTION("IFERROR(ROUND((B278/GOOGLEFINANCE(A278,""high52"")-1)*100,1),"""")"),-8.4)</f>
        <v>-8.4</v>
      </c>
      <c r="X278" s="53">
        <f>IFERROR(__xludf.DUMMYFUNCTION("IFERROR(ROUND((B278-GOOGLEFINANCE(A278,""low52""))/(GOOGLEFINANCE(A278,""high52"")-GOOGLEFINANCE(A278,""low52""))*100,1),"""")"),78.2)</f>
        <v>78.2</v>
      </c>
      <c r="Y278" s="53" t="str">
        <f t="shared" si="13"/>
        <v>UPPER</v>
      </c>
      <c r="Z278" s="53">
        <f>IFERROR(__xludf.DUMMYFUNCTION("IFERROR(ROUND(((B278 / INDEX(GOOGLEFINANCE(TRIM(A278), ""price"", TODAY()-34, TODAY()), 2, 2)) - (GOOGLEFINANCE(""NIFTY_50"") / INDEX(GOOGLEFINANCE(""NIFTY_50"", ""price"", TODAY()-34, TODAY()), 2, 2))) * 100, 2), ""Check History"")"),17.28)</f>
        <v>17.28</v>
      </c>
      <c r="AA278" s="53" t="str">
        <f t="shared" si="14"/>
        <v>STRONG RS</v>
      </c>
      <c r="AB278" s="53">
        <f>IFERROR(__xludf.DUMMYFUNCTION("IFERROR(LET(
  p, QUERY(GOOGLEFINANCE(TRIM(A278),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Loading"")"),53.2)</f>
        <v>53.2</v>
      </c>
      <c r="AC278" s="53" t="str">
        <f t="shared" si="15"/>
        <v>IDEAL ENTRY</v>
      </c>
      <c r="AD278" s="53" t="str">
        <f>IFERROR(__xludf.DUMMYFUNCTION("IFERROR(IF(GOOGLEFINANCE(A278,""eps"")&gt;0,""EPS+"",""EPS-""),"""")"),"EPS+")</f>
        <v>EPS+</v>
      </c>
      <c r="AE278" s="53">
        <f t="shared" si="16"/>
        <v>5</v>
      </c>
      <c r="AF278" s="53">
        <f>IFERROR(__xludf.DUMMYFUNCTION("IFERROR(N278+IF(S278&gt;=1.2,1,0)+IF(U278&gt;=1,1,0)+IF(Z278&gt;0,1,0)+IF(AND(W278&gt;=-20,W278&lt;=0),1,0)+IF(IFERROR(GOOGLEFINANCE(A278,""eps""),0)&gt;0,1,0),"""")"),8.0)</f>
        <v>8</v>
      </c>
      <c r="AG278" s="53" t="str">
        <f t="shared" si="17"/>
        <v>BUY</v>
      </c>
    </row>
    <row r="279" ht="15.75" customHeight="1">
      <c r="A279" s="55" t="s">
        <v>446</v>
      </c>
      <c r="B279" s="44">
        <f>IFERROR(__xludf.DUMMYFUNCTION("GOOGLEFINANCE(A279,""price"")"),7770.0)</f>
        <v>7770</v>
      </c>
      <c r="C279" s="45">
        <f>IFERROR(__xludf.DUMMYFUNCTION("AVERAGE(QUERY(SORT(GOOGLEFINANCE(A279,""price"",TODAY()-150,TODAY()),1,0),""select Col2 limit 50""))"),8574.63)</f>
        <v>8574.63</v>
      </c>
      <c r="D279" s="45">
        <f>IFERROR(__xludf.DUMMYFUNCTION("AVERAGE(QUERY(SORT(GOOGLEFINANCE(A279,""price"",TODAY()-300,TODAY()),1,0),""select Col2 limit 100""))"),8784.715)</f>
        <v>8784.715</v>
      </c>
      <c r="E279" s="45">
        <f>IFERROR(__xludf.DUMMYFUNCTION("AVERAGE(QUERY(SORT(GOOGLEFINANCE(A279,""price"",TODAY()-500,TODAY()),1,0),""select Col2 limit 200""))"),8926.6925)</f>
        <v>8926.6925</v>
      </c>
      <c r="F279" s="46" t="str">
        <f t="shared" si="1"/>
        <v>In Bear Run</v>
      </c>
      <c r="G279" s="47">
        <f t="shared" si="2"/>
        <v>-12.95768281</v>
      </c>
      <c r="H279" s="48" t="str">
        <f t="shared" si="3"/>
        <v>Inverted ✗</v>
      </c>
      <c r="I279" s="48">
        <f t="shared" si="4"/>
        <v>0</v>
      </c>
      <c r="J279" s="48">
        <f t="shared" si="5"/>
        <v>0</v>
      </c>
      <c r="K279" s="49" t="str">
        <f>IFERROR(__xludf.DUMMYFUNCTION("IFERROR(IF(A279="""",""ENTER STOCK"",LET(stock,A279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79" s="48">
        <f t="shared" si="6"/>
        <v>0</v>
      </c>
      <c r="M279" s="48">
        <f t="shared" si="7"/>
        <v>1</v>
      </c>
      <c r="N279" s="50">
        <f t="shared" si="8"/>
        <v>1</v>
      </c>
      <c r="P279" s="46" t="str">
        <f t="shared" si="9"/>
        <v>REVERSE TRADE</v>
      </c>
      <c r="Q279" s="52"/>
      <c r="R279" s="53">
        <f t="shared" si="10"/>
        <v>15</v>
      </c>
      <c r="S279" s="53">
        <f>IFERROR(__xludf.DUMMYFUNCTION("IFERROR(ROUND(GOOGLEFINANCE(A279,""volume"")/GOOGLEFINANCE(A279,""volumeavg""),2),"""")"),2.1)</f>
        <v>2.1</v>
      </c>
      <c r="T279" s="53" t="str">
        <f t="shared" si="11"/>
        <v>HIGH VOL</v>
      </c>
      <c r="U279" s="53">
        <f>IFERROR(__xludf.DUMMYFUNCTION("IFERROR(
  LET(
    sd, GOOGLEFINANCE(A279,""close"",TODAY()-100,TODAY()),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"""")"),0.57)</f>
        <v>0.57</v>
      </c>
      <c r="V279" s="53" t="str">
        <f t="shared" si="12"/>
        <v>SLOW</v>
      </c>
      <c r="W279" s="53">
        <f>IFERROR(__xludf.DUMMYFUNCTION("IFERROR(ROUND((B279/GOOGLEFINANCE(A279,""high52"")-1)*100,1),"""")"),-27.3)</f>
        <v>-27.3</v>
      </c>
      <c r="X279" s="53">
        <f>IFERROR(__xludf.DUMMYFUNCTION("IFERROR(ROUND((B279-GOOGLEFINANCE(A279,""low52""))/(GOOGLEFINANCE(A279,""high52"")-GOOGLEFINANCE(A279,""low52""))*100,1),"""")"),16.3)</f>
        <v>16.3</v>
      </c>
      <c r="Y279" s="53" t="str">
        <f t="shared" si="13"/>
        <v>MID</v>
      </c>
      <c r="Z279" s="53">
        <f>IFERROR(__xludf.DUMMYFUNCTION("IFERROR(ROUND(((B279 / INDEX(GOOGLEFINANCE(TRIM(A279), ""price"", TODAY()-34, TODAY()), 2, 2)) - (GOOGLEFINANCE(""NIFTY_50"") / INDEX(GOOGLEFINANCE(""NIFTY_50"", ""price"", TODAY()-34, TODAY()), 2, 2))) * 100, 2), ""Check History"")"),0.46)</f>
        <v>0.46</v>
      </c>
      <c r="AA279" s="53" t="str">
        <f t="shared" si="14"/>
        <v>MILD RS</v>
      </c>
      <c r="AB279" s="53">
        <f>IFERROR(__xludf.DUMMYFUNCTION("IFERROR(LET(
  p, QUERY(GOOGLEFINANCE(TRIM(A279),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Loading"")"),39.6)</f>
        <v>39.6</v>
      </c>
      <c r="AC279" s="53" t="str">
        <f t="shared" si="15"/>
        <v>WEAK MOM</v>
      </c>
      <c r="AD279" s="53" t="str">
        <f>IFERROR(__xludf.DUMMYFUNCTION("IFERROR(IF(GOOGLEFINANCE(A279,""eps"")&gt;0,""EPS+"",""EPS-""),"""")"),"EPS+")</f>
        <v>EPS+</v>
      </c>
      <c r="AE279" s="53">
        <f t="shared" si="16"/>
        <v>4</v>
      </c>
      <c r="AF279" s="53">
        <f>IFERROR(__xludf.DUMMYFUNCTION("IFERROR(N279+IF(S279&gt;=1.2,1,0)+IF(U279&gt;=1,1,0)+IF(Z279&gt;0,1,0)+IF(AND(W279&gt;=-20,W279&lt;=0),1,0)+IF(IFERROR(GOOGLEFINANCE(A279,""eps""),0)&gt;0,1,0),"""")"),4.0)</f>
        <v>4</v>
      </c>
      <c r="AG279" s="53" t="str">
        <f t="shared" si="17"/>
        <v>REVERSE TRADE</v>
      </c>
    </row>
    <row r="280" ht="15.75" customHeight="1">
      <c r="A280" s="55" t="s">
        <v>447</v>
      </c>
      <c r="B280" s="44">
        <f>IFERROR(__xludf.DUMMYFUNCTION("GOOGLEFINANCE(A280,""price"")"),747.0)</f>
        <v>747</v>
      </c>
      <c r="C280" s="45">
        <f>IFERROR(__xludf.DUMMYFUNCTION("AVERAGE(QUERY(SORT(GOOGLEFINANCE(A280,""price"",TODAY()-150,TODAY()),1,0),""select Col2 limit 50""))"),695.4969999999998)</f>
        <v>695.497</v>
      </c>
      <c r="D280" s="45">
        <f>IFERROR(__xludf.DUMMYFUNCTION("AVERAGE(QUERY(SORT(GOOGLEFINANCE(A280,""price"",TODAY()-300,TODAY()),1,0),""select Col2 limit 100""))"),687.6144999999997)</f>
        <v>687.6145</v>
      </c>
      <c r="E280" s="45">
        <f>IFERROR(__xludf.DUMMYFUNCTION("AVERAGE(QUERY(SORT(GOOGLEFINANCE(A280,""price"",TODAY()-500,TODAY()),1,0),""select Col2 limit 200""))"),576.0847500000001)</f>
        <v>576.08475</v>
      </c>
      <c r="F280" s="46" t="str">
        <f t="shared" si="1"/>
        <v>In Bull Run</v>
      </c>
      <c r="G280" s="47">
        <f t="shared" si="2"/>
        <v>29.66842118</v>
      </c>
      <c r="H280" s="48" t="str">
        <f t="shared" si="3"/>
        <v>Golden ✓</v>
      </c>
      <c r="I280" s="48">
        <f t="shared" si="4"/>
        <v>3</v>
      </c>
      <c r="J280" s="48">
        <f t="shared" si="5"/>
        <v>0</v>
      </c>
      <c r="K280" s="49" t="str">
        <f>IFERROR(__xludf.DUMMYFUNCTION("IFERROR(IF(A280="""",""ENTER STOCK"",LET(stock,A280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FOUND"")"),"Short History")</f>
        <v>Short History</v>
      </c>
      <c r="L280" s="48">
        <f t="shared" si="6"/>
        <v>0</v>
      </c>
      <c r="M280" s="48">
        <f t="shared" si="7"/>
        <v>1</v>
      </c>
      <c r="N280" s="50">
        <f t="shared" si="8"/>
        <v>4</v>
      </c>
      <c r="P280" s="46" t="str">
        <f t="shared" si="9"/>
        <v>SKIP</v>
      </c>
      <c r="Q280" s="52"/>
      <c r="R280" s="53">
        <f t="shared" si="10"/>
        <v>15</v>
      </c>
      <c r="S280" s="53">
        <f>IFERROR(__xludf.DUMMYFUNCTION("IFERROR(ROUND(GOOGLEFINANCE(A280,""volume"")/GOOGLEFINANCE(A280,""volumeavg""),2),"""")"),1.78)</f>
        <v>1.78</v>
      </c>
      <c r="T280" s="53" t="str">
        <f t="shared" si="11"/>
        <v>HIGH VOL</v>
      </c>
      <c r="U280" s="53">
        <f>IFERROR(__xludf.DUMMYFUNCTION("IFERROR(
  LET(
    sd, GOOGLEFINANCE(A280,""close"",TODAY()-100,TODAY()),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"""")"),1.1)</f>
        <v>1.1</v>
      </c>
      <c r="V280" s="53" t="str">
        <f t="shared" si="12"/>
        <v>MEDIUM</v>
      </c>
      <c r="W280" s="53">
        <f>IFERROR(__xludf.DUMMYFUNCTION("IFERROR(ROUND((B280/GOOGLEFINANCE(A280,""high52"")-1)*100,1),"""")"),-7.2)</f>
        <v>-7.2</v>
      </c>
      <c r="X280" s="53">
        <f>IFERROR(__xludf.DUMMYFUNCTION("IFERROR(ROUND((B280-GOOGLEFINANCE(A280,""low52""))/(GOOGLEFINANCE(A280,""high52"")-GOOGLEFINANCE(A280,""low52""))*100,1),"""")"),88.8)</f>
        <v>88.8</v>
      </c>
      <c r="Y280" s="53" t="str">
        <f t="shared" si="13"/>
        <v>UPPER</v>
      </c>
      <c r="Z280" s="53">
        <f>IFERROR(__xludf.DUMMYFUNCTION("IFERROR(ROUND(((B280 / INDEX(GOOGLEFINANCE(TRIM(A280), ""price"", TODAY()-34, TODAY()), 2, 2)) - (GOOGLEFINANCE(""NIFTY_50"") / INDEX(GOOGLEFINANCE(""NIFTY_50"", ""price"", TODAY()-34, TODAY()), 2, 2))) * 100, 2), ""Check History"")"),19.06)</f>
        <v>19.06</v>
      </c>
      <c r="AA280" s="53" t="str">
        <f t="shared" si="14"/>
        <v>STRONG RS</v>
      </c>
      <c r="AB280" s="53">
        <f>IFERROR(__xludf.DUMMYFUNCTION("IFERROR(LET(
  p, QUERY(GOOGLEFINANCE(TRIM(A280),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Loading"")"),34.2)</f>
        <v>34.2</v>
      </c>
      <c r="AC280" s="53" t="str">
        <f t="shared" si="15"/>
        <v>WEAK MOM</v>
      </c>
      <c r="AD280" s="53" t="str">
        <f>IFERROR(__xludf.DUMMYFUNCTION("IFERROR(IF(GOOGLEFINANCE(A280,""eps"")&gt;0,""EPS+"",""EPS-""),"""")"),"EPS-")</f>
        <v>EPS-</v>
      </c>
      <c r="AE280" s="53">
        <f t="shared" si="16"/>
        <v>9</v>
      </c>
      <c r="AF280" s="53">
        <f>IFERROR(__xludf.DUMMYFUNCTION("IFERROR(N280+IF(S280&gt;=1.2,1,0)+IF(U280&gt;=1,1,0)+IF(Z280&gt;0,1,0)+IF(AND(W280&gt;=-20,W280&lt;=0),1,0)+IF(IFERROR(GOOGLEFINANCE(A280,""eps""),0)&gt;0,1,0),"""")"),8.0)</f>
        <v>8</v>
      </c>
      <c r="AG280" s="53" t="str">
        <f t="shared" si="17"/>
        <v>BUY</v>
      </c>
    </row>
    <row r="281" ht="15.75" customHeight="1">
      <c r="A281" s="55" t="s">
        <v>448</v>
      </c>
      <c r="B281" s="44">
        <f>IFERROR(__xludf.DUMMYFUNCTION("GOOGLEFINANCE(A281,""price"")"),6355.0)</f>
        <v>6355</v>
      </c>
      <c r="C281" s="45">
        <f>IFERROR(__xludf.DUMMYFUNCTION("AVERAGE(QUERY(SORT(GOOGLEFINANCE(A281,""price"",TODAY()-150,TODAY()),1,0),""select Col2 limit 50""))"),6299.36)</f>
        <v>6299.36</v>
      </c>
      <c r="D281" s="45">
        <f>IFERROR(__xludf.DUMMYFUNCTION("AVERAGE(QUERY(SORT(GOOGLEFINANCE(A281,""price"",TODAY()-300,TODAY()),1,0),""select Col2 limit 100""))"),6126.675)</f>
        <v>6126.675</v>
      </c>
      <c r="E281" s="45">
        <f>IFERROR(__xludf.DUMMYFUNCTION("AVERAGE(QUERY(SORT(GOOGLEFINANCE(A281,""price"",TODAY()-500,TODAY()),1,0),""select Col2 limit 200""))"),6359.19)</f>
        <v>6359.19</v>
      </c>
      <c r="F281" s="46" t="str">
        <f t="shared" si="1"/>
        <v>Unconfirmed</v>
      </c>
      <c r="G281" s="47">
        <f t="shared" si="2"/>
        <v>-0.06588889465</v>
      </c>
      <c r="H281" s="48" t="str">
        <f t="shared" si="3"/>
        <v>Inverted ✗</v>
      </c>
      <c r="I281" s="48">
        <f t="shared" si="4"/>
        <v>0</v>
      </c>
      <c r="J281" s="48">
        <f t="shared" si="5"/>
        <v>0</v>
      </c>
      <c r="K281" s="49" t="str">
        <f>IFERROR(__xludf.DUMMYFUNCTION("IFERROR(IF(A281="""",""ENTER STOCK"",LET(stock,A281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81" s="48">
        <f t="shared" si="6"/>
        <v>0</v>
      </c>
      <c r="M281" s="48">
        <f t="shared" si="7"/>
        <v>1</v>
      </c>
      <c r="N281" s="50">
        <f t="shared" si="8"/>
        <v>1</v>
      </c>
      <c r="P281" s="46" t="str">
        <f t="shared" si="9"/>
        <v>WAIT</v>
      </c>
      <c r="Q281" s="52"/>
      <c r="R281" s="53">
        <f t="shared" si="10"/>
        <v>15</v>
      </c>
      <c r="S281" s="53">
        <f>IFERROR(__xludf.DUMMYFUNCTION("IFERROR(ROUND(GOOGLEFINANCE(A281,""volume"")/GOOGLEFINANCE(A281,""volumeavg""),2),"""")"),1.58)</f>
        <v>1.58</v>
      </c>
      <c r="T281" s="53" t="str">
        <f t="shared" si="11"/>
        <v>HIGH VOL</v>
      </c>
      <c r="U281" s="53">
        <f>IFERROR(__xludf.DUMMYFUNCTION("IFERROR(
  LET(
    sd, GOOGLEFINANCE(A281,""close"",TODAY()-100,TODAY()),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"""")"),0.51)</f>
        <v>0.51</v>
      </c>
      <c r="V281" s="53" t="str">
        <f t="shared" si="12"/>
        <v>SLOW</v>
      </c>
      <c r="W281" s="53">
        <f>IFERROR(__xludf.DUMMYFUNCTION("IFERROR(ROUND((B281/GOOGLEFINANCE(A281,""high52"")-1)*100,1),"""")"),-18.4)</f>
        <v>-18.4</v>
      </c>
      <c r="X281" s="53">
        <f>IFERROR(__xludf.DUMMYFUNCTION("IFERROR(ROUND((B281-GOOGLEFINANCE(A281,""low52""))/(GOOGLEFINANCE(A281,""high52"")-GOOGLEFINANCE(A281,""low52""))*100,1),"""")"),52.8)</f>
        <v>52.8</v>
      </c>
      <c r="Y281" s="53" t="str">
        <f t="shared" si="13"/>
        <v>UPPER</v>
      </c>
      <c r="Z281" s="53">
        <f>IFERROR(__xludf.DUMMYFUNCTION("IFERROR(ROUND(((B281 / INDEX(GOOGLEFINANCE(TRIM(A281), ""price"", TODAY()-34, TODAY()), 2, 2)) - (GOOGLEFINANCE(""NIFTY_50"") / INDEX(GOOGLEFINANCE(""NIFTY_50"", ""price"", TODAY()-34, TODAY()), 2, 2))) * 100, 2), ""Check History"")"),10.42)</f>
        <v>10.42</v>
      </c>
      <c r="AA281" s="53" t="str">
        <f t="shared" si="14"/>
        <v>STRONG RS</v>
      </c>
      <c r="AB281" s="53">
        <f>IFERROR(__xludf.DUMMYFUNCTION("IFERROR(LET(
  p, QUERY(GOOGLEFINANCE(TRIM(A281),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Loading"")"),43.3)</f>
        <v>43.3</v>
      </c>
      <c r="AC281" s="53" t="str">
        <f t="shared" si="15"/>
        <v>WEAK MOM</v>
      </c>
      <c r="AD281" s="53" t="str">
        <f>IFERROR(__xludf.DUMMYFUNCTION("IFERROR(IF(GOOGLEFINANCE(A281,""eps"")&gt;0,""EPS+"",""EPS-""),"""")"),"EPS+")</f>
        <v>EPS+</v>
      </c>
      <c r="AE281" s="53">
        <f t="shared" si="16"/>
        <v>6</v>
      </c>
      <c r="AF281" s="53">
        <f>IFERROR(__xludf.DUMMYFUNCTION("IFERROR(N281+IF(S281&gt;=1.2,1,0)+IF(U281&gt;=1,1,0)+IF(Z281&gt;0,1,0)+IF(AND(W281&gt;=-20,W281&lt;=0),1,0)+IF(IFERROR(GOOGLEFINANCE(A281,""eps""),0)&gt;0,1,0),"""")"),5.0)</f>
        <v>5</v>
      </c>
      <c r="AG281" s="53" t="str">
        <f t="shared" si="17"/>
        <v>WAIT</v>
      </c>
    </row>
    <row r="282" ht="15.75" customHeight="1">
      <c r="A282" s="55" t="s">
        <v>449</v>
      </c>
      <c r="B282" s="44">
        <f>IFERROR(__xludf.DUMMYFUNCTION("GOOGLEFINANCE(A282,""price"")"),426.0)</f>
        <v>426</v>
      </c>
      <c r="C282" s="45">
        <f>IFERROR(__xludf.DUMMYFUNCTION("AVERAGE(QUERY(SORT(GOOGLEFINANCE(A282,""price"",TODAY()-150,TODAY()),1,0),""select Col2 limit 50""))"),501.2439999999999)</f>
        <v>501.244</v>
      </c>
      <c r="D282" s="45">
        <f>IFERROR(__xludf.DUMMYFUNCTION("AVERAGE(QUERY(SORT(GOOGLEFINANCE(A282,""price"",TODAY()-300,TODAY()),1,0),""select Col2 limit 100""))"),532.596)</f>
        <v>532.596</v>
      </c>
      <c r="E282" s="45">
        <f>IFERROR(__xludf.DUMMYFUNCTION("AVERAGE(QUERY(SORT(GOOGLEFINANCE(A282,""price"",TODAY()-500,TODAY()),1,0),""select Col2 limit 200""))"),557.7683000000002)</f>
        <v>557.7683</v>
      </c>
      <c r="F282" s="46" t="str">
        <f t="shared" si="1"/>
        <v>In Bear Run</v>
      </c>
      <c r="G282" s="47">
        <f t="shared" si="2"/>
        <v>-23.62420023</v>
      </c>
      <c r="H282" s="48" t="str">
        <f t="shared" si="3"/>
        <v>Inverted ✗</v>
      </c>
      <c r="I282" s="48">
        <f t="shared" si="4"/>
        <v>0</v>
      </c>
      <c r="J282" s="48">
        <f t="shared" si="5"/>
        <v>0</v>
      </c>
      <c r="K282" s="49" t="str">
        <f>IFERROR(__xludf.DUMMYFUNCTION("IFERROR(IF(A282="""",""ENTER STOCK"",LET(stock,A282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82" s="48">
        <f t="shared" si="6"/>
        <v>0</v>
      </c>
      <c r="M282" s="48">
        <f t="shared" si="7"/>
        <v>1</v>
      </c>
      <c r="N282" s="50">
        <f t="shared" si="8"/>
        <v>1</v>
      </c>
      <c r="P282" s="46" t="str">
        <f t="shared" si="9"/>
        <v>REVERSE TRADE</v>
      </c>
      <c r="Q282" s="52"/>
      <c r="R282" s="53">
        <f t="shared" si="10"/>
        <v>15</v>
      </c>
      <c r="S282" s="53">
        <f>IFERROR(__xludf.DUMMYFUNCTION("IFERROR(ROUND(GOOGLEFINANCE(A282,""volume"")/GOOGLEFINANCE(A282,""volumeavg""),2),"""")"),2.51)</f>
        <v>2.51</v>
      </c>
      <c r="T282" s="53" t="str">
        <f t="shared" si="11"/>
        <v>HIGH VOL</v>
      </c>
      <c r="U282" s="53">
        <f>IFERROR(__xludf.DUMMYFUNCTION("IFERROR(
  LET(
    sd, GOOGLEFINANCE(A282,""close"",TODAY()-100,TODAY()),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"""")"),1.82)</f>
        <v>1.82</v>
      </c>
      <c r="V282" s="53" t="str">
        <f t="shared" si="12"/>
        <v>FAST</v>
      </c>
      <c r="W282" s="53">
        <f>IFERROR(__xludf.DUMMYFUNCTION("IFERROR(ROUND((B282/GOOGLEFINANCE(A282,""high52"")-1)*100,1),"""")"),-48.7)</f>
        <v>-48.7</v>
      </c>
      <c r="X282" s="53">
        <f>IFERROR(__xludf.DUMMYFUNCTION("IFERROR(ROUND((B282-GOOGLEFINANCE(A282,""low52""))/(GOOGLEFINANCE(A282,""high52"")-GOOGLEFINANCE(A282,""low52""))*100,1),"""")"),15.3)</f>
        <v>15.3</v>
      </c>
      <c r="Y282" s="53" t="str">
        <f t="shared" si="13"/>
        <v>DEEP RECOVERY</v>
      </c>
      <c r="Z282" s="53">
        <f>IFERROR(__xludf.DUMMYFUNCTION("IFERROR(ROUND(((B282 / INDEX(GOOGLEFINANCE(TRIM(A282), ""price"", TODAY()-34, TODAY()), 2, 2)) - (GOOGLEFINANCE(""NIFTY_50"") / INDEX(GOOGLEFINANCE(""NIFTY_50"", ""price"", TODAY()-34, TODAY()), 2, 2))) * 100, 2), ""Check History"")"),-2.06)</f>
        <v>-2.06</v>
      </c>
      <c r="AA282" s="53" t="str">
        <f t="shared" si="14"/>
        <v>WEAK RS</v>
      </c>
      <c r="AB282" s="53">
        <f>IFERROR(__xludf.DUMMYFUNCTION("IFERROR(LET(
  p, QUERY(GOOGLEFINANCE(TRIM(A282),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Loading"")"),53.5)</f>
        <v>53.5</v>
      </c>
      <c r="AC282" s="53" t="str">
        <f t="shared" si="15"/>
        <v>IDEAL ENTRY</v>
      </c>
      <c r="AD282" s="53" t="str">
        <f>IFERROR(__xludf.DUMMYFUNCTION("IFERROR(IF(GOOGLEFINANCE(A282,""eps"")&gt;0,""EPS+"",""EPS-""),"""")"),"EPS+")</f>
        <v>EPS+</v>
      </c>
      <c r="AE282" s="53">
        <f t="shared" si="16"/>
        <v>6</v>
      </c>
      <c r="AF282" s="53">
        <f>IFERROR(__xludf.DUMMYFUNCTION("IFERROR(N282+IF(S282&gt;=1.2,1,0)+IF(U282&gt;=1,1,0)+IF(Z282&gt;0,1,0)+IF(AND(W282&gt;=-20,W282&lt;=0),1,0)+IF(IFERROR(GOOGLEFINANCE(A282,""eps""),0)&gt;0,1,0),"""")"),4.0)</f>
        <v>4</v>
      </c>
      <c r="AG282" s="53" t="str">
        <f t="shared" si="17"/>
        <v>REVERSE TRADE</v>
      </c>
    </row>
    <row r="283" ht="15.75" customHeight="1">
      <c r="A283" s="55" t="s">
        <v>450</v>
      </c>
      <c r="B283" s="44">
        <f>IFERROR(__xludf.DUMMYFUNCTION("GOOGLEFINANCE(A283,""price"")"),3190.0)</f>
        <v>3190</v>
      </c>
      <c r="C283" s="45">
        <f>IFERROR(__xludf.DUMMYFUNCTION("AVERAGE(QUERY(SORT(GOOGLEFINANCE(A283,""price"",TODAY()-150,TODAY()),1,0),""select Col2 limit 50""))"),3550.181999999999)</f>
        <v>3550.182</v>
      </c>
      <c r="D283" s="45">
        <f>IFERROR(__xludf.DUMMYFUNCTION("AVERAGE(QUERY(SORT(GOOGLEFINANCE(A283,""price"",TODAY()-300,TODAY()),1,0),""select Col2 limit 100""))"),3819.616999999999)</f>
        <v>3819.617</v>
      </c>
      <c r="E283" s="45">
        <f>IFERROR(__xludf.DUMMYFUNCTION("AVERAGE(QUERY(SORT(GOOGLEFINANCE(A283,""price"",TODAY()-500,TODAY()),1,0),""select Col2 limit 200""))"),4289.351000000001)</f>
        <v>4289.351</v>
      </c>
      <c r="F283" s="46" t="str">
        <f t="shared" si="1"/>
        <v>In Bear Run</v>
      </c>
      <c r="G283" s="47">
        <f t="shared" si="2"/>
        <v>-25.62977476</v>
      </c>
      <c r="H283" s="48" t="str">
        <f t="shared" si="3"/>
        <v>Inverted ✗</v>
      </c>
      <c r="I283" s="48">
        <f t="shared" si="4"/>
        <v>0</v>
      </c>
      <c r="J283" s="48">
        <f t="shared" si="5"/>
        <v>0</v>
      </c>
      <c r="K283" s="49" t="str">
        <f>IFERROR(__xludf.DUMMYFUNCTION("IFERROR(IF(A283="""",""ENTER STOCK"",LET(stock,A283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83" s="48">
        <f t="shared" si="6"/>
        <v>0</v>
      </c>
      <c r="M283" s="48">
        <f t="shared" si="7"/>
        <v>1</v>
      </c>
      <c r="N283" s="50">
        <f t="shared" si="8"/>
        <v>1</v>
      </c>
      <c r="P283" s="46" t="str">
        <f t="shared" si="9"/>
        <v>REVERSE TRADE</v>
      </c>
      <c r="Q283" s="52"/>
      <c r="R283" s="53">
        <f t="shared" si="10"/>
        <v>15</v>
      </c>
      <c r="S283" s="53">
        <f>IFERROR(__xludf.DUMMYFUNCTION("IFERROR(ROUND(GOOGLEFINANCE(A283,""volume"")/GOOGLEFINANCE(A283,""volumeavg""),2),"""")"),2.24)</f>
        <v>2.24</v>
      </c>
      <c r="T283" s="53" t="str">
        <f t="shared" si="11"/>
        <v>HIGH VOL</v>
      </c>
      <c r="U283" s="53">
        <f>IFERROR(__xludf.DUMMYFUNCTION("IFERROR(
  LET(
    sd, GOOGLEFINANCE(A283,""close"",TODAY()-100,TODAY()),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"""")"),1.17)</f>
        <v>1.17</v>
      </c>
      <c r="V283" s="53" t="str">
        <f t="shared" si="12"/>
        <v>MEDIUM</v>
      </c>
      <c r="W283" s="53">
        <f>IFERROR(__xludf.DUMMYFUNCTION("IFERROR(ROUND((B283/GOOGLEFINANCE(A283,""high52"")-1)*100,1),"""")"),-41.2)</f>
        <v>-41.2</v>
      </c>
      <c r="X283" s="53">
        <f>IFERROR(__xludf.DUMMYFUNCTION("IFERROR(ROUND((B283-GOOGLEFINANCE(A283,""low52""))/(GOOGLEFINANCE(A283,""high52"")-GOOGLEFINANCE(A283,""low52""))*100,1),"""")"),2.9)</f>
        <v>2.9</v>
      </c>
      <c r="Y283" s="53" t="str">
        <f t="shared" si="13"/>
        <v>DEEP RECOVERY</v>
      </c>
      <c r="Z283" s="53">
        <f>IFERROR(__xludf.DUMMYFUNCTION("IFERROR(ROUND(((B283 / INDEX(GOOGLEFINANCE(TRIM(A283), ""price"", TODAY()-34, TODAY()), 2, 2)) - (GOOGLEFINANCE(""NIFTY_50"") / INDEX(GOOGLEFINANCE(""NIFTY_50"", ""price"", TODAY()-34, TODAY()), 2, 2))) * 100, 2), ""Check History"")"),2.52)</f>
        <v>2.52</v>
      </c>
      <c r="AA283" s="53" t="str">
        <f t="shared" si="14"/>
        <v>MILD RS</v>
      </c>
      <c r="AB283" s="53">
        <f>IFERROR(__xludf.DUMMYFUNCTION("IFERROR(LET(
  p, QUERY(GOOGLEFINANCE(TRIM(A283),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Loading"")"),44.6)</f>
        <v>44.6</v>
      </c>
      <c r="AC283" s="53" t="str">
        <f t="shared" si="15"/>
        <v>WEAK MOM</v>
      </c>
      <c r="AD283" s="53" t="str">
        <f>IFERROR(__xludf.DUMMYFUNCTION("IFERROR(IF(GOOGLEFINANCE(A283,""eps"")&gt;0,""EPS+"",""EPS-""),"""")"),"EPS+")</f>
        <v>EPS+</v>
      </c>
      <c r="AE283" s="53">
        <f t="shared" si="16"/>
        <v>6</v>
      </c>
      <c r="AF283" s="53">
        <f>IFERROR(__xludf.DUMMYFUNCTION("IFERROR(N283+IF(S283&gt;=1.2,1,0)+IF(U283&gt;=1,1,0)+IF(Z283&gt;0,1,0)+IF(AND(W283&gt;=-20,W283&lt;=0),1,0)+IF(IFERROR(GOOGLEFINANCE(A283,""eps""),0)&gt;0,1,0),"""")"),5.0)</f>
        <v>5</v>
      </c>
      <c r="AG283" s="53" t="str">
        <f t="shared" si="17"/>
        <v>REVERSE TRADE</v>
      </c>
    </row>
    <row r="284" ht="15.75" customHeight="1">
      <c r="A284" s="55" t="s">
        <v>451</v>
      </c>
      <c r="B284" s="44">
        <f>IFERROR(__xludf.DUMMYFUNCTION("GOOGLEFINANCE(A284,""price"")"),1360.2)</f>
        <v>1360.2</v>
      </c>
      <c r="C284" s="45">
        <f>IFERROR(__xludf.DUMMYFUNCTION("AVERAGE(QUERY(SORT(GOOGLEFINANCE(A284,""price"",TODAY()-150,TODAY()),1,0),""select Col2 limit 50""))"),1657.7020000000002)</f>
        <v>1657.702</v>
      </c>
      <c r="D284" s="45">
        <f>IFERROR(__xludf.DUMMYFUNCTION("AVERAGE(QUERY(SORT(GOOGLEFINANCE(A284,""price"",TODAY()-300,TODAY()),1,0),""select Col2 limit 100""))"),1754.13)</f>
        <v>1754.13</v>
      </c>
      <c r="E284" s="45">
        <f>IFERROR(__xludf.DUMMYFUNCTION("AVERAGE(QUERY(SORT(GOOGLEFINANCE(A284,""price"",TODAY()-500,TODAY()),1,0),""select Col2 limit 200""))"),1944.3962499999998)</f>
        <v>1944.39625</v>
      </c>
      <c r="F284" s="46" t="str">
        <f t="shared" si="1"/>
        <v>In Bear Run</v>
      </c>
      <c r="G284" s="47">
        <f t="shared" si="2"/>
        <v>-30.04512326</v>
      </c>
      <c r="H284" s="48" t="str">
        <f t="shared" si="3"/>
        <v>Inverted ✗</v>
      </c>
      <c r="I284" s="48">
        <f t="shared" si="4"/>
        <v>0</v>
      </c>
      <c r="J284" s="48">
        <f t="shared" si="5"/>
        <v>0</v>
      </c>
      <c r="K284" s="49" t="str">
        <f>IFERROR(__xludf.DUMMYFUNCTION("IFERROR(IF(A284="""",""ENTER STOCK"",LET(stock,A284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84" s="48">
        <f t="shared" si="6"/>
        <v>0</v>
      </c>
      <c r="M284" s="48">
        <f t="shared" si="7"/>
        <v>1</v>
      </c>
      <c r="N284" s="50">
        <f t="shared" si="8"/>
        <v>1</v>
      </c>
      <c r="P284" s="46" t="str">
        <f t="shared" si="9"/>
        <v>REVERSE TRADE</v>
      </c>
      <c r="Q284" s="52"/>
      <c r="R284" s="53">
        <f t="shared" si="10"/>
        <v>15</v>
      </c>
      <c r="S284" s="53">
        <f>IFERROR(__xludf.DUMMYFUNCTION("IFERROR(ROUND(GOOGLEFINANCE(A284,""volume"")/GOOGLEFINANCE(A284,""volumeavg""),2),"""")"),2.13)</f>
        <v>2.13</v>
      </c>
      <c r="T284" s="53" t="str">
        <f t="shared" si="11"/>
        <v>HIGH VOL</v>
      </c>
      <c r="U284" s="53">
        <f>IFERROR(__xludf.DUMMYFUNCTION("IFERROR(
  LET(
    sd, GOOGLEFINANCE(A284,""close"",TODAY()-100,TODAY()),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"""")"),1.62)</f>
        <v>1.62</v>
      </c>
      <c r="V284" s="53" t="str">
        <f t="shared" si="12"/>
        <v>FAST</v>
      </c>
      <c r="W284" s="53">
        <f>IFERROR(__xludf.DUMMYFUNCTION("IFERROR(ROUND((B284/GOOGLEFINANCE(A284,""high52"")-1)*100,1),"""")"),-44.2)</f>
        <v>-44.2</v>
      </c>
      <c r="X284" s="53">
        <f>IFERROR(__xludf.DUMMYFUNCTION("IFERROR(ROUND((B284-GOOGLEFINANCE(A284,""low52""))/(GOOGLEFINANCE(A284,""high52"")-GOOGLEFINANCE(A284,""low52""))*100,1),"""")"),11.1)</f>
        <v>11.1</v>
      </c>
      <c r="Y284" s="53" t="str">
        <f t="shared" si="13"/>
        <v>DEEP RECOVERY</v>
      </c>
      <c r="Z284" s="53">
        <f>IFERROR(__xludf.DUMMYFUNCTION("IFERROR(ROUND(((B284 / INDEX(GOOGLEFINANCE(TRIM(A284), ""price"", TODAY()-34, TODAY()), 2, 2)) - (GOOGLEFINANCE(""NIFTY_50"") / INDEX(GOOGLEFINANCE(""NIFTY_50"", ""price"", TODAY()-34, TODAY()), 2, 2))) * 100, 2), ""Check History"")"),-7.72)</f>
        <v>-7.72</v>
      </c>
      <c r="AA284" s="53" t="str">
        <f t="shared" si="14"/>
        <v>WEAK RS</v>
      </c>
      <c r="AB284" s="53">
        <f>IFERROR(__xludf.DUMMYFUNCTION("IFERROR(LET(
  p, QUERY(GOOGLEFINANCE(TRIM(A284),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Loading"")"),33.5)</f>
        <v>33.5</v>
      </c>
      <c r="AC284" s="53" t="str">
        <f t="shared" si="15"/>
        <v>WEAK MOM</v>
      </c>
      <c r="AD284" s="53" t="str">
        <f>IFERROR(__xludf.DUMMYFUNCTION("IFERROR(IF(GOOGLEFINANCE(A284,""eps"")&gt;0,""EPS+"",""EPS-""),"""")"),"EPS+")</f>
        <v>EPS+</v>
      </c>
      <c r="AE284" s="53">
        <f t="shared" si="16"/>
        <v>6</v>
      </c>
      <c r="AF284" s="53">
        <f>IFERROR(__xludf.DUMMYFUNCTION("IFERROR(N284+IF(S284&gt;=1.2,1,0)+IF(U284&gt;=1,1,0)+IF(Z284&gt;0,1,0)+IF(AND(W284&gt;=-20,W284&lt;=0),1,0)+IF(IFERROR(GOOGLEFINANCE(A284,""eps""),0)&gt;0,1,0),"""")"),4.0)</f>
        <v>4</v>
      </c>
      <c r="AG284" s="53" t="str">
        <f t="shared" si="17"/>
        <v>REVERSE TRADE</v>
      </c>
    </row>
    <row r="285" ht="15.75" customHeight="1">
      <c r="A285" s="55" t="s">
        <v>452</v>
      </c>
      <c r="B285" s="44">
        <f>IFERROR(__xludf.DUMMYFUNCTION("GOOGLEFINANCE(A285,""price"")"),235.95)</f>
        <v>235.95</v>
      </c>
      <c r="C285" s="45">
        <f>IFERROR(__xludf.DUMMYFUNCTION("AVERAGE(QUERY(SORT(GOOGLEFINANCE(A285,""price"",TODAY()-150,TODAY()),1,0),""select Col2 limit 50""))"),268.691)</f>
        <v>268.691</v>
      </c>
      <c r="D285" s="45">
        <f>IFERROR(__xludf.DUMMYFUNCTION("AVERAGE(QUERY(SORT(GOOGLEFINANCE(A285,""price"",TODAY()-300,TODAY()),1,0),""select Col2 limit 100""))"),293.7870000000001)</f>
        <v>293.787</v>
      </c>
      <c r="E285" s="45">
        <f>IFERROR(__xludf.DUMMYFUNCTION("AVERAGE(QUERY(SORT(GOOGLEFINANCE(A285,""price"",TODAY()-500,TODAY()),1,0),""select Col2 limit 200""))"),326.9725000000001)</f>
        <v>326.9725</v>
      </c>
      <c r="F285" s="46" t="str">
        <f t="shared" si="1"/>
        <v>In Bear Run</v>
      </c>
      <c r="G285" s="47">
        <f t="shared" si="2"/>
        <v>-27.83796802</v>
      </c>
      <c r="H285" s="48" t="str">
        <f t="shared" si="3"/>
        <v>Inverted ✗</v>
      </c>
      <c r="I285" s="48">
        <f t="shared" si="4"/>
        <v>0</v>
      </c>
      <c r="J285" s="48">
        <f t="shared" si="5"/>
        <v>0</v>
      </c>
      <c r="K285" s="49" t="str">
        <f>IFERROR(__xludf.DUMMYFUNCTION("IFERROR(IF(A285="""",""ENTER STOCK"",LET(stock,A285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85" s="48">
        <f t="shared" si="6"/>
        <v>0</v>
      </c>
      <c r="M285" s="48">
        <f t="shared" si="7"/>
        <v>1</v>
      </c>
      <c r="N285" s="50">
        <f t="shared" si="8"/>
        <v>1</v>
      </c>
      <c r="P285" s="46" t="str">
        <f t="shared" si="9"/>
        <v>REVERSE TRADE</v>
      </c>
      <c r="Q285" s="52"/>
      <c r="R285" s="53">
        <f t="shared" si="10"/>
        <v>15</v>
      </c>
      <c r="S285" s="53">
        <f>IFERROR(__xludf.DUMMYFUNCTION("IFERROR(ROUND(GOOGLEFINANCE(A285,""volume"")/GOOGLEFINANCE(A285,""volumeavg""),2),"""")"),0.59)</f>
        <v>0.59</v>
      </c>
      <c r="T285" s="53" t="str">
        <f t="shared" si="11"/>
        <v>LOW VOL</v>
      </c>
      <c r="U285" s="53">
        <f>IFERROR(__xludf.DUMMYFUNCTION("IFERROR(
  LET(
    sd, GOOGLEFINANCE(A285,""close"",TODAY()-100,TODAY()),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"""")"),1.7)</f>
        <v>1.7</v>
      </c>
      <c r="V285" s="53" t="str">
        <f t="shared" si="12"/>
        <v>FAST</v>
      </c>
      <c r="W285" s="53">
        <f>IFERROR(__xludf.DUMMYFUNCTION("IFERROR(ROUND((B285/GOOGLEFINANCE(A285,""high52"")-1)*100,1),"""")"),-44.1)</f>
        <v>-44.1</v>
      </c>
      <c r="X285" s="53">
        <f>IFERROR(__xludf.DUMMYFUNCTION("IFERROR(ROUND((B285-GOOGLEFINANCE(A285,""low52""))/(GOOGLEFINANCE(A285,""high52"")-GOOGLEFINANCE(A285,""low52""))*100,1),"""")"),8.4)</f>
        <v>8.4</v>
      </c>
      <c r="Y285" s="53" t="str">
        <f t="shared" si="13"/>
        <v>DEEP RECOVERY</v>
      </c>
      <c r="Z285" s="53">
        <f>IFERROR(__xludf.DUMMYFUNCTION("IFERROR(ROUND(((B285 / INDEX(GOOGLEFINANCE(TRIM(A285), ""price"", TODAY()-34, TODAY()), 2, 2)) - (GOOGLEFINANCE(""NIFTY_50"") / INDEX(GOOGLEFINANCE(""NIFTY_50"", ""price"", TODAY()-34, TODAY()), 2, 2))) * 100, 2), ""Check History"")"),-5.38)</f>
        <v>-5.38</v>
      </c>
      <c r="AA285" s="53" t="str">
        <f t="shared" si="14"/>
        <v>WEAK RS</v>
      </c>
      <c r="AB285" s="53">
        <f>IFERROR(__xludf.DUMMYFUNCTION("IFERROR(LET(
  p, QUERY(GOOGLEFINANCE(TRIM(A285),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Loading"")"),53.0)</f>
        <v>53</v>
      </c>
      <c r="AC285" s="53" t="str">
        <f t="shared" si="15"/>
        <v>IDEAL ENTRY</v>
      </c>
      <c r="AD285" s="53" t="str">
        <f>IFERROR(__xludf.DUMMYFUNCTION("IFERROR(IF(GOOGLEFINANCE(A285,""eps"")&gt;0,""EPS+"",""EPS-""),"""")"),"EPS+")</f>
        <v>EPS+</v>
      </c>
      <c r="AE285" s="53">
        <f t="shared" si="16"/>
        <v>3</v>
      </c>
      <c r="AF285" s="53">
        <f>IFERROR(__xludf.DUMMYFUNCTION("IFERROR(N285+IF(S285&gt;=1.2,1,0)+IF(U285&gt;=1,1,0)+IF(Z285&gt;0,1,0)+IF(AND(W285&gt;=-20,W285&lt;=0),1,0)+IF(IFERROR(GOOGLEFINANCE(A285,""eps""),0)&gt;0,1,0),"""")"),3.0)</f>
        <v>3</v>
      </c>
      <c r="AG285" s="53" t="str">
        <f t="shared" si="17"/>
        <v>REVERSE TRADE</v>
      </c>
    </row>
    <row r="286" ht="15.75" customHeight="1">
      <c r="A286" s="55" t="s">
        <v>453</v>
      </c>
      <c r="B286" s="44">
        <f>IFERROR(__xludf.DUMMYFUNCTION("GOOGLEFINANCE(A286,""price"")"),141.07)</f>
        <v>141.07</v>
      </c>
      <c r="C286" s="45">
        <f>IFERROR(__xludf.DUMMYFUNCTION("AVERAGE(QUERY(SORT(GOOGLEFINANCE(A286,""price"",TODAY()-150,TODAY()),1,0),""select Col2 limit 50""))"),162.6896)</f>
        <v>162.6896</v>
      </c>
      <c r="D286" s="45">
        <f>IFERROR(__xludf.DUMMYFUNCTION("AVERAGE(QUERY(SORT(GOOGLEFINANCE(A286,""price"",TODAY()-300,TODAY()),1,0),""select Col2 limit 100""))"),155.59249999999997)</f>
        <v>155.5925</v>
      </c>
      <c r="E286" s="45">
        <f>IFERROR(__xludf.DUMMYFUNCTION("AVERAGE(QUERY(SORT(GOOGLEFINANCE(A286,""price"",TODAY()-500,TODAY()),1,0),""select Col2 limit 200""))"),163.26725000000002)</f>
        <v>163.26725</v>
      </c>
      <c r="F286" s="46" t="str">
        <f t="shared" si="1"/>
        <v>In Bear Run</v>
      </c>
      <c r="G286" s="47">
        <f t="shared" si="2"/>
        <v>-13.59565375</v>
      </c>
      <c r="H286" s="48" t="str">
        <f t="shared" si="3"/>
        <v>Inverted ✗</v>
      </c>
      <c r="I286" s="48">
        <f t="shared" si="4"/>
        <v>0</v>
      </c>
      <c r="J286" s="48">
        <f t="shared" si="5"/>
        <v>0</v>
      </c>
      <c r="K286" s="49" t="str">
        <f>IFERROR(__xludf.DUMMYFUNCTION("IFERROR(IF(A286="""",""ENTER STOCK"",LET(stock,A286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86" s="48">
        <f t="shared" si="6"/>
        <v>0</v>
      </c>
      <c r="M286" s="48">
        <f t="shared" si="7"/>
        <v>1</v>
      </c>
      <c r="N286" s="50">
        <f t="shared" si="8"/>
        <v>1</v>
      </c>
      <c r="P286" s="46" t="str">
        <f t="shared" si="9"/>
        <v>REVERSE TRADE</v>
      </c>
      <c r="Q286" s="52"/>
      <c r="R286" s="53">
        <f t="shared" si="10"/>
        <v>15</v>
      </c>
      <c r="S286" s="53">
        <f>IFERROR(__xludf.DUMMYFUNCTION("IFERROR(ROUND(GOOGLEFINANCE(A286,""volume"")/GOOGLEFINANCE(A286,""volumeavg""),2),"""")"),1.09)</f>
        <v>1.09</v>
      </c>
      <c r="T286" s="53" t="str">
        <f t="shared" si="11"/>
        <v>LOW VOL</v>
      </c>
      <c r="U286" s="53">
        <f>IFERROR(__xludf.DUMMYFUNCTION("IFERROR(
  LET(
    sd, GOOGLEFINANCE(A286,""close"",TODAY()-100,TODAY()),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"""")"),1.31)</f>
        <v>1.31</v>
      </c>
      <c r="V286" s="53" t="str">
        <f t="shared" si="12"/>
        <v>FAST</v>
      </c>
      <c r="W286" s="53">
        <f>IFERROR(__xludf.DUMMYFUNCTION("IFERROR(ROUND((B286/GOOGLEFINANCE(A286,""high52"")-1)*100,1),"""")"),-26.7)</f>
        <v>-26.7</v>
      </c>
      <c r="X286" s="53">
        <f>IFERROR(__xludf.DUMMYFUNCTION("IFERROR(ROUND((B286-GOOGLEFINANCE(A286,""low52""))/(GOOGLEFINANCE(A286,""high52"")-GOOGLEFINANCE(A286,""low52""))*100,1),"""")"),11.7)</f>
        <v>11.7</v>
      </c>
      <c r="Y286" s="53" t="str">
        <f t="shared" si="13"/>
        <v>MID</v>
      </c>
      <c r="Z286" s="53">
        <f>IFERROR(__xludf.DUMMYFUNCTION("IFERROR(ROUND(((B286 / INDEX(GOOGLEFINANCE(TRIM(A286), ""price"", TODAY()-34, TODAY()), 2, 2)) - (GOOGLEFINANCE(""NIFTY_50"") / INDEX(GOOGLEFINANCE(""NIFTY_50"", ""price"", TODAY()-34, TODAY()), 2, 2))) * 100, 2), ""Check History"")"),-9.7)</f>
        <v>-9.7</v>
      </c>
      <c r="AA286" s="53" t="str">
        <f t="shared" si="14"/>
        <v>WEAK RS</v>
      </c>
      <c r="AB286" s="53">
        <f>IFERROR(__xludf.DUMMYFUNCTION("IFERROR(LET(
  p, QUERY(GOOGLEFINANCE(TRIM(A286),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Loading"")"),31.9)</f>
        <v>31.9</v>
      </c>
      <c r="AC286" s="53" t="str">
        <f t="shared" si="15"/>
        <v>WEAK MOM</v>
      </c>
      <c r="AD286" s="53" t="str">
        <f>IFERROR(__xludf.DUMMYFUNCTION("IFERROR(IF(GOOGLEFINANCE(A286,""eps"")&gt;0,""EPS+"",""EPS-""),"""")"),"EPS+")</f>
        <v>EPS+</v>
      </c>
      <c r="AE286" s="53">
        <f t="shared" si="16"/>
        <v>4</v>
      </c>
      <c r="AF286" s="53">
        <f>IFERROR(__xludf.DUMMYFUNCTION("IFERROR(N286+IF(S286&gt;=1.2,1,0)+IF(U286&gt;=1,1,0)+IF(Z286&gt;0,1,0)+IF(AND(W286&gt;=-20,W286&lt;=0),1,0)+IF(IFERROR(GOOGLEFINANCE(A286,""eps""),0)&gt;0,1,0),"""")"),3.0)</f>
        <v>3</v>
      </c>
      <c r="AG286" s="53" t="str">
        <f t="shared" si="17"/>
        <v>REVERSE TRADE</v>
      </c>
    </row>
    <row r="287" ht="15.75" customHeight="1">
      <c r="A287" s="55" t="s">
        <v>454</v>
      </c>
      <c r="B287" s="44">
        <f>IFERROR(__xludf.DUMMYFUNCTION("GOOGLEFINANCE(A287,""price"")"),4625.0)</f>
        <v>4625</v>
      </c>
      <c r="C287" s="45">
        <f>IFERROR(__xludf.DUMMYFUNCTION("AVERAGE(QUERY(SORT(GOOGLEFINANCE(A287,""price"",TODAY()-150,TODAY()),1,0),""select Col2 limit 50""))"),4558.103999999999)</f>
        <v>4558.104</v>
      </c>
      <c r="D287" s="45">
        <f>IFERROR(__xludf.DUMMYFUNCTION("AVERAGE(QUERY(SORT(GOOGLEFINANCE(A287,""price"",TODAY()-300,TODAY()),1,0),""select Col2 limit 100""))"),4538.254000000001)</f>
        <v>4538.254</v>
      </c>
      <c r="E287" s="45">
        <f>IFERROR(__xludf.DUMMYFUNCTION("AVERAGE(QUERY(SORT(GOOGLEFINANCE(A287,""price"",TODAY()-500,TODAY()),1,0),""select Col2 limit 200""))"),5049.141500000001)</f>
        <v>5049.1415</v>
      </c>
      <c r="F287" s="46" t="str">
        <f t="shared" si="1"/>
        <v>Unconfirmed</v>
      </c>
      <c r="G287" s="47">
        <f t="shared" si="2"/>
        <v>-8.40026963</v>
      </c>
      <c r="H287" s="48" t="str">
        <f t="shared" si="3"/>
        <v>Inverted ✗</v>
      </c>
      <c r="I287" s="48">
        <f t="shared" si="4"/>
        <v>0</v>
      </c>
      <c r="J287" s="48">
        <f t="shared" si="5"/>
        <v>0</v>
      </c>
      <c r="K287" s="49" t="str">
        <f>IFERROR(__xludf.DUMMYFUNCTION("IFERROR(IF(A287="""",""ENTER STOCK"",LET(stock,A287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87" s="48">
        <f t="shared" si="6"/>
        <v>0</v>
      </c>
      <c r="M287" s="48">
        <f t="shared" si="7"/>
        <v>1</v>
      </c>
      <c r="N287" s="50">
        <f t="shared" si="8"/>
        <v>1</v>
      </c>
      <c r="P287" s="46" t="str">
        <f t="shared" si="9"/>
        <v>WAIT</v>
      </c>
      <c r="Q287" s="52"/>
      <c r="R287" s="53">
        <f t="shared" si="10"/>
        <v>15</v>
      </c>
      <c r="S287" s="53">
        <f>IFERROR(__xludf.DUMMYFUNCTION("IFERROR(ROUND(GOOGLEFINANCE(A287,""volume"")/GOOGLEFINANCE(A287,""volumeavg""),2),"""")"),2.05)</f>
        <v>2.05</v>
      </c>
      <c r="T287" s="53" t="str">
        <f t="shared" si="11"/>
        <v>HIGH VOL</v>
      </c>
      <c r="U287" s="53">
        <f>IFERROR(__xludf.DUMMYFUNCTION("IFERROR(
  LET(
    sd, GOOGLEFINANCE(A287,""close"",TODAY()-100,TODAY()),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"""")"),0.39)</f>
        <v>0.39</v>
      </c>
      <c r="V287" s="53" t="str">
        <f t="shared" si="12"/>
        <v>SLOW</v>
      </c>
      <c r="W287" s="53">
        <f>IFERROR(__xludf.DUMMYFUNCTION("IFERROR(ROUND((B287/GOOGLEFINANCE(A287,""high52"")-1)*100,1),"""")"),-29.0)</f>
        <v>-29</v>
      </c>
      <c r="X287" s="53">
        <f>IFERROR(__xludf.DUMMYFUNCTION("IFERROR(ROUND((B287-GOOGLEFINANCE(A287,""low52""))/(GOOGLEFINANCE(A287,""high52"")-GOOGLEFINANCE(A287,""low52""))*100,1),"""")"),15.7)</f>
        <v>15.7</v>
      </c>
      <c r="Y287" s="53" t="str">
        <f t="shared" si="13"/>
        <v>MID</v>
      </c>
      <c r="Z287" s="53">
        <f>IFERROR(__xludf.DUMMYFUNCTION("IFERROR(ROUND(((B287 / INDEX(GOOGLEFINANCE(TRIM(A287), ""price"", TODAY()-34, TODAY()), 2, 2)) - (GOOGLEFINANCE(""NIFTY_50"") / INDEX(GOOGLEFINANCE(""NIFTY_50"", ""price"", TODAY()-34, TODAY()), 2, 2))) * 100, 2), ""Check History"")"),10.33)</f>
        <v>10.33</v>
      </c>
      <c r="AA287" s="53" t="str">
        <f t="shared" si="14"/>
        <v>STRONG RS</v>
      </c>
      <c r="AB287" s="53">
        <f>IFERROR(__xludf.DUMMYFUNCTION("IFERROR(LET(
  p, QUERY(GOOGLEFINANCE(TRIM(A287),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Loading"")"),58.4)</f>
        <v>58.4</v>
      </c>
      <c r="AC287" s="53" t="str">
        <f t="shared" si="15"/>
        <v>IDEAL ENTRY</v>
      </c>
      <c r="AD287" s="53" t="str">
        <f>IFERROR(__xludf.DUMMYFUNCTION("IFERROR(IF(GOOGLEFINANCE(A287,""eps"")&gt;0,""EPS+"",""EPS-""),"""")"),"EPS+")</f>
        <v>EPS+</v>
      </c>
      <c r="AE287" s="53">
        <f t="shared" si="16"/>
        <v>5</v>
      </c>
      <c r="AF287" s="53">
        <f>IFERROR(__xludf.DUMMYFUNCTION("IFERROR(N287+IF(S287&gt;=1.2,1,0)+IF(U287&gt;=1,1,0)+IF(Z287&gt;0,1,0)+IF(AND(W287&gt;=-20,W287&lt;=0),1,0)+IF(IFERROR(GOOGLEFINANCE(A287,""eps""),0)&gt;0,1,0),"""")"),4.0)</f>
        <v>4</v>
      </c>
      <c r="AG287" s="53" t="str">
        <f t="shared" si="17"/>
        <v>WAIT</v>
      </c>
    </row>
    <row r="288" ht="15.75" customHeight="1">
      <c r="A288" s="55" t="s">
        <v>455</v>
      </c>
      <c r="B288" s="44">
        <f>IFERROR(__xludf.DUMMYFUNCTION("GOOGLEFINANCE(A288,""price"")"),628.0)</f>
        <v>628</v>
      </c>
      <c r="C288" s="45">
        <f>IFERROR(__xludf.DUMMYFUNCTION("AVERAGE(QUERY(SORT(GOOGLEFINANCE(A288,""price"",TODAY()-150,TODAY()),1,0),""select Col2 limit 50""))"),641.7750000000001)</f>
        <v>641.775</v>
      </c>
      <c r="D288" s="45">
        <f>IFERROR(__xludf.DUMMYFUNCTION("AVERAGE(QUERY(SORT(GOOGLEFINANCE(A288,""price"",TODAY()-300,TODAY()),1,0),""select Col2 limit 100""))"),682.5319999999999)</f>
        <v>682.532</v>
      </c>
      <c r="E288" s="45">
        <f>IFERROR(__xludf.DUMMYFUNCTION("AVERAGE(QUERY(SORT(GOOGLEFINANCE(A288,""price"",TODAY()-500,TODAY()),1,0),""select Col2 limit 200""))"),716.2567499999999)</f>
        <v>716.25675</v>
      </c>
      <c r="F288" s="46" t="str">
        <f t="shared" si="1"/>
        <v>In Bear Run</v>
      </c>
      <c r="G288" s="47">
        <f t="shared" si="2"/>
        <v>-12.32194321</v>
      </c>
      <c r="H288" s="48" t="str">
        <f t="shared" si="3"/>
        <v>Inverted ✗</v>
      </c>
      <c r="I288" s="48">
        <f t="shared" si="4"/>
        <v>0</v>
      </c>
      <c r="J288" s="48">
        <f t="shared" si="5"/>
        <v>0</v>
      </c>
      <c r="K288" s="49" t="str">
        <f>IFERROR(__xludf.DUMMYFUNCTION("IFERROR(IF(A288="""",""ENTER STOCK"",LET(stock,A288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88" s="48">
        <f t="shared" si="6"/>
        <v>0</v>
      </c>
      <c r="M288" s="48">
        <f t="shared" si="7"/>
        <v>1</v>
      </c>
      <c r="N288" s="50">
        <f t="shared" si="8"/>
        <v>1</v>
      </c>
      <c r="P288" s="46" t="str">
        <f t="shared" si="9"/>
        <v>REVERSE TRADE</v>
      </c>
      <c r="Q288" s="52"/>
      <c r="R288" s="53">
        <f t="shared" si="10"/>
        <v>15</v>
      </c>
      <c r="S288" s="53">
        <f>IFERROR(__xludf.DUMMYFUNCTION("IFERROR(ROUND(GOOGLEFINANCE(A288,""volume"")/GOOGLEFINANCE(A288,""volumeavg""),2),"""")"),1.97)</f>
        <v>1.97</v>
      </c>
      <c r="T288" s="53" t="str">
        <f t="shared" si="11"/>
        <v>HIGH VOL</v>
      </c>
      <c r="U288" s="53">
        <f>IFERROR(__xludf.DUMMYFUNCTION("IFERROR(
  LET(
    sd, GOOGLEFINANCE(A288,""close"",TODAY()-100,TODAY()),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"""")"),0.62)</f>
        <v>0.62</v>
      </c>
      <c r="V288" s="53" t="str">
        <f t="shared" si="12"/>
        <v>SLOW</v>
      </c>
      <c r="W288" s="53">
        <f>IFERROR(__xludf.DUMMYFUNCTION("IFERROR(ROUND((B288/GOOGLEFINANCE(A288,""high52"")-1)*100,1),"""")"),-23.3)</f>
        <v>-23.3</v>
      </c>
      <c r="X288" s="53">
        <f>IFERROR(__xludf.DUMMYFUNCTION("IFERROR(ROUND((B288-GOOGLEFINANCE(A288,""low52""))/(GOOGLEFINANCE(A288,""high52"")-GOOGLEFINANCE(A288,""low52""))*100,1),"""")"),15.7)</f>
        <v>15.7</v>
      </c>
      <c r="Y288" s="53" t="str">
        <f t="shared" si="13"/>
        <v>MID</v>
      </c>
      <c r="Z288" s="53">
        <f>IFERROR(__xludf.DUMMYFUNCTION("IFERROR(ROUND(((B288 / INDEX(GOOGLEFINANCE(TRIM(A288), ""price"", TODAY()-34, TODAY()), 2, 2)) - (GOOGLEFINANCE(""NIFTY_50"") / INDEX(GOOGLEFINANCE(""NIFTY_50"", ""price"", TODAY()-34, TODAY()), 2, 2))) * 100, 2), ""Check History"")"),12.02)</f>
        <v>12.02</v>
      </c>
      <c r="AA288" s="53" t="str">
        <f t="shared" si="14"/>
        <v>STRONG RS</v>
      </c>
      <c r="AB288" s="53">
        <f>IFERROR(__xludf.DUMMYFUNCTION("IFERROR(LET(
  p, QUERY(GOOGLEFINANCE(TRIM(A288),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Loading"")"),48.6)</f>
        <v>48.6</v>
      </c>
      <c r="AC288" s="53" t="str">
        <f t="shared" si="15"/>
        <v>IDEAL ENTRY</v>
      </c>
      <c r="AD288" s="53" t="str">
        <f>IFERROR(__xludf.DUMMYFUNCTION("IFERROR(IF(GOOGLEFINANCE(A288,""eps"")&gt;0,""EPS+"",""EPS-""),"""")"),"EPS+")</f>
        <v>EPS+</v>
      </c>
      <c r="AE288" s="53">
        <f t="shared" si="16"/>
        <v>6</v>
      </c>
      <c r="AF288" s="53">
        <f>IFERROR(__xludf.DUMMYFUNCTION("IFERROR(N288+IF(S288&gt;=1.2,1,0)+IF(U288&gt;=1,1,0)+IF(Z288&gt;0,1,0)+IF(AND(W288&gt;=-20,W288&lt;=0),1,0)+IF(IFERROR(GOOGLEFINANCE(A288,""eps""),0)&gt;0,1,0),"""")"),4.0)</f>
        <v>4</v>
      </c>
      <c r="AG288" s="53" t="str">
        <f t="shared" si="17"/>
        <v>REVERSE TRADE</v>
      </c>
    </row>
    <row r="289" ht="15.75" customHeight="1">
      <c r="A289" s="55" t="s">
        <v>456</v>
      </c>
      <c r="B289" s="44">
        <f>IFERROR(__xludf.DUMMYFUNCTION("GOOGLEFINANCE(A289,""price"")"),332.65)</f>
        <v>332.65</v>
      </c>
      <c r="C289" s="45">
        <f>IFERROR(__xludf.DUMMYFUNCTION("AVERAGE(QUERY(SORT(GOOGLEFINANCE(A289,""price"",TODAY()-150,TODAY()),1,0),""select Col2 limit 50""))"),393.0449999999999)</f>
        <v>393.045</v>
      </c>
      <c r="D289" s="45">
        <f>IFERROR(__xludf.DUMMYFUNCTION("AVERAGE(QUERY(SORT(GOOGLEFINANCE(A289,""price"",TODAY()-300,TODAY()),1,0),""select Col2 limit 100""))"),402.5769999999999)</f>
        <v>402.577</v>
      </c>
      <c r="E289" s="45">
        <f>IFERROR(__xludf.DUMMYFUNCTION("AVERAGE(QUERY(SORT(GOOGLEFINANCE(A289,""price"",TODAY()-500,TODAY()),1,0),""select Col2 limit 200""))"),396.2135)</f>
        <v>396.2135</v>
      </c>
      <c r="F289" s="46" t="str">
        <f t="shared" si="1"/>
        <v>In Bear Run</v>
      </c>
      <c r="G289" s="47">
        <f t="shared" si="2"/>
        <v>-16.04273958</v>
      </c>
      <c r="H289" s="48" t="str">
        <f t="shared" si="3"/>
        <v>Inverted ✗</v>
      </c>
      <c r="I289" s="48">
        <f t="shared" si="4"/>
        <v>0</v>
      </c>
      <c r="J289" s="48">
        <f t="shared" si="5"/>
        <v>0</v>
      </c>
      <c r="K289" s="49" t="str">
        <f>IFERROR(__xludf.DUMMYFUNCTION("IFERROR(IF(A289="""",""ENTER STOCK"",LET(stock,A289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89" s="48">
        <f t="shared" si="6"/>
        <v>0</v>
      </c>
      <c r="M289" s="48">
        <f t="shared" si="7"/>
        <v>1</v>
      </c>
      <c r="N289" s="50">
        <f t="shared" si="8"/>
        <v>1</v>
      </c>
      <c r="P289" s="46" t="str">
        <f t="shared" si="9"/>
        <v>REVERSE TRADE</v>
      </c>
      <c r="Q289" s="52"/>
      <c r="R289" s="53">
        <f t="shared" si="10"/>
        <v>15</v>
      </c>
      <c r="S289" s="53">
        <f>IFERROR(__xludf.DUMMYFUNCTION("IFERROR(ROUND(GOOGLEFINANCE(A289,""volume"")/GOOGLEFINANCE(A289,""volumeavg""),2),"""")"),1.1)</f>
        <v>1.1</v>
      </c>
      <c r="T289" s="53" t="str">
        <f t="shared" si="11"/>
        <v>LOW VOL</v>
      </c>
      <c r="U289" s="53">
        <f>IFERROR(__xludf.DUMMYFUNCTION("IFERROR(
  LET(
    sd, GOOGLEFINANCE(A289,""close"",TODAY()-100,TODAY()),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"""")"),1.01)</f>
        <v>1.01</v>
      </c>
      <c r="V289" s="53" t="str">
        <f t="shared" si="12"/>
        <v>MEDIUM</v>
      </c>
      <c r="W289" s="53">
        <f>IFERROR(__xludf.DUMMYFUNCTION("IFERROR(ROUND((B289/GOOGLEFINANCE(A289,""high52"")-1)*100,1),"""")"),-29.8)</f>
        <v>-29.8</v>
      </c>
      <c r="X289" s="53">
        <f>IFERROR(__xludf.DUMMYFUNCTION("IFERROR(ROUND((B289-GOOGLEFINANCE(A289,""low52""))/(GOOGLEFINANCE(A289,""high52"")-GOOGLEFINANCE(A289,""low52""))*100,1),"""")"),5.1)</f>
        <v>5.1</v>
      </c>
      <c r="Y289" s="53" t="str">
        <f t="shared" si="13"/>
        <v>MID</v>
      </c>
      <c r="Z289" s="53">
        <f>IFERROR(__xludf.DUMMYFUNCTION("IFERROR(ROUND(((B289 / INDEX(GOOGLEFINANCE(TRIM(A289), ""price"", TODAY()-34, TODAY()), 2, 2)) - (GOOGLEFINANCE(""NIFTY_50"") / INDEX(GOOGLEFINANCE(""NIFTY_50"", ""price"", TODAY()-34, TODAY()), 2, 2))) * 100, 2), ""Check History"")"),2.97)</f>
        <v>2.97</v>
      </c>
      <c r="AA289" s="53" t="str">
        <f t="shared" si="14"/>
        <v>MILD RS</v>
      </c>
      <c r="AB289" s="53">
        <f>IFERROR(__xludf.DUMMYFUNCTION("IFERROR(LET(
  p, QUERY(GOOGLEFINANCE(TRIM(A289),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Loading"")"),48.8)</f>
        <v>48.8</v>
      </c>
      <c r="AC289" s="53" t="str">
        <f t="shared" si="15"/>
        <v>IDEAL ENTRY</v>
      </c>
      <c r="AD289" s="53" t="str">
        <f>IFERROR(__xludf.DUMMYFUNCTION("IFERROR(IF(GOOGLEFINANCE(A289,""eps"")&gt;0,""EPS+"",""EPS-""),"""")"),"EPS+")</f>
        <v>EPS+</v>
      </c>
      <c r="AE289" s="53">
        <f t="shared" si="16"/>
        <v>4</v>
      </c>
      <c r="AF289" s="53">
        <f>IFERROR(__xludf.DUMMYFUNCTION("IFERROR(N289+IF(S289&gt;=1.2,1,0)+IF(U289&gt;=1,1,0)+IF(Z289&gt;0,1,0)+IF(AND(W289&gt;=-20,W289&lt;=0),1,0)+IF(IFERROR(GOOGLEFINANCE(A289,""eps""),0)&gt;0,1,0),"""")"),4.0)</f>
        <v>4</v>
      </c>
      <c r="AG289" s="53" t="str">
        <f t="shared" si="17"/>
        <v>REVERSE TRADE</v>
      </c>
    </row>
    <row r="290" ht="15.75" customHeight="1">
      <c r="A290" s="55" t="s">
        <v>457</v>
      </c>
      <c r="B290" s="44">
        <f>IFERROR(__xludf.DUMMYFUNCTION("GOOGLEFINANCE(A290,""price"")"),4698.0)</f>
        <v>4698</v>
      </c>
      <c r="C290" s="45">
        <f>IFERROR(__xludf.DUMMYFUNCTION("AVERAGE(QUERY(SORT(GOOGLEFINANCE(A290,""price"",TODAY()-150,TODAY()),1,0),""select Col2 limit 50""))"),5448.56)</f>
        <v>5448.56</v>
      </c>
      <c r="D290" s="45">
        <f>IFERROR(__xludf.DUMMYFUNCTION("AVERAGE(QUERY(SORT(GOOGLEFINANCE(A290,""price"",TODAY()-300,TODAY()),1,0),""select Col2 limit 100""))"),5563.235)</f>
        <v>5563.235</v>
      </c>
      <c r="E290" s="45">
        <f>IFERROR(__xludf.DUMMYFUNCTION("AVERAGE(QUERY(SORT(GOOGLEFINANCE(A290,""price"",TODAY()-500,TODAY()),1,0),""select Col2 limit 200""))"),5810.44)</f>
        <v>5810.44</v>
      </c>
      <c r="F290" s="46" t="str">
        <f t="shared" si="1"/>
        <v>In Bear Run</v>
      </c>
      <c r="G290" s="47">
        <f t="shared" si="2"/>
        <v>-19.14553803</v>
      </c>
      <c r="H290" s="48" t="str">
        <f t="shared" si="3"/>
        <v>Inverted ✗</v>
      </c>
      <c r="I290" s="48">
        <f t="shared" si="4"/>
        <v>0</v>
      </c>
      <c r="J290" s="48">
        <f t="shared" si="5"/>
        <v>0</v>
      </c>
      <c r="K290" s="49" t="str">
        <f>IFERROR(__xludf.DUMMYFUNCTION("IFERROR(IF(A290="""",""ENTER STOCK"",LET(stock,A290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90" s="48">
        <f t="shared" si="6"/>
        <v>0</v>
      </c>
      <c r="M290" s="48">
        <f t="shared" si="7"/>
        <v>1</v>
      </c>
      <c r="N290" s="50">
        <f t="shared" si="8"/>
        <v>1</v>
      </c>
      <c r="P290" s="46" t="str">
        <f t="shared" si="9"/>
        <v>REVERSE TRADE</v>
      </c>
      <c r="Q290" s="52"/>
      <c r="R290" s="53">
        <f t="shared" si="10"/>
        <v>15</v>
      </c>
      <c r="S290" s="53">
        <f>IFERROR(__xludf.DUMMYFUNCTION("IFERROR(ROUND(GOOGLEFINANCE(A290,""volume"")/GOOGLEFINANCE(A290,""volumeavg""),2),"""")"),3.91)</f>
        <v>3.91</v>
      </c>
      <c r="T290" s="53" t="str">
        <f t="shared" si="11"/>
        <v>HIGH VOL</v>
      </c>
      <c r="U290" s="53">
        <f>IFERROR(__xludf.DUMMYFUNCTION("IFERROR(
  LET(
    sd, GOOGLEFINANCE(A290,""close"",TODAY()-100,TODAY()),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"""")"),0.82)</f>
        <v>0.82</v>
      </c>
      <c r="V290" s="53" t="str">
        <f t="shared" si="12"/>
        <v>SLOW</v>
      </c>
      <c r="W290" s="53">
        <f>IFERROR(__xludf.DUMMYFUNCTION("IFERROR(ROUND((B290/GOOGLEFINANCE(A290,""high52"")-1)*100,1),"""")"),-35.0)</f>
        <v>-35</v>
      </c>
      <c r="X290" s="53">
        <f>IFERROR(__xludf.DUMMYFUNCTION("IFERROR(ROUND((B290-GOOGLEFINANCE(A290,""low52""))/(GOOGLEFINANCE(A290,""high52"")-GOOGLEFINANCE(A290,""low52""))*100,1),"""")"),0.6)</f>
        <v>0.6</v>
      </c>
      <c r="Y290" s="53" t="str">
        <f t="shared" si="13"/>
        <v>MID</v>
      </c>
      <c r="Z290" s="53">
        <f>IFERROR(__xludf.DUMMYFUNCTION("IFERROR(ROUND(((B290 / INDEX(GOOGLEFINANCE(TRIM(A290), ""price"", TODAY()-34, TODAY()), 2, 2)) - (GOOGLEFINANCE(""NIFTY_50"") / INDEX(GOOGLEFINANCE(""NIFTY_50"", ""price"", TODAY()-34, TODAY()), 2, 2))) * 100, 2), ""Check History"")"),-3.19)</f>
        <v>-3.19</v>
      </c>
      <c r="AA290" s="53" t="str">
        <f t="shared" si="14"/>
        <v>WEAK RS</v>
      </c>
      <c r="AB290" s="53">
        <f>IFERROR(__xludf.DUMMYFUNCTION("IFERROR(LET(
  p, QUERY(GOOGLEFINANCE(TRIM(A290),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Loading"")"),29.2)</f>
        <v>29.2</v>
      </c>
      <c r="AC290" s="53" t="str">
        <f t="shared" si="15"/>
        <v>WEAK MOM</v>
      </c>
      <c r="AD290" s="53" t="str">
        <f>IFERROR(__xludf.DUMMYFUNCTION("IFERROR(IF(GOOGLEFINANCE(A290,""eps"")&gt;0,""EPS+"",""EPS-""),"""")"),"EPS+")</f>
        <v>EPS+</v>
      </c>
      <c r="AE290" s="53">
        <f t="shared" si="16"/>
        <v>4</v>
      </c>
      <c r="AF290" s="53">
        <f>IFERROR(__xludf.DUMMYFUNCTION("IFERROR(N290+IF(S290&gt;=1.2,1,0)+IF(U290&gt;=1,1,0)+IF(Z290&gt;0,1,0)+IF(AND(W290&gt;=-20,W290&lt;=0),1,0)+IF(IFERROR(GOOGLEFINANCE(A290,""eps""),0)&gt;0,1,0),"""")"),3.0)</f>
        <v>3</v>
      </c>
      <c r="AG290" s="53" t="str">
        <f t="shared" si="17"/>
        <v>REVERSE TRADE</v>
      </c>
    </row>
    <row r="291" ht="15.75" customHeight="1">
      <c r="A291" s="55" t="s">
        <v>458</v>
      </c>
      <c r="B291" s="44">
        <f>IFERROR(__xludf.DUMMYFUNCTION("GOOGLEFINANCE(A291,""price"")"),325.05)</f>
        <v>325.05</v>
      </c>
      <c r="C291" s="45">
        <f>IFERROR(__xludf.DUMMYFUNCTION("AVERAGE(QUERY(SORT(GOOGLEFINANCE(A291,""price"",TODAY()-150,TODAY()),1,0),""select Col2 limit 50""))"),397.36699999999996)</f>
        <v>397.367</v>
      </c>
      <c r="D291" s="45">
        <f>IFERROR(__xludf.DUMMYFUNCTION("AVERAGE(QUERY(SORT(GOOGLEFINANCE(A291,""price"",TODAY()-300,TODAY()),1,0),""select Col2 limit 100""))"),475.3235000000001)</f>
        <v>475.3235</v>
      </c>
      <c r="E291" s="45">
        <f>IFERROR(__xludf.DUMMYFUNCTION("AVERAGE(QUERY(SORT(GOOGLEFINANCE(A291,""price"",TODAY()-500,TODAY()),1,0),""select Col2 limit 200""))"),624.3422500000003)</f>
        <v>624.34225</v>
      </c>
      <c r="F291" s="46" t="str">
        <f t="shared" si="1"/>
        <v>In Bear Run</v>
      </c>
      <c r="G291" s="47">
        <f t="shared" si="2"/>
        <v>-47.93720912</v>
      </c>
      <c r="H291" s="48" t="str">
        <f t="shared" si="3"/>
        <v>Inverted ✗</v>
      </c>
      <c r="I291" s="48">
        <f t="shared" si="4"/>
        <v>0</v>
      </c>
      <c r="J291" s="48">
        <f t="shared" si="5"/>
        <v>0</v>
      </c>
      <c r="K291" s="49" t="str">
        <f>IFERROR(__xludf.DUMMYFUNCTION("IFERROR(IF(A291="""",""ENTER STOCK"",LET(stock,A291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91" s="48">
        <f t="shared" si="6"/>
        <v>0</v>
      </c>
      <c r="M291" s="48">
        <f t="shared" si="7"/>
        <v>1</v>
      </c>
      <c r="N291" s="50">
        <f t="shared" si="8"/>
        <v>1</v>
      </c>
      <c r="P291" s="46" t="str">
        <f t="shared" si="9"/>
        <v>REVERSE TRADE</v>
      </c>
      <c r="Q291" s="52"/>
      <c r="R291" s="53">
        <f t="shared" si="10"/>
        <v>15</v>
      </c>
      <c r="S291" s="53">
        <f>IFERROR(__xludf.DUMMYFUNCTION("IFERROR(ROUND(GOOGLEFINANCE(A291,""volume"")/GOOGLEFINANCE(A291,""volumeavg""),2),"""")"),0.87)</f>
        <v>0.87</v>
      </c>
      <c r="T291" s="53" t="str">
        <f t="shared" si="11"/>
        <v>LOW VOL</v>
      </c>
      <c r="U291" s="53">
        <f>IFERROR(__xludf.DUMMYFUNCTION("IFERROR(
  LET(
    sd, GOOGLEFINANCE(A291,""close"",TODAY()-100,TODAY()),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"""")"),1.46)</f>
        <v>1.46</v>
      </c>
      <c r="V291" s="53" t="str">
        <f t="shared" si="12"/>
        <v>FAST</v>
      </c>
      <c r="W291" s="53">
        <f>IFERROR(__xludf.DUMMYFUNCTION("IFERROR(ROUND((B291/GOOGLEFINANCE(A291,""high52"")-1)*100,1),"""")"),-68.4)</f>
        <v>-68.4</v>
      </c>
      <c r="X291" s="53">
        <f>IFERROR(__xludf.DUMMYFUNCTION("IFERROR(ROUND((B291-GOOGLEFINANCE(A291,""low52""))/(GOOGLEFINANCE(A291,""high52"")-GOOGLEFINANCE(A291,""low52""))*100,1),"""")"),0.0)</f>
        <v>0</v>
      </c>
      <c r="Y291" s="53" t="str">
        <f t="shared" si="13"/>
        <v>DEEP RECOVERY</v>
      </c>
      <c r="Z291" s="53">
        <f>IFERROR(__xludf.DUMMYFUNCTION("IFERROR(ROUND(((B291 / INDEX(GOOGLEFINANCE(TRIM(A291), ""price"", TODAY()-34, TODAY()), 2, 2)) - (GOOGLEFINANCE(""NIFTY_50"") / INDEX(GOOGLEFINANCE(""NIFTY_50"", ""price"", TODAY()-34, TODAY()), 2, 2))) * 100, 2), ""Check History"")"),-8.44)</f>
        <v>-8.44</v>
      </c>
      <c r="AA291" s="53" t="str">
        <f t="shared" si="14"/>
        <v>WEAK RS</v>
      </c>
      <c r="AB291" s="53">
        <f>IFERROR(__xludf.DUMMYFUNCTION("IFERROR(LET(
  p, QUERY(GOOGLEFINANCE(TRIM(A291),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Loading"")"),46.7)</f>
        <v>46.7</v>
      </c>
      <c r="AC291" s="53" t="str">
        <f t="shared" si="15"/>
        <v>IDEAL ENTRY</v>
      </c>
      <c r="AD291" s="53" t="str">
        <f>IFERROR(__xludf.DUMMYFUNCTION("IFERROR(IF(GOOGLEFINANCE(A291,""eps"")&gt;0,""EPS+"",""EPS-""),"""")"),"EPS+")</f>
        <v>EPS+</v>
      </c>
      <c r="AE291" s="53">
        <f t="shared" si="16"/>
        <v>3</v>
      </c>
      <c r="AF291" s="53">
        <f>IFERROR(__xludf.DUMMYFUNCTION("IFERROR(N291+IF(S291&gt;=1.2,1,0)+IF(U291&gt;=1,1,0)+IF(Z291&gt;0,1,0)+IF(AND(W291&gt;=-20,W291&lt;=0),1,0)+IF(IFERROR(GOOGLEFINANCE(A291,""eps""),0)&gt;0,1,0),"""")"),3.0)</f>
        <v>3</v>
      </c>
      <c r="AG291" s="53" t="str">
        <f t="shared" si="17"/>
        <v>REVERSE TRADE</v>
      </c>
    </row>
    <row r="292" ht="15.75" customHeight="1">
      <c r="A292" s="55" t="s">
        <v>459</v>
      </c>
      <c r="B292" s="44">
        <f>IFERROR(__xludf.DUMMYFUNCTION("GOOGLEFINANCE(A292,""price"")"),208.95)</f>
        <v>208.95</v>
      </c>
      <c r="C292" s="45">
        <f>IFERROR(__xludf.DUMMYFUNCTION("AVERAGE(QUERY(SORT(GOOGLEFINANCE(A292,""price"",TODAY()-150,TODAY()),1,0),""select Col2 limit 50""))"),241.43219999999997)</f>
        <v>241.4322</v>
      </c>
      <c r="D292" s="45">
        <f>IFERROR(__xludf.DUMMYFUNCTION("AVERAGE(QUERY(SORT(GOOGLEFINANCE(A292,""price"",TODAY()-300,TODAY()),1,0),""select Col2 limit 100""))"),272.71809999999994)</f>
        <v>272.7181</v>
      </c>
      <c r="E292" s="45">
        <f>IFERROR(__xludf.DUMMYFUNCTION("AVERAGE(QUERY(SORT(GOOGLEFINANCE(A292,""price"",TODAY()-500,TODAY()),1,0),""select Col2 limit 200""))"),321.80554999999987)</f>
        <v>321.80555</v>
      </c>
      <c r="F292" s="46" t="str">
        <f t="shared" si="1"/>
        <v>In Bear Run</v>
      </c>
      <c r="G292" s="47">
        <f t="shared" si="2"/>
        <v>-35.06948528</v>
      </c>
      <c r="H292" s="48" t="str">
        <f t="shared" si="3"/>
        <v>Inverted ✗</v>
      </c>
      <c r="I292" s="48">
        <f t="shared" si="4"/>
        <v>0</v>
      </c>
      <c r="J292" s="48">
        <f t="shared" si="5"/>
        <v>0</v>
      </c>
      <c r="K292" s="49" t="str">
        <f>IFERROR(__xludf.DUMMYFUNCTION("IFERROR(IF(A292="""",""ENTER STOCK"",LET(stock,A292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92" s="48">
        <f t="shared" si="6"/>
        <v>0</v>
      </c>
      <c r="M292" s="48">
        <f t="shared" si="7"/>
        <v>1</v>
      </c>
      <c r="N292" s="50">
        <f t="shared" si="8"/>
        <v>1</v>
      </c>
      <c r="P292" s="46" t="str">
        <f t="shared" si="9"/>
        <v>REVERSE TRADE</v>
      </c>
      <c r="Q292" s="52"/>
      <c r="R292" s="53">
        <f t="shared" si="10"/>
        <v>15</v>
      </c>
      <c r="S292" s="53">
        <f>IFERROR(__xludf.DUMMYFUNCTION("IFERROR(ROUND(GOOGLEFINANCE(A292,""volume"")/GOOGLEFINANCE(A292,""volumeavg""),2),"""")"),0.49)</f>
        <v>0.49</v>
      </c>
      <c r="T292" s="53" t="str">
        <f t="shared" si="11"/>
        <v>LOW VOL</v>
      </c>
      <c r="U292" s="53">
        <f>IFERROR(__xludf.DUMMYFUNCTION("IFERROR(
  LET(
    sd, GOOGLEFINANCE(A292,""close"",TODAY()-100,TODAY()),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"""")"),0.85)</f>
        <v>0.85</v>
      </c>
      <c r="V292" s="53" t="str">
        <f t="shared" si="12"/>
        <v>SLOW</v>
      </c>
      <c r="W292" s="53">
        <f>IFERROR(__xludf.DUMMYFUNCTION("IFERROR(ROUND((B292/GOOGLEFINANCE(A292,""high52"")-1)*100,1),"""")"),-52.4)</f>
        <v>-52.4</v>
      </c>
      <c r="X292" s="53">
        <f>IFERROR(__xludf.DUMMYFUNCTION("IFERROR(ROUND((B292-GOOGLEFINANCE(A292,""low52""))/(GOOGLEFINANCE(A292,""high52"")-GOOGLEFINANCE(A292,""low52""))*100,1),"""")"),0.8)</f>
        <v>0.8</v>
      </c>
      <c r="Y292" s="53" t="str">
        <f t="shared" si="13"/>
        <v>DEEP RECOVERY</v>
      </c>
      <c r="Z292" s="53">
        <f>IFERROR(__xludf.DUMMYFUNCTION("IFERROR(ROUND(((B292 / INDEX(GOOGLEFINANCE(TRIM(A292), ""price"", TODAY()-34, TODAY()), 2, 2)) - (GOOGLEFINANCE(""NIFTY_50"") / INDEX(GOOGLEFINANCE(""NIFTY_50"", ""price"", TODAY()-34, TODAY()), 2, 2))) * 100, 2), ""Check History"")"),10.43)</f>
        <v>10.43</v>
      </c>
      <c r="AA292" s="53" t="str">
        <f t="shared" si="14"/>
        <v>STRONG RS</v>
      </c>
      <c r="AB292" s="53">
        <f>IFERROR(__xludf.DUMMYFUNCTION("IFERROR(LET(
  p, QUERY(GOOGLEFINANCE(TRIM(A292),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Loading"")"),56.0)</f>
        <v>56</v>
      </c>
      <c r="AC292" s="53" t="str">
        <f t="shared" si="15"/>
        <v>IDEAL ENTRY</v>
      </c>
      <c r="AD292" s="53" t="str">
        <f>IFERROR(__xludf.DUMMYFUNCTION("IFERROR(IF(GOOGLEFINANCE(A292,""eps"")&gt;0,""EPS+"",""EPS-""),"""")"),"EPS-")</f>
        <v>EPS-</v>
      </c>
      <c r="AE292" s="53">
        <f t="shared" si="16"/>
        <v>3</v>
      </c>
      <c r="AF292" s="53">
        <f>IFERROR(__xludf.DUMMYFUNCTION("IFERROR(N292+IF(S292&gt;=1.2,1,0)+IF(U292&gt;=1,1,0)+IF(Z292&gt;0,1,0)+IF(AND(W292&gt;=-20,W292&lt;=0),1,0)+IF(IFERROR(GOOGLEFINANCE(A292,""eps""),0)&gt;0,1,0),"""")"),2.0)</f>
        <v>2</v>
      </c>
      <c r="AG292" s="53" t="str">
        <f t="shared" si="17"/>
        <v>REVERSE TRADE</v>
      </c>
    </row>
    <row r="293" ht="15.75" customHeight="1">
      <c r="A293" s="55" t="s">
        <v>460</v>
      </c>
      <c r="B293" s="44">
        <f>IFERROR(__xludf.DUMMYFUNCTION("GOOGLEFINANCE(A293,""price"")"),149.9)</f>
        <v>149.9</v>
      </c>
      <c r="C293" s="45">
        <f>IFERROR(__xludf.DUMMYFUNCTION("AVERAGE(QUERY(SORT(GOOGLEFINANCE(A293,""price"",TODAY()-150,TODAY()),1,0),""select Col2 limit 50""))"),152.48399999999995)</f>
        <v>152.484</v>
      </c>
      <c r="D293" s="45">
        <f>IFERROR(__xludf.DUMMYFUNCTION("AVERAGE(QUERY(SORT(GOOGLEFINANCE(A293,""price"",TODAY()-300,TODAY()),1,0),""select Col2 limit 100""))"),161.4775)</f>
        <v>161.4775</v>
      </c>
      <c r="E293" s="45">
        <f>IFERROR(__xludf.DUMMYFUNCTION("AVERAGE(QUERY(SORT(GOOGLEFINANCE(A293,""price"",TODAY()-500,TODAY()),1,0),""select Col2 limit 200""))"),165.28494999999998)</f>
        <v>165.28495</v>
      </c>
      <c r="F293" s="46" t="str">
        <f t="shared" si="1"/>
        <v>In Bear Run</v>
      </c>
      <c r="G293" s="47">
        <f t="shared" si="2"/>
        <v>-9.30813725</v>
      </c>
      <c r="H293" s="48" t="str">
        <f t="shared" si="3"/>
        <v>Inverted ✗</v>
      </c>
      <c r="I293" s="48">
        <f t="shared" si="4"/>
        <v>0</v>
      </c>
      <c r="J293" s="48">
        <f t="shared" si="5"/>
        <v>0</v>
      </c>
      <c r="K293" s="49" t="str">
        <f>IFERROR(__xludf.DUMMYFUNCTION("IFERROR(IF(A293="""",""ENTER STOCK"",LET(stock,A293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93" s="48">
        <f t="shared" si="6"/>
        <v>0</v>
      </c>
      <c r="M293" s="48">
        <f t="shared" si="7"/>
        <v>1</v>
      </c>
      <c r="N293" s="50">
        <f t="shared" si="8"/>
        <v>1</v>
      </c>
      <c r="P293" s="46" t="str">
        <f t="shared" si="9"/>
        <v>REVERSE TRADE</v>
      </c>
      <c r="Q293" s="52"/>
      <c r="R293" s="53">
        <f t="shared" si="10"/>
        <v>15</v>
      </c>
      <c r="S293" s="53">
        <f>IFERROR(__xludf.DUMMYFUNCTION("IFERROR(ROUND(GOOGLEFINANCE(A293,""volume"")/GOOGLEFINANCE(A293,""volumeavg""),2),"""")"),0.67)</f>
        <v>0.67</v>
      </c>
      <c r="T293" s="53" t="str">
        <f t="shared" si="11"/>
        <v>LOW VOL</v>
      </c>
      <c r="U293" s="53">
        <f>IFERROR(__xludf.DUMMYFUNCTION("IFERROR(
  LET(
    sd, GOOGLEFINANCE(A293,""close"",TODAY()-100,TODAY()),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"""")"),0.91)</f>
        <v>0.91</v>
      </c>
      <c r="V293" s="53" t="str">
        <f t="shared" si="12"/>
        <v>MEDIUM</v>
      </c>
      <c r="W293" s="53">
        <f>IFERROR(__xludf.DUMMYFUNCTION("IFERROR(ROUND((B293/GOOGLEFINANCE(A293,""high52"")-1)*100,1),"""")"),-19.1)</f>
        <v>-19.1</v>
      </c>
      <c r="X293" s="53">
        <f>IFERROR(__xludf.DUMMYFUNCTION("IFERROR(ROUND((B293-GOOGLEFINANCE(A293,""low52""))/(GOOGLEFINANCE(A293,""high52"")-GOOGLEFINANCE(A293,""low52""))*100,1),"""")"),25.0)</f>
        <v>25</v>
      </c>
      <c r="Y293" s="53" t="str">
        <f t="shared" si="13"/>
        <v>UPPER</v>
      </c>
      <c r="Z293" s="53">
        <f>IFERROR(__xludf.DUMMYFUNCTION("IFERROR(ROUND(((B293 / INDEX(GOOGLEFINANCE(TRIM(A293), ""price"", TODAY()-34, TODAY()), 2, 2)) - (GOOGLEFINANCE(""NIFTY_50"") / INDEX(GOOGLEFINANCE(""NIFTY_50"", ""price"", TODAY()-34, TODAY()), 2, 2))) * 100, 2), ""Check History"")"),8.43)</f>
        <v>8.43</v>
      </c>
      <c r="AA293" s="53" t="str">
        <f t="shared" si="14"/>
        <v>STRONG RS</v>
      </c>
      <c r="AB293" s="53">
        <f>IFERROR(__xludf.DUMMYFUNCTION("IFERROR(LET(
  p, QUERY(GOOGLEFINANCE(TRIM(A293),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Loading"")"),57.1)</f>
        <v>57.1</v>
      </c>
      <c r="AC293" s="53" t="str">
        <f t="shared" si="15"/>
        <v>IDEAL ENTRY</v>
      </c>
      <c r="AD293" s="53" t="str">
        <f>IFERROR(__xludf.DUMMYFUNCTION("IFERROR(IF(GOOGLEFINANCE(A293,""eps"")&gt;0,""EPS+"",""EPS-""),"""")"),"EPS+")</f>
        <v>EPS+</v>
      </c>
      <c r="AE293" s="53">
        <f t="shared" si="16"/>
        <v>4</v>
      </c>
      <c r="AF293" s="53">
        <f>IFERROR(__xludf.DUMMYFUNCTION("IFERROR(N293+IF(S293&gt;=1.2,1,0)+IF(U293&gt;=1,1,0)+IF(Z293&gt;0,1,0)+IF(AND(W293&gt;=-20,W293&lt;=0),1,0)+IF(IFERROR(GOOGLEFINANCE(A293,""eps""),0)&gt;0,1,0),"""")"),4.0)</f>
        <v>4</v>
      </c>
      <c r="AG293" s="53" t="str">
        <f t="shared" si="17"/>
        <v>REVERSE TRADE</v>
      </c>
    </row>
    <row r="294" ht="15.75" customHeight="1">
      <c r="A294" s="55" t="s">
        <v>461</v>
      </c>
      <c r="B294" s="44">
        <f>IFERROR(__xludf.DUMMYFUNCTION("GOOGLEFINANCE(A294,""price"")"),220.0)</f>
        <v>220</v>
      </c>
      <c r="C294" s="45">
        <f>IFERROR(__xludf.DUMMYFUNCTION("AVERAGE(QUERY(SORT(GOOGLEFINANCE(A294,""price"",TODAY()-150,TODAY()),1,0),""select Col2 limit 50""))"),251.76699999999983)</f>
        <v>251.767</v>
      </c>
      <c r="D294" s="45">
        <f>IFERROR(__xludf.DUMMYFUNCTION("AVERAGE(QUERY(SORT(GOOGLEFINANCE(A294,""price"",TODAY()-300,TODAY()),1,0),""select Col2 limit 100""))"),259.2254999999999)</f>
        <v>259.2255</v>
      </c>
      <c r="E294" s="45">
        <f>IFERROR(__xludf.DUMMYFUNCTION("AVERAGE(QUERY(SORT(GOOGLEFINANCE(A294,""price"",TODAY()-500,TODAY()),1,0),""select Col2 limit 200""))"),267.49324999999993)</f>
        <v>267.49325</v>
      </c>
      <c r="F294" s="46" t="str">
        <f t="shared" si="1"/>
        <v>In Bear Run</v>
      </c>
      <c r="G294" s="47">
        <f t="shared" si="2"/>
        <v>-17.754934</v>
      </c>
      <c r="H294" s="48" t="str">
        <f t="shared" si="3"/>
        <v>Inverted ✗</v>
      </c>
      <c r="I294" s="48">
        <f t="shared" si="4"/>
        <v>0</v>
      </c>
      <c r="J294" s="48">
        <f t="shared" si="5"/>
        <v>0</v>
      </c>
      <c r="K294" s="49" t="str">
        <f>IFERROR(__xludf.DUMMYFUNCTION("IFERROR(IF(A294="""",""ENTER STOCK"",LET(stock,A294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94" s="48">
        <f t="shared" si="6"/>
        <v>0</v>
      </c>
      <c r="M294" s="48">
        <f t="shared" si="7"/>
        <v>1</v>
      </c>
      <c r="N294" s="50">
        <f t="shared" si="8"/>
        <v>1</v>
      </c>
      <c r="P294" s="46" t="str">
        <f t="shared" si="9"/>
        <v>REVERSE TRADE</v>
      </c>
      <c r="Q294" s="52"/>
      <c r="R294" s="53">
        <f t="shared" si="10"/>
        <v>15</v>
      </c>
      <c r="S294" s="53">
        <f>IFERROR(__xludf.DUMMYFUNCTION("IFERROR(ROUND(GOOGLEFINANCE(A294,""volume"")/GOOGLEFINANCE(A294,""volumeavg""),2),"""")"),1.36)</f>
        <v>1.36</v>
      </c>
      <c r="T294" s="53" t="str">
        <f t="shared" si="11"/>
        <v>OK VOL</v>
      </c>
      <c r="U294" s="53">
        <f>IFERROR(__xludf.DUMMYFUNCTION("IFERROR(
  LET(
    sd, GOOGLEFINANCE(A294,""close"",TODAY()-100,TODAY()),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"""")"),0.41)</f>
        <v>0.41</v>
      </c>
      <c r="V294" s="53" t="str">
        <f t="shared" si="12"/>
        <v>SLOW</v>
      </c>
      <c r="W294" s="53">
        <f>IFERROR(__xludf.DUMMYFUNCTION("IFERROR(ROUND((B294/GOOGLEFINANCE(A294,""high52"")-1)*100,1),"""")"),-27.7)</f>
        <v>-27.7</v>
      </c>
      <c r="X294" s="53">
        <f>IFERROR(__xludf.DUMMYFUNCTION("IFERROR(ROUND((B294-GOOGLEFINANCE(A294,""low52""))/(GOOGLEFINANCE(A294,""high52"")-GOOGLEFINANCE(A294,""low52""))*100,1),"""")"),10.6)</f>
        <v>10.6</v>
      </c>
      <c r="Y294" s="53" t="str">
        <f t="shared" si="13"/>
        <v>MID</v>
      </c>
      <c r="Z294" s="53">
        <f>IFERROR(__xludf.DUMMYFUNCTION("IFERROR(ROUND(((B294 / INDEX(GOOGLEFINANCE(TRIM(A294), ""price"", TODAY()-34, TODAY()), 2, 2)) - (GOOGLEFINANCE(""NIFTY_50"") / INDEX(GOOGLEFINANCE(""NIFTY_50"", ""price"", TODAY()-34, TODAY()), 2, 2))) * 100, 2), ""Check History"")"),-4.07)</f>
        <v>-4.07</v>
      </c>
      <c r="AA294" s="53" t="str">
        <f t="shared" si="14"/>
        <v>WEAK RS</v>
      </c>
      <c r="AB294" s="53">
        <f>IFERROR(__xludf.DUMMYFUNCTION("IFERROR(LET(
  p, QUERY(GOOGLEFINANCE(TRIM(A294),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Loading"")"),53.7)</f>
        <v>53.7</v>
      </c>
      <c r="AC294" s="53" t="str">
        <f t="shared" si="15"/>
        <v>IDEAL ENTRY</v>
      </c>
      <c r="AD294" s="53" t="str">
        <f>IFERROR(__xludf.DUMMYFUNCTION("IFERROR(IF(GOOGLEFINANCE(A294,""eps"")&gt;0,""EPS+"",""EPS-""),"""")"),"EPS+")</f>
        <v>EPS+</v>
      </c>
      <c r="AE294" s="53">
        <f t="shared" si="16"/>
        <v>2</v>
      </c>
      <c r="AF294" s="53">
        <f>IFERROR(__xludf.DUMMYFUNCTION("IFERROR(N294+IF(S294&gt;=1.2,1,0)+IF(U294&gt;=1,1,0)+IF(Z294&gt;0,1,0)+IF(AND(W294&gt;=-20,W294&lt;=0),1,0)+IF(IFERROR(GOOGLEFINANCE(A294,""eps""),0)&gt;0,1,0),"""")"),3.0)</f>
        <v>3</v>
      </c>
      <c r="AG294" s="53" t="str">
        <f t="shared" si="17"/>
        <v>REVERSE TRADE</v>
      </c>
    </row>
    <row r="295" ht="15.75" customHeight="1">
      <c r="A295" s="55" t="s">
        <v>462</v>
      </c>
      <c r="B295" s="44">
        <f>IFERROR(__xludf.DUMMYFUNCTION("GOOGLEFINANCE(A295,""price"")"),783.4)</f>
        <v>783.4</v>
      </c>
      <c r="C295" s="45">
        <f>IFERROR(__xludf.DUMMYFUNCTION("AVERAGE(QUERY(SORT(GOOGLEFINANCE(A295,""price"",TODAY()-150,TODAY()),1,0),""select Col2 limit 50""))"),877.4579999999999)</f>
        <v>877.458</v>
      </c>
      <c r="D295" s="45">
        <f>IFERROR(__xludf.DUMMYFUNCTION("AVERAGE(QUERY(SORT(GOOGLEFINANCE(A295,""price"",TODAY()-300,TODAY()),1,0),""select Col2 limit 100""))"),890.7815000000005)</f>
        <v>890.7815</v>
      </c>
      <c r="E295" s="45">
        <f>IFERROR(__xludf.DUMMYFUNCTION("AVERAGE(QUERY(SORT(GOOGLEFINANCE(A295,""price"",TODAY()-500,TODAY()),1,0),""select Col2 limit 200""))"),837.1155000000008)</f>
        <v>837.1155</v>
      </c>
      <c r="F295" s="46" t="str">
        <f t="shared" si="1"/>
        <v>In Bear Run</v>
      </c>
      <c r="G295" s="47">
        <f t="shared" si="2"/>
        <v>-6.416736997</v>
      </c>
      <c r="H295" s="48" t="str">
        <f t="shared" si="3"/>
        <v>Inverted ✗</v>
      </c>
      <c r="I295" s="48">
        <f t="shared" si="4"/>
        <v>0</v>
      </c>
      <c r="J295" s="48">
        <f t="shared" si="5"/>
        <v>0</v>
      </c>
      <c r="K295" s="49" t="str">
        <f>IFERROR(__xludf.DUMMYFUNCTION("IFERROR(IF(A295="""",""ENTER STOCK"",LET(stock,A295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95" s="48">
        <f t="shared" si="6"/>
        <v>0</v>
      </c>
      <c r="M295" s="48">
        <f t="shared" si="7"/>
        <v>1</v>
      </c>
      <c r="N295" s="50">
        <f t="shared" si="8"/>
        <v>1</v>
      </c>
      <c r="P295" s="46" t="str">
        <f t="shared" si="9"/>
        <v>REVERSE TRADE</v>
      </c>
      <c r="Q295" s="52"/>
      <c r="R295" s="53">
        <f t="shared" si="10"/>
        <v>15</v>
      </c>
      <c r="S295" s="53">
        <f>IFERROR(__xludf.DUMMYFUNCTION("IFERROR(ROUND(GOOGLEFINANCE(A295,""volume"")/GOOGLEFINANCE(A295,""volumeavg""),2),"""")"),0.95)</f>
        <v>0.95</v>
      </c>
      <c r="T295" s="53" t="str">
        <f t="shared" si="11"/>
        <v>LOW VOL</v>
      </c>
      <c r="U295" s="53">
        <f>IFERROR(__xludf.DUMMYFUNCTION("IFERROR(
  LET(
    sd, GOOGLEFINANCE(A295,""close"",TODAY()-100,TODAY()),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"""")"),1.02)</f>
        <v>1.02</v>
      </c>
      <c r="V295" s="53" t="str">
        <f t="shared" si="12"/>
        <v>MEDIUM</v>
      </c>
      <c r="W295" s="53">
        <f>IFERROR(__xludf.DUMMYFUNCTION("IFERROR(ROUND((B295/GOOGLEFINANCE(A295,""high52"")-1)*100,1),"""")"),-19.4)</f>
        <v>-19.4</v>
      </c>
      <c r="X295" s="53">
        <f>IFERROR(__xludf.DUMMYFUNCTION("IFERROR(ROUND((B295-GOOGLEFINANCE(A295,""low52""))/(GOOGLEFINANCE(A295,""high52"")-GOOGLEFINANCE(A295,""low52""))*100,1),"""")"),47.2)</f>
        <v>47.2</v>
      </c>
      <c r="Y295" s="53" t="str">
        <f t="shared" si="13"/>
        <v>UPPER</v>
      </c>
      <c r="Z295" s="53">
        <f>IFERROR(__xludf.DUMMYFUNCTION("IFERROR(ROUND(((B295 / INDEX(GOOGLEFINANCE(TRIM(A295), ""price"", TODAY()-34, TODAY()), 2, 2)) - (GOOGLEFINANCE(""NIFTY_50"") / INDEX(GOOGLEFINANCE(""NIFTY_50"", ""price"", TODAY()-34, TODAY()), 2, 2))) * 100, 2), ""Check History"")"),0.81)</f>
        <v>0.81</v>
      </c>
      <c r="AA295" s="53" t="str">
        <f t="shared" si="14"/>
        <v>MILD RS</v>
      </c>
      <c r="AB295" s="53">
        <f>IFERROR(__xludf.DUMMYFUNCTION("IFERROR(LET(
  p, QUERY(GOOGLEFINANCE(TRIM(A295),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Loading"")"),38.5)</f>
        <v>38.5</v>
      </c>
      <c r="AC295" s="53" t="str">
        <f t="shared" si="15"/>
        <v>WEAK MOM</v>
      </c>
      <c r="AD295" s="53" t="str">
        <f>IFERROR(__xludf.DUMMYFUNCTION("IFERROR(IF(GOOGLEFINANCE(A295,""eps"")&gt;0,""EPS+"",""EPS-""),"""")"),"EPS+")</f>
        <v>EPS+</v>
      </c>
      <c r="AE295" s="53">
        <f t="shared" si="16"/>
        <v>3</v>
      </c>
      <c r="AF295" s="53">
        <f>IFERROR(__xludf.DUMMYFUNCTION("IFERROR(N295+IF(S295&gt;=1.2,1,0)+IF(U295&gt;=1,1,0)+IF(Z295&gt;0,1,0)+IF(AND(W295&gt;=-20,W295&lt;=0),1,0)+IF(IFERROR(GOOGLEFINANCE(A295,""eps""),0)&gt;0,1,0),"""")"),5.0)</f>
        <v>5</v>
      </c>
      <c r="AG295" s="53" t="str">
        <f t="shared" si="17"/>
        <v>REVERSE TRADE</v>
      </c>
    </row>
    <row r="296" ht="15.75" customHeight="1">
      <c r="A296" s="55" t="s">
        <v>463</v>
      </c>
      <c r="B296" s="44">
        <f>IFERROR(__xludf.DUMMYFUNCTION("GOOGLEFINANCE(A296,""price"")"),162.3)</f>
        <v>162.3</v>
      </c>
      <c r="C296" s="45">
        <f>IFERROR(__xludf.DUMMYFUNCTION("AVERAGE(QUERY(SORT(GOOGLEFINANCE(A296,""price"",TODAY()-150,TODAY()),1,0),""select Col2 limit 50""))"),170.1396)</f>
        <v>170.1396</v>
      </c>
      <c r="D296" s="45">
        <f>IFERROR(__xludf.DUMMYFUNCTION("AVERAGE(QUERY(SORT(GOOGLEFINANCE(A296,""price"",TODAY()-300,TODAY()),1,0),""select Col2 limit 100""))"),178.88979999999995)</f>
        <v>178.8898</v>
      </c>
      <c r="E296" s="45">
        <f>IFERROR(__xludf.DUMMYFUNCTION("AVERAGE(QUERY(SORT(GOOGLEFINANCE(A296,""price"",TODAY()-500,TODAY()),1,0),""select Col2 limit 200""))"),181.6132499999999)</f>
        <v>181.61325</v>
      </c>
      <c r="F296" s="46" t="str">
        <f t="shared" si="1"/>
        <v>In Bear Run</v>
      </c>
      <c r="G296" s="47">
        <f t="shared" si="2"/>
        <v>-10.63427366</v>
      </c>
      <c r="H296" s="48" t="str">
        <f t="shared" si="3"/>
        <v>Inverted ✗</v>
      </c>
      <c r="I296" s="48">
        <f t="shared" si="4"/>
        <v>0</v>
      </c>
      <c r="J296" s="48">
        <f t="shared" si="5"/>
        <v>0</v>
      </c>
      <c r="K296" s="49" t="str">
        <f>IFERROR(__xludf.DUMMYFUNCTION("IFERROR(IF(A296="""",""ENTER STOCK"",LET(stock,A296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96" s="48">
        <f t="shared" si="6"/>
        <v>0</v>
      </c>
      <c r="M296" s="48">
        <f t="shared" si="7"/>
        <v>1</v>
      </c>
      <c r="N296" s="50">
        <f t="shared" si="8"/>
        <v>1</v>
      </c>
      <c r="P296" s="46" t="str">
        <f t="shared" si="9"/>
        <v>REVERSE TRADE</v>
      </c>
      <c r="Q296" s="52"/>
      <c r="R296" s="53">
        <f t="shared" si="10"/>
        <v>15</v>
      </c>
      <c r="S296" s="53">
        <f>IFERROR(__xludf.DUMMYFUNCTION("IFERROR(ROUND(GOOGLEFINANCE(A296,""volume"")/GOOGLEFINANCE(A296,""volumeavg""),2),"""")"),1.21)</f>
        <v>1.21</v>
      </c>
      <c r="T296" s="53" t="str">
        <f t="shared" si="11"/>
        <v>OK VOL</v>
      </c>
      <c r="U296" s="53">
        <f>IFERROR(__xludf.DUMMYFUNCTION("IFERROR(
  LET(
    sd, GOOGLEFINANCE(A296,""close"",TODAY()-100,TODAY()),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"""")"),1.11)</f>
        <v>1.11</v>
      </c>
      <c r="V296" s="53" t="str">
        <f t="shared" si="12"/>
        <v>MEDIUM</v>
      </c>
      <c r="W296" s="53">
        <f>IFERROR(__xludf.DUMMYFUNCTION("IFERROR(ROUND((B296/GOOGLEFINANCE(A296,""high52"")-1)*100,1),"""")"),-24.2)</f>
        <v>-24.2</v>
      </c>
      <c r="X296" s="53">
        <f>IFERROR(__xludf.DUMMYFUNCTION("IFERROR(ROUND((B296-GOOGLEFINANCE(A296,""low52""))/(GOOGLEFINANCE(A296,""high52"")-GOOGLEFINANCE(A296,""low52""))*100,1),"""")"),18.6)</f>
        <v>18.6</v>
      </c>
      <c r="Y296" s="53" t="str">
        <f t="shared" si="13"/>
        <v>MID</v>
      </c>
      <c r="Z296" s="53">
        <f>IFERROR(__xludf.DUMMYFUNCTION("IFERROR(ROUND(((B296 / INDEX(GOOGLEFINANCE(TRIM(A296), ""price"", TODAY()-34, TODAY()), 2, 2)) - (GOOGLEFINANCE(""NIFTY_50"") / INDEX(GOOGLEFINANCE(""NIFTY_50"", ""price"", TODAY()-34, TODAY()), 2, 2))) * 100, 2), ""Check History"")"),8.99)</f>
        <v>8.99</v>
      </c>
      <c r="AA296" s="53" t="str">
        <f t="shared" si="14"/>
        <v>STRONG RS</v>
      </c>
      <c r="AB296" s="53">
        <f>IFERROR(__xludf.DUMMYFUNCTION("IFERROR(LET(
  p, QUERY(GOOGLEFINANCE(TRIM(A296),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Loading"")"),46.6)</f>
        <v>46.6</v>
      </c>
      <c r="AC296" s="53" t="str">
        <f t="shared" si="15"/>
        <v>IDEAL ENTRY</v>
      </c>
      <c r="AD296" s="53" t="str">
        <f>IFERROR(__xludf.DUMMYFUNCTION("IFERROR(IF(GOOGLEFINANCE(A296,""eps"")&gt;0,""EPS+"",""EPS-""),"""")"),"EPS+")</f>
        <v>EPS+</v>
      </c>
      <c r="AE296" s="53">
        <f t="shared" si="16"/>
        <v>6</v>
      </c>
      <c r="AF296" s="53">
        <f>IFERROR(__xludf.DUMMYFUNCTION("IFERROR(N296+IF(S296&gt;=1.2,1,0)+IF(U296&gt;=1,1,0)+IF(Z296&gt;0,1,0)+IF(AND(W296&gt;=-20,W296&lt;=0),1,0)+IF(IFERROR(GOOGLEFINANCE(A296,""eps""),0)&gt;0,1,0),"""")"),5.0)</f>
        <v>5</v>
      </c>
      <c r="AG296" s="53" t="str">
        <f t="shared" si="17"/>
        <v>REVERSE TRADE</v>
      </c>
    </row>
    <row r="297" ht="15.75" customHeight="1">
      <c r="A297" s="55" t="s">
        <v>464</v>
      </c>
      <c r="B297" s="44">
        <f>IFERROR(__xludf.DUMMYFUNCTION("GOOGLEFINANCE(A297,""price"")"),780.0)</f>
        <v>780</v>
      </c>
      <c r="C297" s="45">
        <f>IFERROR(__xludf.DUMMYFUNCTION("AVERAGE(QUERY(SORT(GOOGLEFINANCE(A297,""price"",TODAY()-150,TODAY()),1,0),""select Col2 limit 50""))"),802.3870000000002)</f>
        <v>802.387</v>
      </c>
      <c r="D297" s="45">
        <f>IFERROR(__xludf.DUMMYFUNCTION("AVERAGE(QUERY(SORT(GOOGLEFINANCE(A297,""price"",TODAY()-300,TODAY()),1,0),""select Col2 limit 100""))"),831.0545)</f>
        <v>831.0545</v>
      </c>
      <c r="E297" s="45">
        <f>IFERROR(__xludf.DUMMYFUNCTION("AVERAGE(QUERY(SORT(GOOGLEFINANCE(A297,""price"",TODAY()-500,TODAY()),1,0),""select Col2 limit 200""))"),885.8114999999998)</f>
        <v>885.8115</v>
      </c>
      <c r="F297" s="46" t="str">
        <f t="shared" si="1"/>
        <v>In Bear Run</v>
      </c>
      <c r="G297" s="47">
        <f t="shared" si="2"/>
        <v>-11.9451486</v>
      </c>
      <c r="H297" s="48" t="str">
        <f t="shared" si="3"/>
        <v>Inverted ✗</v>
      </c>
      <c r="I297" s="48">
        <f t="shared" si="4"/>
        <v>0</v>
      </c>
      <c r="J297" s="48">
        <f t="shared" si="5"/>
        <v>0</v>
      </c>
      <c r="K297" s="49" t="str">
        <f>IFERROR(__xludf.DUMMYFUNCTION("IFERROR(IF(A297="""",""ENTER STOCK"",LET(stock,A297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97" s="48">
        <f t="shared" si="6"/>
        <v>0</v>
      </c>
      <c r="M297" s="48">
        <f t="shared" si="7"/>
        <v>1</v>
      </c>
      <c r="N297" s="50">
        <f t="shared" si="8"/>
        <v>1</v>
      </c>
      <c r="P297" s="46" t="str">
        <f t="shared" si="9"/>
        <v>REVERSE TRADE</v>
      </c>
      <c r="Q297" s="52"/>
      <c r="R297" s="53">
        <f t="shared" si="10"/>
        <v>15</v>
      </c>
      <c r="S297" s="53">
        <f>IFERROR(__xludf.DUMMYFUNCTION("IFERROR(ROUND(GOOGLEFINANCE(A297,""volume"")/GOOGLEFINANCE(A297,""volumeavg""),2),"""")"),3.29)</f>
        <v>3.29</v>
      </c>
      <c r="T297" s="53" t="str">
        <f t="shared" si="11"/>
        <v>HIGH VOL</v>
      </c>
      <c r="U297" s="53">
        <f>IFERROR(__xludf.DUMMYFUNCTION("IFERROR(
  LET(
    sd, GOOGLEFINANCE(A297,""close"",TODAY()-100,TODAY()),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"""")"),1.06)</f>
        <v>1.06</v>
      </c>
      <c r="V297" s="53" t="str">
        <f t="shared" si="12"/>
        <v>MEDIUM</v>
      </c>
      <c r="W297" s="53">
        <f>IFERROR(__xludf.DUMMYFUNCTION("IFERROR(ROUND((B297/GOOGLEFINANCE(A297,""high52"")-1)*100,1),"""")"),-28.3)</f>
        <v>-28.3</v>
      </c>
      <c r="X297" s="53">
        <f>IFERROR(__xludf.DUMMYFUNCTION("IFERROR(ROUND((B297-GOOGLEFINANCE(A297,""low52""))/(GOOGLEFINANCE(A297,""high52"")-GOOGLEFINANCE(A297,""low52""))*100,1),"""")"),12.7)</f>
        <v>12.7</v>
      </c>
      <c r="Y297" s="53" t="str">
        <f t="shared" si="13"/>
        <v>MID</v>
      </c>
      <c r="Z297" s="53">
        <f>IFERROR(__xludf.DUMMYFUNCTION("IFERROR(ROUND(((B297 / INDEX(GOOGLEFINANCE(TRIM(A297), ""price"", TODAY()-34, TODAY()), 2, 2)) - (GOOGLEFINANCE(""NIFTY_50"") / INDEX(GOOGLEFINANCE(""NIFTY_50"", ""price"", TODAY()-34, TODAY()), 2, 2))) * 100, 2), ""Check History"")"),4.79)</f>
        <v>4.79</v>
      </c>
      <c r="AA297" s="53" t="str">
        <f t="shared" si="14"/>
        <v>MILD RS</v>
      </c>
      <c r="AB297" s="53">
        <f>IFERROR(__xludf.DUMMYFUNCTION("IFERROR(LET(
  p, QUERY(GOOGLEFINANCE(TRIM(A297),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Loading"")"),36.6)</f>
        <v>36.6</v>
      </c>
      <c r="AC297" s="53" t="str">
        <f t="shared" si="15"/>
        <v>WEAK MOM</v>
      </c>
      <c r="AD297" s="53" t="str">
        <f>IFERROR(__xludf.DUMMYFUNCTION("IFERROR(IF(GOOGLEFINANCE(A297,""eps"")&gt;0,""EPS+"",""EPS-""),"""")"),"EPS+")</f>
        <v>EPS+</v>
      </c>
      <c r="AE297" s="53">
        <f t="shared" si="16"/>
        <v>6</v>
      </c>
      <c r="AF297" s="53">
        <f>IFERROR(__xludf.DUMMYFUNCTION("IFERROR(N297+IF(S297&gt;=1.2,1,0)+IF(U297&gt;=1,1,0)+IF(Z297&gt;0,1,0)+IF(AND(W297&gt;=-20,W297&lt;=0),1,0)+IF(IFERROR(GOOGLEFINANCE(A297,""eps""),0)&gt;0,1,0),"""")"),5.0)</f>
        <v>5</v>
      </c>
      <c r="AG297" s="53" t="str">
        <f t="shared" si="17"/>
        <v>REVERSE TRADE</v>
      </c>
    </row>
    <row r="298" ht="15.75" customHeight="1">
      <c r="A298" s="55" t="s">
        <v>465</v>
      </c>
      <c r="B298" s="44">
        <f>IFERROR(__xludf.DUMMYFUNCTION("GOOGLEFINANCE(A298,""price"")"),173.66)</f>
        <v>173.66</v>
      </c>
      <c r="C298" s="45">
        <f>IFERROR(__xludf.DUMMYFUNCTION("AVERAGE(QUERY(SORT(GOOGLEFINANCE(A298,""price"",TODAY()-150,TODAY()),1,0),""select Col2 limit 50""))"),185.10199999999998)</f>
        <v>185.102</v>
      </c>
      <c r="D298" s="45">
        <f>IFERROR(__xludf.DUMMYFUNCTION("AVERAGE(QUERY(SORT(GOOGLEFINANCE(A298,""price"",TODAY()-300,TODAY()),1,0),""select Col2 limit 100""))"),187.35869999999989)</f>
        <v>187.3587</v>
      </c>
      <c r="E298" s="45">
        <f>IFERROR(__xludf.DUMMYFUNCTION("AVERAGE(QUERY(SORT(GOOGLEFINANCE(A298,""price"",TODAY()-500,TODAY()),1,0),""select Col2 limit 200""))"),198.09414999999998)</f>
        <v>198.09415</v>
      </c>
      <c r="F298" s="46" t="str">
        <f t="shared" si="1"/>
        <v>In Bear Run</v>
      </c>
      <c r="G298" s="47">
        <f t="shared" si="2"/>
        <v>-12.33461463</v>
      </c>
      <c r="H298" s="48" t="str">
        <f t="shared" si="3"/>
        <v>Inverted ✗</v>
      </c>
      <c r="I298" s="48">
        <f t="shared" si="4"/>
        <v>0</v>
      </c>
      <c r="J298" s="48">
        <f t="shared" si="5"/>
        <v>0</v>
      </c>
      <c r="K298" s="49" t="str">
        <f>IFERROR(__xludf.DUMMYFUNCTION("IFERROR(IF(A298="""",""ENTER STOCK"",LET(stock,A298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98" s="48">
        <f t="shared" si="6"/>
        <v>0</v>
      </c>
      <c r="M298" s="48">
        <f t="shared" si="7"/>
        <v>1</v>
      </c>
      <c r="N298" s="50">
        <f t="shared" si="8"/>
        <v>1</v>
      </c>
      <c r="P298" s="46" t="str">
        <f t="shared" si="9"/>
        <v>REVERSE TRADE</v>
      </c>
      <c r="Q298" s="52"/>
      <c r="R298" s="53">
        <f t="shared" si="10"/>
        <v>15</v>
      </c>
      <c r="S298" s="53">
        <f>IFERROR(__xludf.DUMMYFUNCTION("IFERROR(ROUND(GOOGLEFINANCE(A298,""volume"")/GOOGLEFINANCE(A298,""volumeavg""),2),"""")"),1.34)</f>
        <v>1.34</v>
      </c>
      <c r="T298" s="53" t="str">
        <f t="shared" si="11"/>
        <v>OK VOL</v>
      </c>
      <c r="U298" s="53">
        <f>IFERROR(__xludf.DUMMYFUNCTION("IFERROR(
  LET(
    sd, GOOGLEFINANCE(A298,""close"",TODAY()-100,TODAY()),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"""")"),0.43)</f>
        <v>0.43</v>
      </c>
      <c r="V298" s="53" t="str">
        <f t="shared" si="12"/>
        <v>SLOW</v>
      </c>
      <c r="W298" s="53">
        <f>IFERROR(__xludf.DUMMYFUNCTION("IFERROR(ROUND((B298/GOOGLEFINANCE(A298,""high52"")-1)*100,1),"""")"),-25.3)</f>
        <v>-25.3</v>
      </c>
      <c r="X298" s="53">
        <f>IFERROR(__xludf.DUMMYFUNCTION("IFERROR(ROUND((B298-GOOGLEFINANCE(A298,""low52""))/(GOOGLEFINANCE(A298,""high52"")-GOOGLEFINANCE(A298,""low52""))*100,1),"""")"),5.7)</f>
        <v>5.7</v>
      </c>
      <c r="Y298" s="53" t="str">
        <f t="shared" si="13"/>
        <v>MID</v>
      </c>
      <c r="Z298" s="53">
        <f>IFERROR(__xludf.DUMMYFUNCTION("IFERROR(ROUND(((B298 / INDEX(GOOGLEFINANCE(TRIM(A298), ""price"", TODAY()-34, TODAY()), 2, 2)) - (GOOGLEFINANCE(""NIFTY_50"") / INDEX(GOOGLEFINANCE(""NIFTY_50"", ""price"", TODAY()-34, TODAY()), 2, 2))) * 100, 2), ""Check History"")"),5.06)</f>
        <v>5.06</v>
      </c>
      <c r="AA298" s="53" t="str">
        <f t="shared" si="14"/>
        <v>STRONG RS</v>
      </c>
      <c r="AB298" s="53">
        <f>IFERROR(__xludf.DUMMYFUNCTION("IFERROR(LET(
  p, QUERY(GOOGLEFINANCE(TRIM(A298),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Loading"")"),26.9)</f>
        <v>26.9</v>
      </c>
      <c r="AC298" s="53" t="str">
        <f t="shared" si="15"/>
        <v>WEAK MOM</v>
      </c>
      <c r="AD298" s="53" t="str">
        <f>IFERROR(__xludf.DUMMYFUNCTION("IFERROR(IF(GOOGLEFINANCE(A298,""eps"")&gt;0,""EPS+"",""EPS-""),"""")"),"EPS+")</f>
        <v>EPS+</v>
      </c>
      <c r="AE298" s="53">
        <f t="shared" si="16"/>
        <v>4</v>
      </c>
      <c r="AF298" s="53">
        <f>IFERROR(__xludf.DUMMYFUNCTION("IFERROR(N298+IF(S298&gt;=1.2,1,0)+IF(U298&gt;=1,1,0)+IF(Z298&gt;0,1,0)+IF(AND(W298&gt;=-20,W298&lt;=0),1,0)+IF(IFERROR(GOOGLEFINANCE(A298,""eps""),0)&gt;0,1,0),"""")"),4.0)</f>
        <v>4</v>
      </c>
      <c r="AG298" s="53" t="str">
        <f t="shared" si="17"/>
        <v>REVERSE TRADE</v>
      </c>
    </row>
    <row r="299" ht="15.75" customHeight="1">
      <c r="A299" s="55" t="s">
        <v>466</v>
      </c>
      <c r="B299" s="44">
        <f>IFERROR(__xludf.DUMMYFUNCTION("GOOGLEFINANCE(A299,""price"")"),3250.0)</f>
        <v>3250</v>
      </c>
      <c r="C299" s="45">
        <f>IFERROR(__xludf.DUMMYFUNCTION("AVERAGE(QUERY(SORT(GOOGLEFINANCE(A299,""price"",TODAY()-150,TODAY()),1,0),""select Col2 limit 50""))"),3674.9740000000006)</f>
        <v>3674.974</v>
      </c>
      <c r="D299" s="45">
        <f>IFERROR(__xludf.DUMMYFUNCTION("AVERAGE(QUERY(SORT(GOOGLEFINANCE(A299,""price"",TODAY()-300,TODAY()),1,0),""select Col2 limit 100""))"),3775.2310000000016)</f>
        <v>3775.231</v>
      </c>
      <c r="E299" s="45">
        <f>IFERROR(__xludf.DUMMYFUNCTION("AVERAGE(QUERY(SORT(GOOGLEFINANCE(A299,""price"",TODAY()-500,TODAY()),1,0),""select Col2 limit 200""))"),3650.6015000000025)</f>
        <v>3650.6015</v>
      </c>
      <c r="F299" s="46" t="str">
        <f t="shared" si="1"/>
        <v>In Bear Run</v>
      </c>
      <c r="G299" s="47">
        <f t="shared" si="2"/>
        <v>-10.97357518</v>
      </c>
      <c r="H299" s="48" t="str">
        <f t="shared" si="3"/>
        <v>Inverted ✗</v>
      </c>
      <c r="I299" s="48">
        <f t="shared" si="4"/>
        <v>0</v>
      </c>
      <c r="J299" s="48">
        <f t="shared" si="5"/>
        <v>0</v>
      </c>
      <c r="K299" s="49" t="str">
        <f>IFERROR(__xludf.DUMMYFUNCTION("IFERROR(IF(A299="""",""ENTER STOCK"",LET(stock,A299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299" s="48">
        <f t="shared" si="6"/>
        <v>0</v>
      </c>
      <c r="M299" s="48">
        <f t="shared" si="7"/>
        <v>1</v>
      </c>
      <c r="N299" s="50">
        <f t="shared" si="8"/>
        <v>1</v>
      </c>
      <c r="P299" s="46" t="str">
        <f t="shared" si="9"/>
        <v>REVERSE TRADE</v>
      </c>
      <c r="Q299" s="52"/>
      <c r="R299" s="53">
        <f t="shared" si="10"/>
        <v>15</v>
      </c>
      <c r="S299" s="53">
        <f>IFERROR(__xludf.DUMMYFUNCTION("IFERROR(ROUND(GOOGLEFINANCE(A299,""volume"")/GOOGLEFINANCE(A299,""volumeavg""),2),"""")"),0.97)</f>
        <v>0.97</v>
      </c>
      <c r="T299" s="53" t="str">
        <f t="shared" si="11"/>
        <v>LOW VOL</v>
      </c>
      <c r="U299" s="53">
        <f>IFERROR(__xludf.DUMMYFUNCTION("IFERROR(
  LET(
    sd, GOOGLEFINANCE(A299,""close"",TODAY()-100,TODAY()),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"""")"),1.43)</f>
        <v>1.43</v>
      </c>
      <c r="V299" s="53" t="str">
        <f t="shared" si="12"/>
        <v>FAST</v>
      </c>
      <c r="W299" s="53">
        <f>IFERROR(__xludf.DUMMYFUNCTION("IFERROR(ROUND((B299/GOOGLEFINANCE(A299,""high52"")-1)*100,1),"""")"),-26.8)</f>
        <v>-26.8</v>
      </c>
      <c r="X299" s="53">
        <f>IFERROR(__xludf.DUMMYFUNCTION("IFERROR(ROUND((B299-GOOGLEFINANCE(A299,""low52""))/(GOOGLEFINANCE(A299,""high52"")-GOOGLEFINANCE(A299,""low52""))*100,1),"""")"),38.6)</f>
        <v>38.6</v>
      </c>
      <c r="Y299" s="53" t="str">
        <f t="shared" si="13"/>
        <v>MID</v>
      </c>
      <c r="Z299" s="53">
        <f>IFERROR(__xludf.DUMMYFUNCTION("IFERROR(ROUND(((B299 / INDEX(GOOGLEFINANCE(TRIM(A299), ""price"", TODAY()-34, TODAY()), 2, 2)) - (GOOGLEFINANCE(""NIFTY_50"") / INDEX(GOOGLEFINANCE(""NIFTY_50"", ""price"", TODAY()-34, TODAY()), 2, 2))) * 100, 2), ""Check History"")"),-0.54)</f>
        <v>-0.54</v>
      </c>
      <c r="AA299" s="53" t="str">
        <f t="shared" si="14"/>
        <v>WEAK RS</v>
      </c>
      <c r="AB299" s="53">
        <f>IFERROR(__xludf.DUMMYFUNCTION("IFERROR(LET(
  p, QUERY(GOOGLEFINANCE(TRIM(A299),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Loading"")"),40.8)</f>
        <v>40.8</v>
      </c>
      <c r="AC299" s="53" t="str">
        <f t="shared" si="15"/>
        <v>WEAK MOM</v>
      </c>
      <c r="AD299" s="53" t="str">
        <f>IFERROR(__xludf.DUMMYFUNCTION("IFERROR(IF(GOOGLEFINANCE(A299,""eps"")&gt;0,""EPS+"",""EPS-""),"""")"),"EPS+")</f>
        <v>EPS+</v>
      </c>
      <c r="AE299" s="53">
        <f t="shared" si="16"/>
        <v>3</v>
      </c>
      <c r="AF299" s="53">
        <f>IFERROR(__xludf.DUMMYFUNCTION("IFERROR(N299+IF(S299&gt;=1.2,1,0)+IF(U299&gt;=1,1,0)+IF(Z299&gt;0,1,0)+IF(AND(W299&gt;=-20,W299&lt;=0),1,0)+IF(IFERROR(GOOGLEFINANCE(A299,""eps""),0)&gt;0,1,0),"""")"),3.0)</f>
        <v>3</v>
      </c>
      <c r="AG299" s="53" t="str">
        <f t="shared" si="17"/>
        <v>REVERSE TRADE</v>
      </c>
    </row>
    <row r="300" ht="15.75" customHeight="1">
      <c r="A300" s="55" t="s">
        <v>467</v>
      </c>
      <c r="B300" s="44">
        <f>IFERROR(__xludf.DUMMYFUNCTION("GOOGLEFINANCE(A300,""price"")"),31.41)</f>
        <v>31.41</v>
      </c>
      <c r="C300" s="45">
        <f>IFERROR(__xludf.DUMMYFUNCTION("AVERAGE(QUERY(SORT(GOOGLEFINANCE(A300,""price"",TODAY()-150,TODAY()),1,0),""select Col2 limit 50""))"),36.790200000000006)</f>
        <v>36.7902</v>
      </c>
      <c r="D300" s="45">
        <f>IFERROR(__xludf.DUMMYFUNCTION("AVERAGE(QUERY(SORT(GOOGLEFINANCE(A300,""price"",TODAY()-300,TODAY()),1,0),""select Col2 limit 100""))"),37.2259)</f>
        <v>37.2259</v>
      </c>
      <c r="E300" s="45">
        <f>IFERROR(__xludf.DUMMYFUNCTION("AVERAGE(QUERY(SORT(GOOGLEFINANCE(A300,""price"",TODAY()-500,TODAY()),1,0),""select Col2 limit 200""))"),37.37089999999999)</f>
        <v>37.3709</v>
      </c>
      <c r="F300" s="46" t="str">
        <f t="shared" si="1"/>
        <v>In Bear Run</v>
      </c>
      <c r="G300" s="47">
        <f t="shared" si="2"/>
        <v>-15.95064609</v>
      </c>
      <c r="H300" s="48" t="str">
        <f t="shared" si="3"/>
        <v>Inverted ✗</v>
      </c>
      <c r="I300" s="48">
        <f t="shared" si="4"/>
        <v>0</v>
      </c>
      <c r="J300" s="48">
        <f t="shared" si="5"/>
        <v>0</v>
      </c>
      <c r="K300" s="49" t="str">
        <f>IFERROR(__xludf.DUMMYFUNCTION("IFERROR(IF(A300="""",""ENTER STOCK"",LET(stock,A300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00" s="48">
        <f t="shared" si="6"/>
        <v>0</v>
      </c>
      <c r="M300" s="48">
        <f t="shared" si="7"/>
        <v>1</v>
      </c>
      <c r="N300" s="50">
        <f t="shared" si="8"/>
        <v>1</v>
      </c>
      <c r="P300" s="46" t="str">
        <f t="shared" si="9"/>
        <v>REVERSE TRADE</v>
      </c>
      <c r="Q300" s="52"/>
      <c r="R300" s="53">
        <f t="shared" si="10"/>
        <v>15</v>
      </c>
      <c r="S300" s="53">
        <f>IFERROR(__xludf.DUMMYFUNCTION("IFERROR(ROUND(GOOGLEFINANCE(A300,""volume"")/GOOGLEFINANCE(A300,""volumeavg""),2),"""")"),1.06)</f>
        <v>1.06</v>
      </c>
      <c r="T300" s="53" t="str">
        <f t="shared" si="11"/>
        <v>LOW VOL</v>
      </c>
      <c r="U300" s="53">
        <f>IFERROR(__xludf.DUMMYFUNCTION("IFERROR(
  LET(
    sd, GOOGLEFINANCE(A300,""close"",TODAY()-100,TODAY()),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"""")"),1.43)</f>
        <v>1.43</v>
      </c>
      <c r="V300" s="53" t="str">
        <f t="shared" si="12"/>
        <v>FAST</v>
      </c>
      <c r="W300" s="53">
        <f>IFERROR(__xludf.DUMMYFUNCTION("IFERROR(ROUND((B300/GOOGLEFINANCE(A300,""high52"")-1)*100,1),"""")"),-26.6)</f>
        <v>-26.6</v>
      </c>
      <c r="X300" s="53">
        <f>IFERROR(__xludf.DUMMYFUNCTION("IFERROR(ROUND((B300-GOOGLEFINANCE(A300,""low52""))/(GOOGLEFINANCE(A300,""high52"")-GOOGLEFINANCE(A300,""low52""))*100,1),"""")"),1.0)</f>
        <v>1</v>
      </c>
      <c r="Y300" s="53" t="str">
        <f t="shared" si="13"/>
        <v>MID</v>
      </c>
      <c r="Z300" s="53">
        <f>IFERROR(__xludf.DUMMYFUNCTION("IFERROR(ROUND(((B300 / INDEX(GOOGLEFINANCE(TRIM(A300), ""price"", TODAY()-34, TODAY()), 2, 2)) - (GOOGLEFINANCE(""NIFTY_50"") / INDEX(GOOGLEFINANCE(""NIFTY_50"", ""price"", TODAY()-34, TODAY()), 2, 2))) * 100, 2), ""Check History"")"),-8.09)</f>
        <v>-8.09</v>
      </c>
      <c r="AA300" s="53" t="str">
        <f t="shared" si="14"/>
        <v>WEAK RS</v>
      </c>
      <c r="AB300" s="53">
        <f>IFERROR(__xludf.DUMMYFUNCTION("IFERROR(LET(
  p, QUERY(GOOGLEFINANCE(TRIM(A300),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Loading"")"),40.9)</f>
        <v>40.9</v>
      </c>
      <c r="AC300" s="53" t="str">
        <f t="shared" si="15"/>
        <v>WEAK MOM</v>
      </c>
      <c r="AD300" s="53" t="str">
        <f>IFERROR(__xludf.DUMMYFUNCTION("IFERROR(IF(GOOGLEFINANCE(A300,""eps"")&gt;0,""EPS+"",""EPS-""),"""")"),"EPS+")</f>
        <v>EPS+</v>
      </c>
      <c r="AE300" s="53">
        <f t="shared" si="16"/>
        <v>4</v>
      </c>
      <c r="AF300" s="53">
        <f>IFERROR(__xludf.DUMMYFUNCTION("IFERROR(N300+IF(S300&gt;=1.2,1,0)+IF(U300&gt;=1,1,0)+IF(Z300&gt;0,1,0)+IF(AND(W300&gt;=-20,W300&lt;=0),1,0)+IF(IFERROR(GOOGLEFINANCE(A300,""eps""),0)&gt;0,1,0),"""")"),3.0)</f>
        <v>3</v>
      </c>
      <c r="AG300" s="53" t="str">
        <f t="shared" si="17"/>
        <v>REVERSE TRADE</v>
      </c>
    </row>
    <row r="301" ht="15.75" customHeight="1">
      <c r="A301" s="55" t="s">
        <v>468</v>
      </c>
      <c r="B301" s="44">
        <f>IFERROR(__xludf.DUMMYFUNCTION("GOOGLEFINANCE(A301,""price"")"),1121.0)</f>
        <v>1121</v>
      </c>
      <c r="C301" s="45">
        <f>IFERROR(__xludf.DUMMYFUNCTION("AVERAGE(QUERY(SORT(GOOGLEFINANCE(A301,""price"",TODAY()-150,TODAY()),1,0),""select Col2 limit 50""))"),1289.988)</f>
        <v>1289.988</v>
      </c>
      <c r="D301" s="45">
        <f>IFERROR(__xludf.DUMMYFUNCTION("AVERAGE(QUERY(SORT(GOOGLEFINANCE(A301,""price"",TODAY()-300,TODAY()),1,0),""select Col2 limit 100""))"),1412.174)</f>
        <v>1412.174</v>
      </c>
      <c r="E301" s="45">
        <f>IFERROR(__xludf.DUMMYFUNCTION("AVERAGE(QUERY(SORT(GOOGLEFINANCE(A301,""price"",TODAY()-500,TODAY()),1,0),""select Col2 limit 200""))"),1510.408499999999)</f>
        <v>1510.4085</v>
      </c>
      <c r="F301" s="46" t="str">
        <f t="shared" si="1"/>
        <v>In Bear Run</v>
      </c>
      <c r="G301" s="47">
        <f t="shared" si="2"/>
        <v>-25.78166767</v>
      </c>
      <c r="H301" s="48" t="str">
        <f t="shared" si="3"/>
        <v>Inverted ✗</v>
      </c>
      <c r="I301" s="48">
        <f t="shared" si="4"/>
        <v>0</v>
      </c>
      <c r="J301" s="48">
        <f t="shared" si="5"/>
        <v>0</v>
      </c>
      <c r="K301" s="49" t="str">
        <f>IFERROR(__xludf.DUMMYFUNCTION("IFERROR(IF(A301="""",""ENTER STOCK"",LET(stock,A301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01" s="48">
        <f t="shared" si="6"/>
        <v>0</v>
      </c>
      <c r="M301" s="48">
        <f t="shared" si="7"/>
        <v>1</v>
      </c>
      <c r="N301" s="50">
        <f t="shared" si="8"/>
        <v>1</v>
      </c>
      <c r="P301" s="46" t="str">
        <f t="shared" si="9"/>
        <v>REVERSE TRADE</v>
      </c>
      <c r="Q301" s="52"/>
      <c r="R301" s="53">
        <f t="shared" si="10"/>
        <v>15</v>
      </c>
      <c r="S301" s="53">
        <f>IFERROR(__xludf.DUMMYFUNCTION("IFERROR(ROUND(GOOGLEFINANCE(A301,""volume"")/GOOGLEFINANCE(A301,""volumeavg""),2),"""")"),1.73)</f>
        <v>1.73</v>
      </c>
      <c r="T301" s="53" t="str">
        <f t="shared" si="11"/>
        <v>HIGH VOL</v>
      </c>
      <c r="U301" s="53">
        <f>IFERROR(__xludf.DUMMYFUNCTION("IFERROR(
  LET(
    sd, GOOGLEFINANCE(A301,""close"",TODAY()-100,TODAY()),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"""")"),1.85)</f>
        <v>1.85</v>
      </c>
      <c r="V301" s="53" t="str">
        <f t="shared" si="12"/>
        <v>FAST</v>
      </c>
      <c r="W301" s="53">
        <f>IFERROR(__xludf.DUMMYFUNCTION("IFERROR(ROUND((B301/GOOGLEFINANCE(A301,""high52"")-1)*100,1),"""")"),-38.7)</f>
        <v>-38.7</v>
      </c>
      <c r="X301" s="53">
        <f>IFERROR(__xludf.DUMMYFUNCTION("IFERROR(ROUND((B301-GOOGLEFINANCE(A301,""low52""))/(GOOGLEFINANCE(A301,""high52"")-GOOGLEFINANCE(A301,""low52""))*100,1),"""")"),5.5)</f>
        <v>5.5</v>
      </c>
      <c r="Y301" s="53" t="str">
        <f t="shared" si="13"/>
        <v>MID</v>
      </c>
      <c r="Z301" s="53">
        <f>IFERROR(__xludf.DUMMYFUNCTION("IFERROR(ROUND(((B301 / INDEX(GOOGLEFINANCE(TRIM(A301), ""price"", TODAY()-34, TODAY()), 2, 2)) - (GOOGLEFINANCE(""NIFTY_50"") / INDEX(GOOGLEFINANCE(""NIFTY_50"", ""price"", TODAY()-34, TODAY()), 2, 2))) * 100, 2), ""Check History"")"),-3.22)</f>
        <v>-3.22</v>
      </c>
      <c r="AA301" s="53" t="str">
        <f t="shared" si="14"/>
        <v>WEAK RS</v>
      </c>
      <c r="AB301" s="53">
        <f>IFERROR(__xludf.DUMMYFUNCTION("IFERROR(LET(
  p, QUERY(GOOGLEFINANCE(TRIM(A301),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Loading"")"),46.7)</f>
        <v>46.7</v>
      </c>
      <c r="AC301" s="53" t="str">
        <f t="shared" si="15"/>
        <v>IDEAL ENTRY</v>
      </c>
      <c r="AD301" s="53" t="str">
        <f>IFERROR(__xludf.DUMMYFUNCTION("IFERROR(IF(GOOGLEFINANCE(A301,""eps"")&gt;0,""EPS+"",""EPS-""),"""")"),"EPS+")</f>
        <v>EPS+</v>
      </c>
      <c r="AE301" s="53">
        <f t="shared" si="16"/>
        <v>6</v>
      </c>
      <c r="AF301" s="53">
        <f>IFERROR(__xludf.DUMMYFUNCTION("IFERROR(N301+IF(S301&gt;=1.2,1,0)+IF(U301&gt;=1,1,0)+IF(Z301&gt;0,1,0)+IF(AND(W301&gt;=-20,W301&lt;=0),1,0)+IF(IFERROR(GOOGLEFINANCE(A301,""eps""),0)&gt;0,1,0),"""")"),4.0)</f>
        <v>4</v>
      </c>
      <c r="AG301" s="53" t="str">
        <f t="shared" si="17"/>
        <v>REVERSE TRADE</v>
      </c>
    </row>
    <row r="302" ht="15.75" customHeight="1">
      <c r="A302" s="55" t="s">
        <v>469</v>
      </c>
      <c r="B302" s="44">
        <f>IFERROR(__xludf.DUMMYFUNCTION("GOOGLEFINANCE(A302,""price"")"),696.0)</f>
        <v>696</v>
      </c>
      <c r="C302" s="45">
        <f>IFERROR(__xludf.DUMMYFUNCTION("AVERAGE(QUERY(SORT(GOOGLEFINANCE(A302,""price"",TODAY()-150,TODAY()),1,0),""select Col2 limit 50""))"),735.1789999999997)</f>
        <v>735.179</v>
      </c>
      <c r="D302" s="45">
        <f>IFERROR(__xludf.DUMMYFUNCTION("AVERAGE(QUERY(SORT(GOOGLEFINANCE(A302,""price"",TODAY()-300,TODAY()),1,0),""select Col2 limit 100""))"),767.1085000000002)</f>
        <v>767.1085</v>
      </c>
      <c r="E302" s="45">
        <f>IFERROR(__xludf.DUMMYFUNCTION("AVERAGE(QUERY(SORT(GOOGLEFINANCE(A302,""price"",TODAY()-500,TODAY()),1,0),""select Col2 limit 200""))"),763.3665000000004)</f>
        <v>763.3665</v>
      </c>
      <c r="F302" s="46" t="str">
        <f t="shared" si="1"/>
        <v>In Bear Run</v>
      </c>
      <c r="G302" s="47">
        <f t="shared" si="2"/>
        <v>-8.824922236</v>
      </c>
      <c r="H302" s="48" t="str">
        <f t="shared" si="3"/>
        <v>Inverted ✗</v>
      </c>
      <c r="I302" s="48">
        <f t="shared" si="4"/>
        <v>0</v>
      </c>
      <c r="J302" s="48">
        <f t="shared" si="5"/>
        <v>0</v>
      </c>
      <c r="K302" s="49" t="str">
        <f>IFERROR(__xludf.DUMMYFUNCTION("IFERROR(IF(A302="""",""ENTER STOCK"",LET(stock,A302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02" s="48">
        <f t="shared" si="6"/>
        <v>0</v>
      </c>
      <c r="M302" s="48">
        <f t="shared" si="7"/>
        <v>1</v>
      </c>
      <c r="N302" s="50">
        <f t="shared" si="8"/>
        <v>1</v>
      </c>
      <c r="P302" s="46" t="str">
        <f t="shared" si="9"/>
        <v>REVERSE TRADE</v>
      </c>
      <c r="Q302" s="52"/>
      <c r="R302" s="53">
        <f t="shared" si="10"/>
        <v>15</v>
      </c>
      <c r="S302" s="53">
        <f>IFERROR(__xludf.DUMMYFUNCTION("IFERROR(ROUND(GOOGLEFINANCE(A302,""volume"")/GOOGLEFINANCE(A302,""volumeavg""),2),"""")"),1.13)</f>
        <v>1.13</v>
      </c>
      <c r="T302" s="53" t="str">
        <f t="shared" si="11"/>
        <v>LOW VOL</v>
      </c>
      <c r="U302" s="53">
        <f>IFERROR(__xludf.DUMMYFUNCTION("IFERROR(
  LET(
    sd, GOOGLEFINANCE(A302,""close"",TODAY()-100,TODAY()),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"""")"),0.93)</f>
        <v>0.93</v>
      </c>
      <c r="V302" s="53" t="str">
        <f t="shared" si="12"/>
        <v>MEDIUM</v>
      </c>
      <c r="W302" s="53">
        <f>IFERROR(__xludf.DUMMYFUNCTION("IFERROR(ROUND((B302/GOOGLEFINANCE(A302,""high52"")-1)*100,1),"""")"),-19.0)</f>
        <v>-19</v>
      </c>
      <c r="X302" s="53">
        <f>IFERROR(__xludf.DUMMYFUNCTION("IFERROR(ROUND((B302-GOOGLEFINANCE(A302,""low52""))/(GOOGLEFINANCE(A302,""high52"")-GOOGLEFINANCE(A302,""low52""))*100,1),"""")"),32.2)</f>
        <v>32.2</v>
      </c>
      <c r="Y302" s="53" t="str">
        <f t="shared" si="13"/>
        <v>UPPER</v>
      </c>
      <c r="Z302" s="53">
        <f>IFERROR(__xludf.DUMMYFUNCTION("IFERROR(ROUND(((B302 / INDEX(GOOGLEFINANCE(TRIM(A302), ""price"", TODAY()-34, TODAY()), 2, 2)) - (GOOGLEFINANCE(""NIFTY_50"") / INDEX(GOOGLEFINANCE(""NIFTY_50"", ""price"", TODAY()-34, TODAY()), 2, 2))) * 100, 2), ""Check History"")"),4.38)</f>
        <v>4.38</v>
      </c>
      <c r="AA302" s="53" t="str">
        <f t="shared" si="14"/>
        <v>MILD RS</v>
      </c>
      <c r="AB302" s="53">
        <f>IFERROR(__xludf.DUMMYFUNCTION("IFERROR(LET(
  p, QUERY(GOOGLEFINANCE(TRIM(A302),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Loading"")"),55.9)</f>
        <v>55.9</v>
      </c>
      <c r="AC302" s="53" t="str">
        <f t="shared" si="15"/>
        <v>IDEAL ENTRY</v>
      </c>
      <c r="AD302" s="53" t="str">
        <f>IFERROR(__xludf.DUMMYFUNCTION("IFERROR(IF(GOOGLEFINANCE(A302,""eps"")&gt;0,""EPS+"",""EPS-""),"""")"),"EPS+")</f>
        <v>EPS+</v>
      </c>
      <c r="AE302" s="53">
        <f t="shared" si="16"/>
        <v>4</v>
      </c>
      <c r="AF302" s="53">
        <f>IFERROR(__xludf.DUMMYFUNCTION("IFERROR(N302+IF(S302&gt;=1.2,1,0)+IF(U302&gt;=1,1,0)+IF(Z302&gt;0,1,0)+IF(AND(W302&gt;=-20,W302&lt;=0),1,0)+IF(IFERROR(GOOGLEFINANCE(A302,""eps""),0)&gt;0,1,0),"""")"),4.0)</f>
        <v>4</v>
      </c>
      <c r="AG302" s="53" t="str">
        <f t="shared" si="17"/>
        <v>REVERSE TRADE</v>
      </c>
    </row>
    <row r="303" ht="15.75" customHeight="1">
      <c r="A303" s="55" t="s">
        <v>470</v>
      </c>
      <c r="B303" s="44">
        <f>IFERROR(__xludf.DUMMYFUNCTION("GOOGLEFINANCE(A303,""price"")"),4580.0)</f>
        <v>4580</v>
      </c>
      <c r="C303" s="45">
        <f>IFERROR(__xludf.DUMMYFUNCTION("AVERAGE(QUERY(SORT(GOOGLEFINANCE(A303,""price"",TODAY()-150,TODAY()),1,0),""select Col2 limit 50""))"),4926.496)</f>
        <v>4926.496</v>
      </c>
      <c r="D303" s="45">
        <f>IFERROR(__xludf.DUMMYFUNCTION("AVERAGE(QUERY(SORT(GOOGLEFINANCE(A303,""price"",TODAY()-300,TODAY()),1,0),""select Col2 limit 100""))"),5189.643)</f>
        <v>5189.643</v>
      </c>
      <c r="E303" s="45">
        <f>IFERROR(__xludf.DUMMYFUNCTION("AVERAGE(QUERY(SORT(GOOGLEFINANCE(A303,""price"",TODAY()-500,TODAY()),1,0),""select Col2 limit 200""))"),5821.0765)</f>
        <v>5821.0765</v>
      </c>
      <c r="F303" s="46" t="str">
        <f t="shared" si="1"/>
        <v>In Bear Run</v>
      </c>
      <c r="G303" s="47">
        <f t="shared" si="2"/>
        <v>-21.32039495</v>
      </c>
      <c r="H303" s="48" t="str">
        <f t="shared" si="3"/>
        <v>Inverted ✗</v>
      </c>
      <c r="I303" s="48">
        <f t="shared" si="4"/>
        <v>0</v>
      </c>
      <c r="J303" s="48">
        <f t="shared" si="5"/>
        <v>0</v>
      </c>
      <c r="K303" s="49" t="str">
        <f>IFERROR(__xludf.DUMMYFUNCTION("IFERROR(IF(A303="""",""ENTER STOCK"",LET(stock,A303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03" s="48">
        <f t="shared" si="6"/>
        <v>0</v>
      </c>
      <c r="M303" s="48">
        <f t="shared" si="7"/>
        <v>1</v>
      </c>
      <c r="N303" s="50">
        <f t="shared" si="8"/>
        <v>1</v>
      </c>
      <c r="P303" s="46" t="str">
        <f t="shared" si="9"/>
        <v>REVERSE TRADE</v>
      </c>
      <c r="Q303" s="52"/>
      <c r="R303" s="53">
        <f t="shared" si="10"/>
        <v>15</v>
      </c>
      <c r="S303" s="53">
        <f>IFERROR(__xludf.DUMMYFUNCTION("IFERROR(ROUND(GOOGLEFINANCE(A303,""volume"")/GOOGLEFINANCE(A303,""volumeavg""),2),"""")"),1.21)</f>
        <v>1.21</v>
      </c>
      <c r="T303" s="53" t="str">
        <f t="shared" si="11"/>
        <v>OK VOL</v>
      </c>
      <c r="U303" s="53">
        <f>IFERROR(__xludf.DUMMYFUNCTION("IFERROR(
  LET(
    sd, GOOGLEFINANCE(A303,""close"",TODAY()-100,TODAY()),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"""")"),1.1)</f>
        <v>1.1</v>
      </c>
      <c r="V303" s="53" t="str">
        <f t="shared" si="12"/>
        <v>MEDIUM</v>
      </c>
      <c r="W303" s="53">
        <f>IFERROR(__xludf.DUMMYFUNCTION("IFERROR(ROUND((B303/GOOGLEFINANCE(A303,""high52"")-1)*100,1),"""")"),-37.0)</f>
        <v>-37</v>
      </c>
      <c r="X303" s="53">
        <f>IFERROR(__xludf.DUMMYFUNCTION("IFERROR(ROUND((B303-GOOGLEFINANCE(A303,""low52""))/(GOOGLEFINANCE(A303,""high52"")-GOOGLEFINANCE(A303,""low52""))*100,1),"""")"),4.2)</f>
        <v>4.2</v>
      </c>
      <c r="Y303" s="53" t="str">
        <f t="shared" si="13"/>
        <v>MID</v>
      </c>
      <c r="Z303" s="53">
        <f>IFERROR(__xludf.DUMMYFUNCTION("IFERROR(ROUND(((B303 / INDEX(GOOGLEFINANCE(TRIM(A303), ""price"", TODAY()-34, TODAY()), 2, 2)) - (GOOGLEFINANCE(""NIFTY_50"") / INDEX(GOOGLEFINANCE(""NIFTY_50"", ""price"", TODAY()-34, TODAY()), 2, 2))) * 100, 2), ""Check History"")"),3.87)</f>
        <v>3.87</v>
      </c>
      <c r="AA303" s="53" t="str">
        <f t="shared" si="14"/>
        <v>MILD RS</v>
      </c>
      <c r="AB303" s="53">
        <f>IFERROR(__xludf.DUMMYFUNCTION("IFERROR(LET(
  p, QUERY(GOOGLEFINANCE(TRIM(A303),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Loading"")"),43.3)</f>
        <v>43.3</v>
      </c>
      <c r="AC303" s="53" t="str">
        <f t="shared" si="15"/>
        <v>WEAK MOM</v>
      </c>
      <c r="AD303" s="53" t="str">
        <f>IFERROR(__xludf.DUMMYFUNCTION("IFERROR(IF(GOOGLEFINANCE(A303,""eps"")&gt;0,""EPS+"",""EPS-""),"""")"),"EPS+")</f>
        <v>EPS+</v>
      </c>
      <c r="AE303" s="53">
        <f t="shared" si="16"/>
        <v>5</v>
      </c>
      <c r="AF303" s="53">
        <f>IFERROR(__xludf.DUMMYFUNCTION("IFERROR(N303+IF(S303&gt;=1.2,1,0)+IF(U303&gt;=1,1,0)+IF(Z303&gt;0,1,0)+IF(AND(W303&gt;=-20,W303&lt;=0),1,0)+IF(IFERROR(GOOGLEFINANCE(A303,""eps""),0)&gt;0,1,0),"""")"),5.0)</f>
        <v>5</v>
      </c>
      <c r="AG303" s="53" t="str">
        <f t="shared" si="17"/>
        <v>REVERSE TRADE</v>
      </c>
    </row>
    <row r="304" ht="15.75" customHeight="1">
      <c r="A304" s="55" t="s">
        <v>471</v>
      </c>
      <c r="B304" s="44">
        <f>IFERROR(__xludf.DUMMYFUNCTION("GOOGLEFINANCE(A304,""price"")"),698.95)</f>
        <v>698.95</v>
      </c>
      <c r="C304" s="45">
        <f>IFERROR(__xludf.DUMMYFUNCTION("AVERAGE(QUERY(SORT(GOOGLEFINANCE(A304,""price"",TODAY()-150,TODAY()),1,0),""select Col2 limit 50""))"),812.0440000000001)</f>
        <v>812.044</v>
      </c>
      <c r="D304" s="45">
        <f>IFERROR(__xludf.DUMMYFUNCTION("AVERAGE(QUERY(SORT(GOOGLEFINANCE(A304,""price"",TODAY()-300,TODAY()),1,0),""select Col2 limit 100""))"),849.9535)</f>
        <v>849.9535</v>
      </c>
      <c r="E304" s="45">
        <f>IFERROR(__xludf.DUMMYFUNCTION("AVERAGE(QUERY(SORT(GOOGLEFINANCE(A304,""price"",TODAY()-500,TODAY()),1,0),""select Col2 limit 200""))"),897.1692500000004)</f>
        <v>897.16925</v>
      </c>
      <c r="F304" s="46" t="str">
        <f t="shared" si="1"/>
        <v>In Bear Run</v>
      </c>
      <c r="G304" s="47">
        <f t="shared" si="2"/>
        <v>-22.09385241</v>
      </c>
      <c r="H304" s="48" t="str">
        <f t="shared" si="3"/>
        <v>Inverted ✗</v>
      </c>
      <c r="I304" s="48">
        <f t="shared" si="4"/>
        <v>0</v>
      </c>
      <c r="J304" s="48">
        <f t="shared" si="5"/>
        <v>0</v>
      </c>
      <c r="K304" s="49" t="str">
        <f>IFERROR(__xludf.DUMMYFUNCTION("IFERROR(IF(A304="""",""ENTER STOCK"",LET(stock,A304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04" s="48">
        <f t="shared" si="6"/>
        <v>0</v>
      </c>
      <c r="M304" s="48">
        <f t="shared" si="7"/>
        <v>1</v>
      </c>
      <c r="N304" s="50">
        <f t="shared" si="8"/>
        <v>1</v>
      </c>
      <c r="P304" s="46" t="str">
        <f t="shared" si="9"/>
        <v>REVERSE TRADE</v>
      </c>
      <c r="Q304" s="52"/>
      <c r="R304" s="53">
        <f t="shared" si="10"/>
        <v>15</v>
      </c>
      <c r="S304" s="53">
        <f>IFERROR(__xludf.DUMMYFUNCTION("IFERROR(ROUND(GOOGLEFINANCE(A304,""volume"")/GOOGLEFINANCE(A304,""volumeavg""),2),"""")"),1.81)</f>
        <v>1.81</v>
      </c>
      <c r="T304" s="53" t="str">
        <f t="shared" si="11"/>
        <v>HIGH VOL</v>
      </c>
      <c r="U304" s="53">
        <f>IFERROR(__xludf.DUMMYFUNCTION("IFERROR(
  LET(
    sd, GOOGLEFINANCE(A304,""close"",TODAY()-100,TODAY()),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"""")"),1.11)</f>
        <v>1.11</v>
      </c>
      <c r="V304" s="53" t="str">
        <f t="shared" si="12"/>
        <v>MEDIUM</v>
      </c>
      <c r="W304" s="53">
        <f>IFERROR(__xludf.DUMMYFUNCTION("IFERROR(ROUND((B304/GOOGLEFINANCE(A304,""high52"")-1)*100,1),"""")"),-35.4)</f>
        <v>-35.4</v>
      </c>
      <c r="X304" s="53">
        <f>IFERROR(__xludf.DUMMYFUNCTION("IFERROR(ROUND((B304-GOOGLEFINANCE(A304,""low52""))/(GOOGLEFINANCE(A304,""high52"")-GOOGLEFINANCE(A304,""low52""))*100,1),"""")"),1.9)</f>
        <v>1.9</v>
      </c>
      <c r="Y304" s="53" t="str">
        <f t="shared" si="13"/>
        <v>MID</v>
      </c>
      <c r="Z304" s="53">
        <f>IFERROR(__xludf.DUMMYFUNCTION("IFERROR(ROUND(((B304 / INDEX(GOOGLEFINANCE(TRIM(A304), ""price"", TODAY()-34, TODAY()), 2, 2)) - (GOOGLEFINANCE(""NIFTY_50"") / INDEX(GOOGLEFINANCE(""NIFTY_50"", ""price"", TODAY()-34, TODAY()), 2, 2))) * 100, 2), ""Check History"")"),-5.0)</f>
        <v>-5</v>
      </c>
      <c r="AA304" s="53" t="str">
        <f t="shared" si="14"/>
        <v>WEAK RS</v>
      </c>
      <c r="AB304" s="53">
        <f>IFERROR(__xludf.DUMMYFUNCTION("IFERROR(LET(
  p, QUERY(GOOGLEFINANCE(TRIM(A304),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Loading"")"),57.6)</f>
        <v>57.6</v>
      </c>
      <c r="AC304" s="53" t="str">
        <f t="shared" si="15"/>
        <v>IDEAL ENTRY</v>
      </c>
      <c r="AD304" s="53" t="str">
        <f>IFERROR(__xludf.DUMMYFUNCTION("IFERROR(IF(GOOGLEFINANCE(A304,""eps"")&gt;0,""EPS+"",""EPS-""),"""")"),"EPS+")</f>
        <v>EPS+</v>
      </c>
      <c r="AE304" s="53">
        <f t="shared" si="16"/>
        <v>5</v>
      </c>
      <c r="AF304" s="53">
        <f>IFERROR(__xludf.DUMMYFUNCTION("IFERROR(N304+IF(S304&gt;=1.2,1,0)+IF(U304&gt;=1,1,0)+IF(Z304&gt;0,1,0)+IF(AND(W304&gt;=-20,W304&lt;=0),1,0)+IF(IFERROR(GOOGLEFINANCE(A304,""eps""),0)&gt;0,1,0),"""")"),4.0)</f>
        <v>4</v>
      </c>
      <c r="AG304" s="53" t="str">
        <f t="shared" si="17"/>
        <v>REVERSE TRADE</v>
      </c>
    </row>
    <row r="305" ht="15.75" customHeight="1">
      <c r="A305" s="55" t="s">
        <v>472</v>
      </c>
      <c r="B305" s="44">
        <f>IFERROR(__xludf.DUMMYFUNCTION("GOOGLEFINANCE(A305,""price"")"),427.05)</f>
        <v>427.05</v>
      </c>
      <c r="C305" s="45">
        <f>IFERROR(__xludf.DUMMYFUNCTION("AVERAGE(QUERY(SORT(GOOGLEFINANCE(A305,""price"",TODAY()-150,TODAY()),1,0),""select Col2 limit 50""))"),438.1869999999999)</f>
        <v>438.187</v>
      </c>
      <c r="D305" s="45">
        <f>IFERROR(__xludf.DUMMYFUNCTION("AVERAGE(QUERY(SORT(GOOGLEFINANCE(A305,""price"",TODAY()-300,TODAY()),1,0),""select Col2 limit 100""))"),446.9304999999999)</f>
        <v>446.9305</v>
      </c>
      <c r="E305" s="45">
        <f>IFERROR(__xludf.DUMMYFUNCTION("AVERAGE(QUERY(SORT(GOOGLEFINANCE(A305,""price"",TODAY()-500,TODAY()),1,0),""select Col2 limit 200""))"),491.6247499999997)</f>
        <v>491.62475</v>
      </c>
      <c r="F305" s="46" t="str">
        <f t="shared" si="1"/>
        <v>In Bear Run</v>
      </c>
      <c r="G305" s="47">
        <f t="shared" si="2"/>
        <v>-13.13496727</v>
      </c>
      <c r="H305" s="48" t="str">
        <f t="shared" si="3"/>
        <v>Inverted ✗</v>
      </c>
      <c r="I305" s="48">
        <f t="shared" si="4"/>
        <v>0</v>
      </c>
      <c r="J305" s="48">
        <f t="shared" si="5"/>
        <v>0</v>
      </c>
      <c r="K305" s="49" t="str">
        <f>IFERROR(__xludf.DUMMYFUNCTION("IFERROR(IF(A305="""",""ENTER STOCK"",LET(stock,A305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05" s="48">
        <f t="shared" si="6"/>
        <v>0</v>
      </c>
      <c r="M305" s="48">
        <f t="shared" si="7"/>
        <v>1</v>
      </c>
      <c r="N305" s="50">
        <f t="shared" si="8"/>
        <v>1</v>
      </c>
      <c r="P305" s="46" t="str">
        <f t="shared" si="9"/>
        <v>REVERSE TRADE</v>
      </c>
      <c r="Q305" s="52"/>
      <c r="R305" s="53">
        <f t="shared" si="10"/>
        <v>15</v>
      </c>
      <c r="S305" s="53">
        <f>IFERROR(__xludf.DUMMYFUNCTION("IFERROR(ROUND(GOOGLEFINANCE(A305,""volume"")/GOOGLEFINANCE(A305,""volumeavg""),2),"""")"),1.91)</f>
        <v>1.91</v>
      </c>
      <c r="T305" s="53" t="str">
        <f t="shared" si="11"/>
        <v>HIGH VOL</v>
      </c>
      <c r="U305" s="53">
        <f>IFERROR(__xludf.DUMMYFUNCTION("IFERROR(
  LET(
    sd, GOOGLEFINANCE(A305,""close"",TODAY()-100,TODAY()),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"""")"),0.99)</f>
        <v>0.99</v>
      </c>
      <c r="V305" s="53" t="str">
        <f t="shared" si="12"/>
        <v>MEDIUM</v>
      </c>
      <c r="W305" s="53">
        <f>IFERROR(__xludf.DUMMYFUNCTION("IFERROR(ROUND((B305/GOOGLEFINANCE(A305,""high52"")-1)*100,1),"""")"),-42.5)</f>
        <v>-42.5</v>
      </c>
      <c r="X305" s="53">
        <f>IFERROR(__xludf.DUMMYFUNCTION("IFERROR(ROUND((B305-GOOGLEFINANCE(A305,""low52""))/(GOOGLEFINANCE(A305,""high52"")-GOOGLEFINANCE(A305,""low52""))*100,1),"""")"),8.0)</f>
        <v>8</v>
      </c>
      <c r="Y305" s="53" t="str">
        <f t="shared" si="13"/>
        <v>DEEP RECOVERY</v>
      </c>
      <c r="Z305" s="53">
        <f>IFERROR(__xludf.DUMMYFUNCTION("IFERROR(ROUND(((B305 / INDEX(GOOGLEFINANCE(TRIM(A305), ""price"", TODAY()-34, TODAY()), 2, 2)) - (GOOGLEFINANCE(""NIFTY_50"") / INDEX(GOOGLEFINANCE(""NIFTY_50"", ""price"", TODAY()-34, TODAY()), 2, 2))) * 100, 2), ""Check History"")"),5.41)</f>
        <v>5.41</v>
      </c>
      <c r="AA305" s="53" t="str">
        <f t="shared" si="14"/>
        <v>STRONG RS</v>
      </c>
      <c r="AB305" s="53">
        <f>IFERROR(__xludf.DUMMYFUNCTION("IFERROR(LET(
  p, QUERY(GOOGLEFINANCE(TRIM(A305),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Loading"")"),40.8)</f>
        <v>40.8</v>
      </c>
      <c r="AC305" s="53" t="str">
        <f t="shared" si="15"/>
        <v>WEAK MOM</v>
      </c>
      <c r="AD305" s="53" t="str">
        <f>IFERROR(__xludf.DUMMYFUNCTION("IFERROR(IF(GOOGLEFINANCE(A305,""eps"")&gt;0,""EPS+"",""EPS-""),"""")"),"EPS+")</f>
        <v>EPS+</v>
      </c>
      <c r="AE305" s="53">
        <f t="shared" si="16"/>
        <v>7</v>
      </c>
      <c r="AF305" s="53">
        <f>IFERROR(__xludf.DUMMYFUNCTION("IFERROR(N305+IF(S305&gt;=1.2,1,0)+IF(U305&gt;=1,1,0)+IF(Z305&gt;0,1,0)+IF(AND(W305&gt;=-20,W305&lt;=0),1,0)+IF(IFERROR(GOOGLEFINANCE(A305,""eps""),0)&gt;0,1,0),"""")"),4.0)</f>
        <v>4</v>
      </c>
      <c r="AG305" s="53" t="str">
        <f t="shared" si="17"/>
        <v>REVERSE TRADE</v>
      </c>
    </row>
    <row r="306" ht="15.75" customHeight="1">
      <c r="A306" s="55" t="s">
        <v>473</v>
      </c>
      <c r="B306" s="44">
        <f>IFERROR(__xludf.DUMMYFUNCTION("GOOGLEFINANCE(A306,""price"")"),971.0)</f>
        <v>971</v>
      </c>
      <c r="C306" s="45">
        <f>IFERROR(__xludf.DUMMYFUNCTION("AVERAGE(QUERY(SORT(GOOGLEFINANCE(A306,""price"",TODAY()-150,TODAY()),1,0),""select Col2 limit 50""))"),919.276)</f>
        <v>919.276</v>
      </c>
      <c r="D306" s="45">
        <f>IFERROR(__xludf.DUMMYFUNCTION("AVERAGE(QUERY(SORT(GOOGLEFINANCE(A306,""price"",TODAY()-300,TODAY()),1,0),""select Col2 limit 100""))"),921.0895000000002)</f>
        <v>921.0895</v>
      </c>
      <c r="E306" s="45">
        <f>IFERROR(__xludf.DUMMYFUNCTION("AVERAGE(QUERY(SORT(GOOGLEFINANCE(A306,""price"",TODAY()-500,TODAY()),1,0),""select Col2 limit 200""))"),820.1404999999999)</f>
        <v>820.1405</v>
      </c>
      <c r="F306" s="46" t="str">
        <f t="shared" si="1"/>
        <v>In Bull Run</v>
      </c>
      <c r="G306" s="47">
        <f t="shared" si="2"/>
        <v>18.39434829</v>
      </c>
      <c r="H306" s="48" t="str">
        <f t="shared" si="3"/>
        <v>Inverted ✗</v>
      </c>
      <c r="I306" s="48">
        <f t="shared" si="4"/>
        <v>0</v>
      </c>
      <c r="J306" s="48">
        <f t="shared" si="5"/>
        <v>0</v>
      </c>
      <c r="K306" s="49" t="str">
        <f>IFERROR(__xludf.DUMMYFUNCTION("IFERROR(IF(A306="""",""ENTER STOCK"",LET(stock,A306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FOUND"")"),"Buy/Average Out")</f>
        <v>Buy/Average Out</v>
      </c>
      <c r="L306" s="48">
        <f t="shared" si="6"/>
        <v>2</v>
      </c>
      <c r="M306" s="48">
        <f t="shared" si="7"/>
        <v>1</v>
      </c>
      <c r="N306" s="50">
        <f t="shared" si="8"/>
        <v>3</v>
      </c>
      <c r="P306" s="46" t="str">
        <f t="shared" si="9"/>
        <v>SKIP</v>
      </c>
      <c r="Q306" s="52"/>
      <c r="R306" s="53">
        <f t="shared" si="10"/>
        <v>15</v>
      </c>
      <c r="S306" s="53">
        <f>IFERROR(__xludf.DUMMYFUNCTION("IFERROR(ROUND(GOOGLEFINANCE(A306,""volume"")/GOOGLEFINANCE(A306,""volumeavg""),2),"""")"),1.47)</f>
        <v>1.47</v>
      </c>
      <c r="T306" s="53" t="str">
        <f t="shared" si="11"/>
        <v>OK VOL</v>
      </c>
      <c r="U306" s="53">
        <f>IFERROR(__xludf.DUMMYFUNCTION("IFERROR(
  LET(
    sd, GOOGLEFINANCE(A306,""close"",TODAY()-100,TODAY()),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"""")"),0.66)</f>
        <v>0.66</v>
      </c>
      <c r="V306" s="53" t="str">
        <f t="shared" si="12"/>
        <v>SLOW</v>
      </c>
      <c r="W306" s="53">
        <f>IFERROR(__xludf.DUMMYFUNCTION("IFERROR(ROUND((B306/GOOGLEFINANCE(A306,""high52"")-1)*100,1),"""")"),-12.0)</f>
        <v>-12</v>
      </c>
      <c r="X306" s="53">
        <f>IFERROR(__xludf.DUMMYFUNCTION("IFERROR(ROUND((B306-GOOGLEFINANCE(A306,""low52""))/(GOOGLEFINANCE(A306,""high52"")-GOOGLEFINANCE(A306,""low52""))*100,1),"""")"),77.1)</f>
        <v>77.1</v>
      </c>
      <c r="Y306" s="53" t="str">
        <f t="shared" si="13"/>
        <v>UPPER</v>
      </c>
      <c r="Z306" s="53">
        <f>IFERROR(__xludf.DUMMYFUNCTION("IFERROR(ROUND(((B306 / INDEX(GOOGLEFINANCE(TRIM(A306), ""price"", TODAY()-34, TODAY()), 2, 2)) - (GOOGLEFINANCE(""NIFTY_50"") / INDEX(GOOGLEFINANCE(""NIFTY_50"", ""price"", TODAY()-34, TODAY()), 2, 2))) * 100, 2), ""Check History"")"),18.1)</f>
        <v>18.1</v>
      </c>
      <c r="AA306" s="53" t="str">
        <f t="shared" si="14"/>
        <v>STRONG RS</v>
      </c>
      <c r="AB306" s="53">
        <f>IFERROR(__xludf.DUMMYFUNCTION("IFERROR(LET(
  p, QUERY(GOOGLEFINANCE(TRIM(A306),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Loading"")"),53.3)</f>
        <v>53.3</v>
      </c>
      <c r="AC306" s="53" t="str">
        <f t="shared" si="15"/>
        <v>IDEAL ENTRY</v>
      </c>
      <c r="AD306" s="53" t="str">
        <f>IFERROR(__xludf.DUMMYFUNCTION("IFERROR(IF(GOOGLEFINANCE(A306,""eps"")&gt;0,""EPS+"",""EPS-""),"""")"),"EPS+")</f>
        <v>EPS+</v>
      </c>
      <c r="AE306" s="53">
        <f t="shared" si="16"/>
        <v>7</v>
      </c>
      <c r="AF306" s="53">
        <f>IFERROR(__xludf.DUMMYFUNCTION("IFERROR(N306+IF(S306&gt;=1.2,1,0)+IF(U306&gt;=1,1,0)+IF(Z306&gt;0,1,0)+IF(AND(W306&gt;=-20,W306&lt;=0),1,0)+IF(IFERROR(GOOGLEFINANCE(A306,""eps""),0)&gt;0,1,0),"""")"),7.0)</f>
        <v>7</v>
      </c>
      <c r="AG306" s="53" t="str">
        <f t="shared" si="17"/>
        <v>WATCH</v>
      </c>
    </row>
    <row r="307" ht="15.75" customHeight="1">
      <c r="A307" s="55" t="s">
        <v>474</v>
      </c>
      <c r="B307" s="44">
        <f>IFERROR(__xludf.DUMMYFUNCTION("GOOGLEFINANCE(A307,""price"")"),1368.0)</f>
        <v>1368</v>
      </c>
      <c r="C307" s="45">
        <f>IFERROR(__xludf.DUMMYFUNCTION("AVERAGE(QUERY(SORT(GOOGLEFINANCE(A307,""price"",TODAY()-150,TODAY()),1,0),""select Col2 limit 50""))"),1620.7400000000002)</f>
        <v>1620.74</v>
      </c>
      <c r="D307" s="45">
        <f>IFERROR(__xludf.DUMMYFUNCTION("AVERAGE(QUERY(SORT(GOOGLEFINANCE(A307,""price"",TODAY()-300,TODAY()),1,0),""select Col2 limit 100""))"),1753.3010000000004)</f>
        <v>1753.301</v>
      </c>
      <c r="E307" s="45">
        <f>IFERROR(__xludf.DUMMYFUNCTION("AVERAGE(QUERY(SORT(GOOGLEFINANCE(A307,""price"",TODAY()-500,TODAY()),1,0),""select Col2 limit 200""))"),1842.1350000000007)</f>
        <v>1842.135</v>
      </c>
      <c r="F307" s="46" t="str">
        <f t="shared" si="1"/>
        <v>In Bear Run</v>
      </c>
      <c r="G307" s="47">
        <f t="shared" si="2"/>
        <v>-25.73834165</v>
      </c>
      <c r="H307" s="48" t="str">
        <f t="shared" si="3"/>
        <v>Inverted ✗</v>
      </c>
      <c r="I307" s="48">
        <f t="shared" si="4"/>
        <v>0</v>
      </c>
      <c r="J307" s="48">
        <f t="shared" si="5"/>
        <v>0</v>
      </c>
      <c r="K307" s="49" t="str">
        <f>IFERROR(__xludf.DUMMYFUNCTION("IFERROR(IF(A307="""",""ENTER STOCK"",LET(stock,A307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07" s="48">
        <f t="shared" si="6"/>
        <v>0</v>
      </c>
      <c r="M307" s="48">
        <f t="shared" si="7"/>
        <v>1</v>
      </c>
      <c r="N307" s="50">
        <f t="shared" si="8"/>
        <v>1</v>
      </c>
      <c r="P307" s="46" t="str">
        <f t="shared" si="9"/>
        <v>REVERSE TRADE</v>
      </c>
      <c r="Q307" s="52"/>
      <c r="R307" s="53">
        <f t="shared" si="10"/>
        <v>15</v>
      </c>
      <c r="S307" s="53">
        <f>IFERROR(__xludf.DUMMYFUNCTION("IFERROR(ROUND(GOOGLEFINANCE(A307,""volume"")/GOOGLEFINANCE(A307,""volumeavg""),2),"""")"),1.09)</f>
        <v>1.09</v>
      </c>
      <c r="T307" s="53" t="str">
        <f t="shared" si="11"/>
        <v>LOW VOL</v>
      </c>
      <c r="U307" s="53">
        <f>IFERROR(__xludf.DUMMYFUNCTION("IFERROR(
  LET(
    sd, GOOGLEFINANCE(A307,""close"",TODAY()-100,TODAY()),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"""")"),1.01)</f>
        <v>1.01</v>
      </c>
      <c r="V307" s="53" t="str">
        <f t="shared" si="12"/>
        <v>MEDIUM</v>
      </c>
      <c r="W307" s="53">
        <f>IFERROR(__xludf.DUMMYFUNCTION("IFERROR(ROUND((B307/GOOGLEFINANCE(A307,""high52"")-1)*100,1),"""")"),-38.7)</f>
        <v>-38.7</v>
      </c>
      <c r="X307" s="53">
        <f>IFERROR(__xludf.DUMMYFUNCTION("IFERROR(ROUND((B307-GOOGLEFINANCE(A307,""low52""))/(GOOGLEFINANCE(A307,""high52"")-GOOGLEFINANCE(A307,""low52""))*100,1),"""")"),6.8)</f>
        <v>6.8</v>
      </c>
      <c r="Y307" s="53" t="str">
        <f t="shared" si="13"/>
        <v>MID</v>
      </c>
      <c r="Z307" s="53">
        <f>IFERROR(__xludf.DUMMYFUNCTION("IFERROR(ROUND(((B307 / INDEX(GOOGLEFINANCE(TRIM(A307), ""price"", TODAY()-34, TODAY()), 2, 2)) - (GOOGLEFINANCE(""NIFTY_50"") / INDEX(GOOGLEFINANCE(""NIFTY_50"", ""price"", TODAY()-34, TODAY()), 2, 2))) * 100, 2), ""Check History"")"),-5.54)</f>
        <v>-5.54</v>
      </c>
      <c r="AA307" s="53" t="str">
        <f t="shared" si="14"/>
        <v>WEAK RS</v>
      </c>
      <c r="AB307" s="53">
        <f>IFERROR(__xludf.DUMMYFUNCTION("IFERROR(LET(
  p, QUERY(GOOGLEFINANCE(TRIM(A307),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Loading"")"),48.1)</f>
        <v>48.1</v>
      </c>
      <c r="AC307" s="53" t="str">
        <f t="shared" si="15"/>
        <v>IDEAL ENTRY</v>
      </c>
      <c r="AD307" s="53" t="str">
        <f>IFERROR(__xludf.DUMMYFUNCTION("IFERROR(IF(GOOGLEFINANCE(A307,""eps"")&gt;0,""EPS+"",""EPS-""),"""")"),"EPS+")</f>
        <v>EPS+</v>
      </c>
      <c r="AE307" s="53">
        <f t="shared" si="16"/>
        <v>3</v>
      </c>
      <c r="AF307" s="53">
        <f>IFERROR(__xludf.DUMMYFUNCTION("IFERROR(N307+IF(S307&gt;=1.2,1,0)+IF(U307&gt;=1,1,0)+IF(Z307&gt;0,1,0)+IF(AND(W307&gt;=-20,W307&lt;=0),1,0)+IF(IFERROR(GOOGLEFINANCE(A307,""eps""),0)&gt;0,1,0),"""")"),3.0)</f>
        <v>3</v>
      </c>
      <c r="AG307" s="53" t="str">
        <f t="shared" si="17"/>
        <v>REVERSE TRADE</v>
      </c>
    </row>
    <row r="308" ht="15.75" customHeight="1">
      <c r="A308" s="55" t="s">
        <v>475</v>
      </c>
      <c r="B308" s="44">
        <f>IFERROR(__xludf.DUMMYFUNCTION("GOOGLEFINANCE(A308,""price"")"),239.4)</f>
        <v>239.4</v>
      </c>
      <c r="C308" s="45">
        <f>IFERROR(__xludf.DUMMYFUNCTION("AVERAGE(QUERY(SORT(GOOGLEFINANCE(A308,""price"",TODAY()-150,TODAY()),1,0),""select Col2 limit 50""))"),271.4270000000001)</f>
        <v>271.427</v>
      </c>
      <c r="D308" s="45">
        <f>IFERROR(__xludf.DUMMYFUNCTION("AVERAGE(QUERY(SORT(GOOGLEFINANCE(A308,""price"",TODAY()-300,TODAY()),1,0),""select Col2 limit 100""))"),272.79600000000005)</f>
        <v>272.796</v>
      </c>
      <c r="E308" s="45">
        <f>IFERROR(__xludf.DUMMYFUNCTION("AVERAGE(QUERY(SORT(GOOGLEFINANCE(A308,""price"",TODAY()-500,TODAY()),1,0),""select Col2 limit 200""))"),241.77065000000002)</f>
        <v>241.77065</v>
      </c>
      <c r="F308" s="46" t="str">
        <f t="shared" si="1"/>
        <v>In Bear Run</v>
      </c>
      <c r="G308" s="47">
        <f t="shared" si="2"/>
        <v>-0.9805367194</v>
      </c>
      <c r="H308" s="48" t="str">
        <f t="shared" si="3"/>
        <v>Inverted ✗</v>
      </c>
      <c r="I308" s="48">
        <f t="shared" si="4"/>
        <v>0</v>
      </c>
      <c r="J308" s="48">
        <f t="shared" si="5"/>
        <v>0</v>
      </c>
      <c r="K308" s="49" t="str">
        <f>IFERROR(__xludf.DUMMYFUNCTION("IFERROR(IF(A308="""",""ENTER STOCK"",LET(stock,A308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08" s="48">
        <f t="shared" si="6"/>
        <v>0</v>
      </c>
      <c r="M308" s="48">
        <f t="shared" si="7"/>
        <v>1</v>
      </c>
      <c r="N308" s="50">
        <f t="shared" si="8"/>
        <v>1</v>
      </c>
      <c r="P308" s="46" t="str">
        <f t="shared" si="9"/>
        <v>REVERSE TRADE</v>
      </c>
      <c r="Q308" s="52"/>
      <c r="R308" s="53">
        <f t="shared" si="10"/>
        <v>15</v>
      </c>
      <c r="S308" s="53">
        <f>IFERROR(__xludf.DUMMYFUNCTION("IFERROR(ROUND(GOOGLEFINANCE(A308,""volume"")/GOOGLEFINANCE(A308,""volumeavg""),2),"""")"),1.42)</f>
        <v>1.42</v>
      </c>
      <c r="T308" s="53" t="str">
        <f t="shared" si="11"/>
        <v>OK VOL</v>
      </c>
      <c r="U308" s="53">
        <f>IFERROR(__xludf.DUMMYFUNCTION("IFERROR(
  LET(
    sd, GOOGLEFINANCE(A308,""close"",TODAY()-100,TODAY()),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"""")"),1.51)</f>
        <v>1.51</v>
      </c>
      <c r="V308" s="53" t="str">
        <f t="shared" si="12"/>
        <v>FAST</v>
      </c>
      <c r="W308" s="53">
        <f>IFERROR(__xludf.DUMMYFUNCTION("IFERROR(ROUND((B308/GOOGLEFINANCE(A308,""high52"")-1)*100,1),"""")"),-26.1)</f>
        <v>-26.1</v>
      </c>
      <c r="X308" s="53">
        <f>IFERROR(__xludf.DUMMYFUNCTION("IFERROR(ROUND((B308-GOOGLEFINANCE(A308,""low52""))/(GOOGLEFINANCE(A308,""high52"")-GOOGLEFINANCE(A308,""low52""))*100,1),"""")"),51.5)</f>
        <v>51.5</v>
      </c>
      <c r="Y308" s="53" t="str">
        <f t="shared" si="13"/>
        <v>MID</v>
      </c>
      <c r="Z308" s="53">
        <f>IFERROR(__xludf.DUMMYFUNCTION("IFERROR(ROUND(((B308 / INDEX(GOOGLEFINANCE(TRIM(A308), ""price"", TODAY()-34, TODAY()), 2, 2)) - (GOOGLEFINANCE(""NIFTY_50"") / INDEX(GOOGLEFINANCE(""NIFTY_50"", ""price"", TODAY()-34, TODAY()), 2, 2))) * 100, 2), ""Check History"")"),-4.95)</f>
        <v>-4.95</v>
      </c>
      <c r="AA308" s="53" t="str">
        <f t="shared" si="14"/>
        <v>WEAK RS</v>
      </c>
      <c r="AB308" s="53">
        <f>IFERROR(__xludf.DUMMYFUNCTION("IFERROR(LET(
  p, QUERY(GOOGLEFINANCE(TRIM(A308),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Loading"")"),53.8)</f>
        <v>53.8</v>
      </c>
      <c r="AC308" s="53" t="str">
        <f t="shared" si="15"/>
        <v>IDEAL ENTRY</v>
      </c>
      <c r="AD308" s="53" t="str">
        <f>IFERROR(__xludf.DUMMYFUNCTION("IFERROR(IF(GOOGLEFINANCE(A308,""eps"")&gt;0,""EPS+"",""EPS-""),"""")"),"EPS+")</f>
        <v>EPS+</v>
      </c>
      <c r="AE308" s="53">
        <f t="shared" si="16"/>
        <v>6</v>
      </c>
      <c r="AF308" s="53">
        <f>IFERROR(__xludf.DUMMYFUNCTION("IFERROR(N308+IF(S308&gt;=1.2,1,0)+IF(U308&gt;=1,1,0)+IF(Z308&gt;0,1,0)+IF(AND(W308&gt;=-20,W308&lt;=0),1,0)+IF(IFERROR(GOOGLEFINANCE(A308,""eps""),0)&gt;0,1,0),"""")"),4.0)</f>
        <v>4</v>
      </c>
      <c r="AG308" s="53" t="str">
        <f t="shared" si="17"/>
        <v>REVERSE TRADE</v>
      </c>
    </row>
    <row r="309" ht="15.75" customHeight="1">
      <c r="A309" s="55" t="s">
        <v>476</v>
      </c>
      <c r="B309" s="44">
        <f>IFERROR(__xludf.DUMMYFUNCTION("GOOGLEFINANCE(A309,""price"")"),302.85)</f>
        <v>302.85</v>
      </c>
      <c r="C309" s="45">
        <f>IFERROR(__xludf.DUMMYFUNCTION("AVERAGE(QUERY(SORT(GOOGLEFINANCE(A309,""price"",TODAY()-150,TODAY()),1,0),""select Col2 limit 50""))"),332.784)</f>
        <v>332.784</v>
      </c>
      <c r="D309" s="45">
        <f>IFERROR(__xludf.DUMMYFUNCTION("AVERAGE(QUERY(SORT(GOOGLEFINANCE(A309,""price"",TODAY()-300,TODAY()),1,0),""select Col2 limit 100""))"),449.1415)</f>
        <v>449.1415</v>
      </c>
      <c r="E309" s="45">
        <f>IFERROR(__xludf.DUMMYFUNCTION("AVERAGE(QUERY(SORT(GOOGLEFINANCE(A309,""price"",TODAY()-500,TODAY()),1,0),""select Col2 limit 200""))"),697.4962499999997)</f>
        <v>697.49625</v>
      </c>
      <c r="F309" s="46" t="str">
        <f t="shared" si="1"/>
        <v>In Bear Run</v>
      </c>
      <c r="G309" s="47">
        <f t="shared" si="2"/>
        <v>-56.58041172</v>
      </c>
      <c r="H309" s="48" t="str">
        <f t="shared" si="3"/>
        <v>Inverted ✗</v>
      </c>
      <c r="I309" s="48">
        <f t="shared" si="4"/>
        <v>0</v>
      </c>
      <c r="J309" s="48">
        <f t="shared" si="5"/>
        <v>0</v>
      </c>
      <c r="K309" s="49" t="str">
        <f>IFERROR(__xludf.DUMMYFUNCTION("IFERROR(IF(A309="""",""ENTER STOCK"",LET(stock,A309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09" s="48">
        <f t="shared" si="6"/>
        <v>0</v>
      </c>
      <c r="M309" s="48">
        <f t="shared" si="7"/>
        <v>1</v>
      </c>
      <c r="N309" s="50">
        <f t="shared" si="8"/>
        <v>1</v>
      </c>
      <c r="P309" s="46" t="str">
        <f t="shared" si="9"/>
        <v>REVERSE TRADE</v>
      </c>
      <c r="Q309" s="52"/>
      <c r="R309" s="53">
        <f t="shared" si="10"/>
        <v>15</v>
      </c>
      <c r="S309" s="53">
        <f>IFERROR(__xludf.DUMMYFUNCTION("IFERROR(ROUND(GOOGLEFINANCE(A309,""volume"")/GOOGLEFINANCE(A309,""volumeavg""),2),"""")"),0.54)</f>
        <v>0.54</v>
      </c>
      <c r="T309" s="53" t="str">
        <f t="shared" si="11"/>
        <v>LOW VOL</v>
      </c>
      <c r="U309" s="53">
        <f>IFERROR(__xludf.DUMMYFUNCTION("IFERROR(
  LET(
    sd, GOOGLEFINANCE(A309,""close"",TODAY()-100,TODAY()),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"""")"),0.75)</f>
        <v>0.75</v>
      </c>
      <c r="V309" s="53" t="str">
        <f t="shared" si="12"/>
        <v>SLOW</v>
      </c>
      <c r="W309" s="53">
        <f>IFERROR(__xludf.DUMMYFUNCTION("IFERROR(ROUND((B309/GOOGLEFINANCE(A309,""high52"")-1)*100,1),"""")"),-73.0)</f>
        <v>-73</v>
      </c>
      <c r="X309" s="53">
        <f>IFERROR(__xludf.DUMMYFUNCTION("IFERROR(ROUND((B309-GOOGLEFINANCE(A309,""low52""))/(GOOGLEFINANCE(A309,""high52"")-GOOGLEFINANCE(A309,""low52""))*100,1),"""")"),4.2)</f>
        <v>4.2</v>
      </c>
      <c r="Y309" s="53" t="str">
        <f t="shared" si="13"/>
        <v>DEEP RECOVERY</v>
      </c>
      <c r="Z309" s="53">
        <f>IFERROR(__xludf.DUMMYFUNCTION("IFERROR(ROUND(((B309 / INDEX(GOOGLEFINANCE(TRIM(A309), ""price"", TODAY()-34, TODAY()), 2, 2)) - (GOOGLEFINANCE(""NIFTY_50"") / INDEX(GOOGLEFINANCE(""NIFTY_50"", ""price"", TODAY()-34, TODAY()), 2, 2))) * 100, 2), ""Check History"")"),10.0)</f>
        <v>10</v>
      </c>
      <c r="AA309" s="53" t="str">
        <f t="shared" si="14"/>
        <v>STRONG RS</v>
      </c>
      <c r="AB309" s="53">
        <f>IFERROR(__xludf.DUMMYFUNCTION("IFERROR(LET(
  p, QUERY(GOOGLEFINANCE(TRIM(A309),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Loading"")"),67.3)</f>
        <v>67.3</v>
      </c>
      <c r="AC309" s="53" t="str">
        <f t="shared" si="15"/>
        <v>IDEAL ENTRY</v>
      </c>
      <c r="AD309" s="53" t="str">
        <f>IFERROR(__xludf.DUMMYFUNCTION("IFERROR(IF(GOOGLEFINANCE(A309,""eps"")&gt;0,""EPS+"",""EPS-""),"""")"),"EPS+")</f>
        <v>EPS+</v>
      </c>
      <c r="AE309" s="53">
        <f t="shared" si="16"/>
        <v>3</v>
      </c>
      <c r="AF309" s="53">
        <f>IFERROR(__xludf.DUMMYFUNCTION("IFERROR(N309+IF(S309&gt;=1.2,1,0)+IF(U309&gt;=1,1,0)+IF(Z309&gt;0,1,0)+IF(AND(W309&gt;=-20,W309&lt;=0),1,0)+IF(IFERROR(GOOGLEFINANCE(A309,""eps""),0)&gt;0,1,0),"""")"),3.0)</f>
        <v>3</v>
      </c>
      <c r="AG309" s="53" t="str">
        <f t="shared" si="17"/>
        <v>REVERSE TRADE</v>
      </c>
    </row>
    <row r="310" ht="15.75" customHeight="1">
      <c r="A310" s="55" t="s">
        <v>477</v>
      </c>
      <c r="B310" s="44">
        <f>IFERROR(__xludf.DUMMYFUNCTION("GOOGLEFINANCE(A310,""price"")"),626.15)</f>
        <v>626.15</v>
      </c>
      <c r="C310" s="45">
        <f>IFERROR(__xludf.DUMMYFUNCTION("AVERAGE(QUERY(SORT(GOOGLEFINANCE(A310,""price"",TODAY()-150,TODAY()),1,0),""select Col2 limit 50""))"),690.2500000000001)</f>
        <v>690.25</v>
      </c>
      <c r="D310" s="45">
        <f>IFERROR(__xludf.DUMMYFUNCTION("AVERAGE(QUERY(SORT(GOOGLEFINANCE(A310,""price"",TODAY()-300,TODAY()),1,0),""select Col2 limit 100""))"),726.0245000000001)</f>
        <v>726.0245</v>
      </c>
      <c r="E310" s="45">
        <f>IFERROR(__xludf.DUMMYFUNCTION("AVERAGE(QUERY(SORT(GOOGLEFINANCE(A310,""price"",TODAY()-500,TODAY()),1,0),""select Col2 limit 200""))"),759.2770499999999)</f>
        <v>759.27705</v>
      </c>
      <c r="F310" s="46" t="str">
        <f t="shared" si="1"/>
        <v>In Bear Run</v>
      </c>
      <c r="G310" s="47">
        <f t="shared" si="2"/>
        <v>-17.53339575</v>
      </c>
      <c r="H310" s="48" t="str">
        <f t="shared" si="3"/>
        <v>Inverted ✗</v>
      </c>
      <c r="I310" s="48">
        <f t="shared" si="4"/>
        <v>0</v>
      </c>
      <c r="J310" s="48">
        <f t="shared" si="5"/>
        <v>0</v>
      </c>
      <c r="K310" s="49" t="str">
        <f>IFERROR(__xludf.DUMMYFUNCTION("IFERROR(IF(A310="""",""ENTER STOCK"",LET(stock,A310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10" s="48">
        <f t="shared" si="6"/>
        <v>0</v>
      </c>
      <c r="M310" s="48">
        <f t="shared" si="7"/>
        <v>1</v>
      </c>
      <c r="N310" s="50">
        <f t="shared" si="8"/>
        <v>1</v>
      </c>
      <c r="P310" s="46" t="str">
        <f t="shared" si="9"/>
        <v>REVERSE TRADE</v>
      </c>
      <c r="Q310" s="52"/>
      <c r="R310" s="53">
        <f t="shared" si="10"/>
        <v>15</v>
      </c>
      <c r="S310" s="53">
        <f>IFERROR(__xludf.DUMMYFUNCTION("IFERROR(ROUND(GOOGLEFINANCE(A310,""volume"")/GOOGLEFINANCE(A310,""volumeavg""),2),"""")"),1.86)</f>
        <v>1.86</v>
      </c>
      <c r="T310" s="53" t="str">
        <f t="shared" si="11"/>
        <v>HIGH VOL</v>
      </c>
      <c r="U310" s="53">
        <f>IFERROR(__xludf.DUMMYFUNCTION("IFERROR(
  LET(
    sd, GOOGLEFINANCE(A310,""close"",TODAY()-100,TODAY()),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"""")"),1.29)</f>
        <v>1.29</v>
      </c>
      <c r="V310" s="53" t="str">
        <f t="shared" si="12"/>
        <v>FAST</v>
      </c>
      <c r="W310" s="53">
        <f>IFERROR(__xludf.DUMMYFUNCTION("IFERROR(ROUND((B310/GOOGLEFINANCE(A310,""high52"")-1)*100,1),"""")"),-28.4)</f>
        <v>-28.4</v>
      </c>
      <c r="X310" s="53">
        <f>IFERROR(__xludf.DUMMYFUNCTION("IFERROR(ROUND((B310-GOOGLEFINANCE(A310,""low52""))/(GOOGLEFINANCE(A310,""high52"")-GOOGLEFINANCE(A310,""low52""))*100,1),"""")"),5.6)</f>
        <v>5.6</v>
      </c>
      <c r="Y310" s="53" t="str">
        <f t="shared" si="13"/>
        <v>MID</v>
      </c>
      <c r="Z310" s="53">
        <f>IFERROR(__xludf.DUMMYFUNCTION("IFERROR(ROUND(((B310 / INDEX(GOOGLEFINANCE(TRIM(A310), ""price"", TODAY()-34, TODAY()), 2, 2)) - (GOOGLEFINANCE(""NIFTY_50"") / INDEX(GOOGLEFINANCE(""NIFTY_50"", ""price"", TODAY()-34, TODAY()), 2, 2))) * 100, 2), ""Check History"")"),0.46)</f>
        <v>0.46</v>
      </c>
      <c r="AA310" s="53" t="str">
        <f t="shared" si="14"/>
        <v>MILD RS</v>
      </c>
      <c r="AB310" s="53">
        <f>IFERROR(__xludf.DUMMYFUNCTION("IFERROR(LET(
  p, QUERY(GOOGLEFINANCE(TRIM(A310),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Loading"")"),50.4)</f>
        <v>50.4</v>
      </c>
      <c r="AC310" s="53" t="str">
        <f t="shared" si="15"/>
        <v>IDEAL ENTRY</v>
      </c>
      <c r="AD310" s="53" t="str">
        <f>IFERROR(__xludf.DUMMYFUNCTION("IFERROR(IF(GOOGLEFINANCE(A310,""eps"")&gt;0,""EPS+"",""EPS-""),"""")"),"EPS+")</f>
        <v>EPS+</v>
      </c>
      <c r="AE310" s="53">
        <f t="shared" si="16"/>
        <v>7</v>
      </c>
      <c r="AF310" s="53">
        <f>IFERROR(__xludf.DUMMYFUNCTION("IFERROR(N310+IF(S310&gt;=1.2,1,0)+IF(U310&gt;=1,1,0)+IF(Z310&gt;0,1,0)+IF(AND(W310&gt;=-20,W310&lt;=0),1,0)+IF(IFERROR(GOOGLEFINANCE(A310,""eps""),0)&gt;0,1,0),"""")"),5.0)</f>
        <v>5</v>
      </c>
      <c r="AG310" s="53" t="str">
        <f t="shared" si="17"/>
        <v>REVERSE TRADE</v>
      </c>
    </row>
    <row r="311" ht="15.75" customHeight="1">
      <c r="A311" s="55" t="s">
        <v>478</v>
      </c>
      <c r="B311" s="44">
        <f>IFERROR(__xludf.DUMMYFUNCTION("GOOGLEFINANCE(A311,""price"")"),1025.0)</f>
        <v>1025</v>
      </c>
      <c r="C311" s="45">
        <f>IFERROR(__xludf.DUMMYFUNCTION("AVERAGE(QUERY(SORT(GOOGLEFINANCE(A311,""price"",TODAY()-150,TODAY()),1,0),""select Col2 limit 50""))"),1179.848)</f>
        <v>1179.848</v>
      </c>
      <c r="D311" s="45">
        <f>IFERROR(__xludf.DUMMYFUNCTION("AVERAGE(QUERY(SORT(GOOGLEFINANCE(A311,""price"",TODAY()-300,TODAY()),1,0),""select Col2 limit 100""))"),1286.1469999999995)</f>
        <v>1286.147</v>
      </c>
      <c r="E311" s="45">
        <f>IFERROR(__xludf.DUMMYFUNCTION("AVERAGE(QUERY(SORT(GOOGLEFINANCE(A311,""price"",TODAY()-500,TODAY()),1,0),""select Col2 limit 200""))"),1500.9985000000006)</f>
        <v>1500.9985</v>
      </c>
      <c r="F311" s="46" t="str">
        <f t="shared" si="1"/>
        <v>In Bear Run</v>
      </c>
      <c r="G311" s="47">
        <f t="shared" si="2"/>
        <v>-31.71212363</v>
      </c>
      <c r="H311" s="48" t="str">
        <f t="shared" si="3"/>
        <v>Inverted ✗</v>
      </c>
      <c r="I311" s="48">
        <f t="shared" si="4"/>
        <v>0</v>
      </c>
      <c r="J311" s="48">
        <f t="shared" si="5"/>
        <v>0</v>
      </c>
      <c r="K311" s="49" t="str">
        <f>IFERROR(__xludf.DUMMYFUNCTION("IFERROR(IF(A311="""",""ENTER STOCK"",LET(stock,A311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11" s="48">
        <f t="shared" si="6"/>
        <v>0</v>
      </c>
      <c r="M311" s="48">
        <f t="shared" si="7"/>
        <v>1</v>
      </c>
      <c r="N311" s="50">
        <f t="shared" si="8"/>
        <v>1</v>
      </c>
      <c r="P311" s="46" t="str">
        <f t="shared" si="9"/>
        <v>REVERSE TRADE</v>
      </c>
      <c r="Q311" s="52"/>
      <c r="R311" s="53">
        <f t="shared" si="10"/>
        <v>15</v>
      </c>
      <c r="S311" s="53">
        <f>IFERROR(__xludf.DUMMYFUNCTION("IFERROR(ROUND(GOOGLEFINANCE(A311,""volume"")/GOOGLEFINANCE(A311,""volumeavg""),2),"""")"),0.46)</f>
        <v>0.46</v>
      </c>
      <c r="T311" s="53" t="str">
        <f t="shared" si="11"/>
        <v>LOW VOL</v>
      </c>
      <c r="U311" s="53">
        <f>IFERROR(__xludf.DUMMYFUNCTION("IFERROR(
  LET(
    sd, GOOGLEFINANCE(A311,""close"",TODAY()-100,TODAY()),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"""")"),0.98)</f>
        <v>0.98</v>
      </c>
      <c r="V311" s="53" t="str">
        <f t="shared" si="12"/>
        <v>MEDIUM</v>
      </c>
      <c r="W311" s="53">
        <f>IFERROR(__xludf.DUMMYFUNCTION("IFERROR(ROUND((B311/GOOGLEFINANCE(A311,""high52"")-1)*100,1),"""")"),-52.3)</f>
        <v>-52.3</v>
      </c>
      <c r="X311" s="53">
        <f>IFERROR(__xludf.DUMMYFUNCTION("IFERROR(ROUND((B311-GOOGLEFINANCE(A311,""low52""))/(GOOGLEFINANCE(A311,""high52"")-GOOGLEFINANCE(A311,""low52""))*100,1),"""")"),3.0)</f>
        <v>3</v>
      </c>
      <c r="Y311" s="53" t="str">
        <f t="shared" si="13"/>
        <v>DEEP RECOVERY</v>
      </c>
      <c r="Z311" s="53">
        <f>IFERROR(__xludf.DUMMYFUNCTION("IFERROR(ROUND(((B311 / INDEX(GOOGLEFINANCE(TRIM(A311), ""price"", TODAY()-34, TODAY()), 2, 2)) - (GOOGLEFINANCE(""NIFTY_50"") / INDEX(GOOGLEFINANCE(""NIFTY_50"", ""price"", TODAY()-34, TODAY()), 2, 2))) * 100, 2), ""Check History"")"),7.42)</f>
        <v>7.42</v>
      </c>
      <c r="AA311" s="53" t="str">
        <f t="shared" si="14"/>
        <v>STRONG RS</v>
      </c>
      <c r="AB311" s="53">
        <f>IFERROR(__xludf.DUMMYFUNCTION("IFERROR(LET(
  p, QUERY(GOOGLEFINANCE(TRIM(A311),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Loading"")"),23.5)</f>
        <v>23.5</v>
      </c>
      <c r="AC311" s="53" t="str">
        <f t="shared" si="15"/>
        <v>WEAK MOM</v>
      </c>
      <c r="AD311" s="53" t="str">
        <f>IFERROR(__xludf.DUMMYFUNCTION("IFERROR(IF(GOOGLEFINANCE(A311,""eps"")&gt;0,""EPS+"",""EPS-""),"""")"),"EPS+")</f>
        <v>EPS+</v>
      </c>
      <c r="AE311" s="53">
        <f t="shared" si="16"/>
        <v>4</v>
      </c>
      <c r="AF311" s="53">
        <f>IFERROR(__xludf.DUMMYFUNCTION("IFERROR(N311+IF(S311&gt;=1.2,1,0)+IF(U311&gt;=1,1,0)+IF(Z311&gt;0,1,0)+IF(AND(W311&gt;=-20,W311&lt;=0),1,0)+IF(IFERROR(GOOGLEFINANCE(A311,""eps""),0)&gt;0,1,0),"""")"),3.0)</f>
        <v>3</v>
      </c>
      <c r="AG311" s="53" t="str">
        <f t="shared" si="17"/>
        <v>REVERSE TRADE</v>
      </c>
    </row>
    <row r="312" ht="15.75" customHeight="1">
      <c r="A312" s="55" t="s">
        <v>479</v>
      </c>
      <c r="B312" s="44">
        <f>IFERROR(__xludf.DUMMYFUNCTION("GOOGLEFINANCE(A312,""price"")"),6842.5)</f>
        <v>6842.5</v>
      </c>
      <c r="C312" s="45">
        <f>IFERROR(__xludf.DUMMYFUNCTION("AVERAGE(QUERY(SORT(GOOGLEFINANCE(A312,""price"",TODAY()-150,TODAY()),1,0),""select Col2 limit 50""))"),7487.63)</f>
        <v>7487.63</v>
      </c>
      <c r="D312" s="45">
        <f>IFERROR(__xludf.DUMMYFUNCTION("AVERAGE(QUERY(SORT(GOOGLEFINANCE(A312,""price"",TODAY()-300,TODAY()),1,0),""select Col2 limit 100""))"),7307.405)</f>
        <v>7307.405</v>
      </c>
      <c r="E312" s="45">
        <f>IFERROR(__xludf.DUMMYFUNCTION("AVERAGE(QUERY(SORT(GOOGLEFINANCE(A312,""price"",TODAY()-500,TODAY()),1,0),""select Col2 limit 200""))"),6853.3775)</f>
        <v>6853.3775</v>
      </c>
      <c r="F312" s="46" t="str">
        <f t="shared" si="1"/>
        <v>In Bear Run</v>
      </c>
      <c r="G312" s="47">
        <f t="shared" si="2"/>
        <v>-0.1587173624</v>
      </c>
      <c r="H312" s="48" t="str">
        <f t="shared" si="3"/>
        <v>Golden ✓</v>
      </c>
      <c r="I312" s="48">
        <f t="shared" si="4"/>
        <v>3</v>
      </c>
      <c r="J312" s="48">
        <f t="shared" si="5"/>
        <v>0</v>
      </c>
      <c r="K312" s="49" t="str">
        <f>IFERROR(__xludf.DUMMYFUNCTION("IFERROR(IF(A312="""",""ENTER STOCK"",LET(stock,A312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12" s="48">
        <f t="shared" si="6"/>
        <v>0</v>
      </c>
      <c r="M312" s="48">
        <f t="shared" si="7"/>
        <v>1</v>
      </c>
      <c r="N312" s="50">
        <f t="shared" si="8"/>
        <v>4</v>
      </c>
      <c r="P312" s="46" t="str">
        <f t="shared" si="9"/>
        <v>REVERSE TRADE</v>
      </c>
      <c r="Q312" s="52"/>
      <c r="R312" s="53">
        <f t="shared" si="10"/>
        <v>15</v>
      </c>
      <c r="S312" s="53">
        <f>IFERROR(__xludf.DUMMYFUNCTION("IFERROR(ROUND(GOOGLEFINANCE(A312,""volume"")/GOOGLEFINANCE(A312,""volumeavg""),2),"""")"),1.12)</f>
        <v>1.12</v>
      </c>
      <c r="T312" s="53" t="str">
        <f t="shared" si="11"/>
        <v>LOW VOL</v>
      </c>
      <c r="U312" s="53">
        <f>IFERROR(__xludf.DUMMYFUNCTION("IFERROR(
  LET(
    sd, GOOGLEFINANCE(A312,""close"",TODAY()-100,TODAY()),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"""")"),1.5)</f>
        <v>1.5</v>
      </c>
      <c r="V312" s="53" t="str">
        <f t="shared" si="12"/>
        <v>FAST</v>
      </c>
      <c r="W312" s="53">
        <f>IFERROR(__xludf.DUMMYFUNCTION("IFERROR(ROUND((B312/GOOGLEFINANCE(A312,""high52"")-1)*100,1),"""")"),-16.8)</f>
        <v>-16.8</v>
      </c>
      <c r="X312" s="53">
        <f>IFERROR(__xludf.DUMMYFUNCTION("IFERROR(ROUND((B312-GOOGLEFINANCE(A312,""low52""))/(GOOGLEFINANCE(A312,""high52"")-GOOGLEFINANCE(A312,""low52""))*100,1),"""")"),69.5)</f>
        <v>69.5</v>
      </c>
      <c r="Y312" s="53" t="str">
        <f t="shared" si="13"/>
        <v>UPPER</v>
      </c>
      <c r="Z312" s="53">
        <f>IFERROR(__xludf.DUMMYFUNCTION("IFERROR(ROUND(((B312 / INDEX(GOOGLEFINANCE(TRIM(A312), ""price"", TODAY()-34, TODAY()), 2, 2)) - (GOOGLEFINANCE(""NIFTY_50"") / INDEX(GOOGLEFINANCE(""NIFTY_50"", ""price"", TODAY()-34, TODAY()), 2, 2))) * 100, 2), ""Check History"")"),-0.96)</f>
        <v>-0.96</v>
      </c>
      <c r="AA312" s="53" t="str">
        <f t="shared" si="14"/>
        <v>WEAK RS</v>
      </c>
      <c r="AB312" s="53">
        <f>IFERROR(__xludf.DUMMYFUNCTION("IFERROR(LET(
  p, QUERY(GOOGLEFINANCE(TRIM(A312),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Loading"")"),36.5)</f>
        <v>36.5</v>
      </c>
      <c r="AC312" s="53" t="str">
        <f t="shared" si="15"/>
        <v>WEAK MOM</v>
      </c>
      <c r="AD312" s="53" t="str">
        <f>IFERROR(__xludf.DUMMYFUNCTION("IFERROR(IF(GOOGLEFINANCE(A312,""eps"")&gt;0,""EPS+"",""EPS-""),"""")"),"EPS+")</f>
        <v>EPS+</v>
      </c>
      <c r="AE312" s="53">
        <f t="shared" si="16"/>
        <v>5</v>
      </c>
      <c r="AF312" s="53">
        <f>IFERROR(__xludf.DUMMYFUNCTION("IFERROR(N312+IF(S312&gt;=1.2,1,0)+IF(U312&gt;=1,1,0)+IF(Z312&gt;0,1,0)+IF(AND(W312&gt;=-20,W312&lt;=0),1,0)+IF(IFERROR(GOOGLEFINANCE(A312,""eps""),0)&gt;0,1,0),"""")"),7.0)</f>
        <v>7</v>
      </c>
      <c r="AG312" s="53" t="str">
        <f t="shared" si="17"/>
        <v>REVERSE TRADE</v>
      </c>
    </row>
    <row r="313" ht="15.75" customHeight="1">
      <c r="A313" s="55" t="s">
        <v>480</v>
      </c>
      <c r="B313" s="44">
        <f>IFERROR(__xludf.DUMMYFUNCTION("GOOGLEFINANCE(A313,""price"")"),1160.0)</f>
        <v>1160</v>
      </c>
      <c r="C313" s="45">
        <f>IFERROR(__xludf.DUMMYFUNCTION("AVERAGE(QUERY(SORT(GOOGLEFINANCE(A313,""price"",TODAY()-150,TODAY()),1,0),""select Col2 limit 50""))"),1253.05)</f>
        <v>1253.05</v>
      </c>
      <c r="D313" s="45">
        <f>IFERROR(__xludf.DUMMYFUNCTION("AVERAGE(QUERY(SORT(GOOGLEFINANCE(A313,""price"",TODAY()-300,TODAY()),1,0),""select Col2 limit 100""))"),1287.801)</f>
        <v>1287.801</v>
      </c>
      <c r="E313" s="45">
        <f>IFERROR(__xludf.DUMMYFUNCTION("AVERAGE(QUERY(SORT(GOOGLEFINANCE(A313,""price"",TODAY()-500,TODAY()),1,0),""select Col2 limit 200""))"),1298.267)</f>
        <v>1298.267</v>
      </c>
      <c r="F313" s="46" t="str">
        <f t="shared" si="1"/>
        <v>In Bear Run</v>
      </c>
      <c r="G313" s="47">
        <f t="shared" si="2"/>
        <v>-10.65012051</v>
      </c>
      <c r="H313" s="48" t="str">
        <f t="shared" si="3"/>
        <v>Inverted ✗</v>
      </c>
      <c r="I313" s="48">
        <f t="shared" si="4"/>
        <v>0</v>
      </c>
      <c r="J313" s="48">
        <f t="shared" si="5"/>
        <v>0</v>
      </c>
      <c r="K313" s="49" t="str">
        <f>IFERROR(__xludf.DUMMYFUNCTION("IFERROR(IF(A313="""",""ENTER STOCK"",LET(stock,A313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13" s="48">
        <f t="shared" si="6"/>
        <v>0</v>
      </c>
      <c r="M313" s="48">
        <f t="shared" si="7"/>
        <v>1</v>
      </c>
      <c r="N313" s="50">
        <f t="shared" si="8"/>
        <v>1</v>
      </c>
      <c r="P313" s="46" t="str">
        <f t="shared" si="9"/>
        <v>REVERSE TRADE</v>
      </c>
      <c r="Q313" s="52"/>
      <c r="R313" s="53">
        <f t="shared" si="10"/>
        <v>15</v>
      </c>
      <c r="S313" s="53">
        <f>IFERROR(__xludf.DUMMYFUNCTION("IFERROR(ROUND(GOOGLEFINANCE(A313,""volume"")/GOOGLEFINANCE(A313,""volumeavg""),2),"""")"),1.13)</f>
        <v>1.13</v>
      </c>
      <c r="T313" s="53" t="str">
        <f t="shared" si="11"/>
        <v>LOW VOL</v>
      </c>
      <c r="U313" s="53">
        <f>IFERROR(__xludf.DUMMYFUNCTION("IFERROR(
  LET(
    sd, GOOGLEFINANCE(A313,""close"",TODAY()-100,TODAY()),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"""")"),0.45)</f>
        <v>0.45</v>
      </c>
      <c r="V313" s="53" t="str">
        <f t="shared" si="12"/>
        <v>SLOW</v>
      </c>
      <c r="W313" s="53">
        <f>IFERROR(__xludf.DUMMYFUNCTION("IFERROR(ROUND((B313/GOOGLEFINANCE(A313,""high52"")-1)*100,1),"""")"),-22.5)</f>
        <v>-22.5</v>
      </c>
      <c r="X313" s="53">
        <f>IFERROR(__xludf.DUMMYFUNCTION("IFERROR(ROUND((B313-GOOGLEFINANCE(A313,""low52""))/(GOOGLEFINANCE(A313,""high52"")-GOOGLEFINANCE(A313,""low52""))*100,1),"""")"),41.6)</f>
        <v>41.6</v>
      </c>
      <c r="Y313" s="53" t="str">
        <f t="shared" si="13"/>
        <v>MID</v>
      </c>
      <c r="Z313" s="53">
        <f>IFERROR(__xludf.DUMMYFUNCTION("IFERROR(ROUND(((B313 / INDEX(GOOGLEFINANCE(TRIM(A313), ""price"", TODAY()-34, TODAY()), 2, 2)) - (GOOGLEFINANCE(""NIFTY_50"") / INDEX(GOOGLEFINANCE(""NIFTY_50"", ""price"", TODAY()-34, TODAY()), 2, 2))) * 100, 2), ""Check History"")"),2.84)</f>
        <v>2.84</v>
      </c>
      <c r="AA313" s="53" t="str">
        <f t="shared" si="14"/>
        <v>MILD RS</v>
      </c>
      <c r="AB313" s="53">
        <f>IFERROR(__xludf.DUMMYFUNCTION("IFERROR(LET(
  p, QUERY(GOOGLEFINANCE(TRIM(A313),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Loading"")"),57.8)</f>
        <v>57.8</v>
      </c>
      <c r="AC313" s="53" t="str">
        <f t="shared" si="15"/>
        <v>IDEAL ENTRY</v>
      </c>
      <c r="AD313" s="53" t="str">
        <f>IFERROR(__xludf.DUMMYFUNCTION("IFERROR(IF(GOOGLEFINANCE(A313,""eps"")&gt;0,""EPS+"",""EPS-""),"""")"),"EPS+")</f>
        <v>EPS+</v>
      </c>
      <c r="AE313" s="53">
        <f t="shared" si="16"/>
        <v>2</v>
      </c>
      <c r="AF313" s="53">
        <f>IFERROR(__xludf.DUMMYFUNCTION("IFERROR(N313+IF(S313&gt;=1.2,1,0)+IF(U313&gt;=1,1,0)+IF(Z313&gt;0,1,0)+IF(AND(W313&gt;=-20,W313&lt;=0),1,0)+IF(IFERROR(GOOGLEFINANCE(A313,""eps""),0)&gt;0,1,0),"""")"),3.0)</f>
        <v>3</v>
      </c>
      <c r="AG313" s="53" t="str">
        <f t="shared" si="17"/>
        <v>REVERSE TRADE</v>
      </c>
    </row>
    <row r="314" ht="15.75" customHeight="1">
      <c r="A314" s="55" t="s">
        <v>481</v>
      </c>
      <c r="B314" s="44">
        <f>IFERROR(__xludf.DUMMYFUNCTION("GOOGLEFINANCE(A314,""price"")"),224.3)</f>
        <v>224.3</v>
      </c>
      <c r="C314" s="45">
        <f>IFERROR(__xludf.DUMMYFUNCTION("AVERAGE(QUERY(SORT(GOOGLEFINANCE(A314,""price"",TODAY()-150,TODAY()),1,0),""select Col2 limit 50""))"),247.19040000000004)</f>
        <v>247.1904</v>
      </c>
      <c r="D314" s="45">
        <f>IFERROR(__xludf.DUMMYFUNCTION("AVERAGE(QUERY(SORT(GOOGLEFINANCE(A314,""price"",TODAY()-300,TODAY()),1,0),""select Col2 limit 100""))"),254.84069999999997)</f>
        <v>254.8407</v>
      </c>
      <c r="E314" s="45">
        <f>IFERROR(__xludf.DUMMYFUNCTION("AVERAGE(QUERY(SORT(GOOGLEFINANCE(A314,""price"",TODAY()-500,TODAY()),1,0),""select Col2 limit 200""))"),288.3333499999998)</f>
        <v>288.33335</v>
      </c>
      <c r="F314" s="46" t="str">
        <f t="shared" si="1"/>
        <v>In Bear Run</v>
      </c>
      <c r="G314" s="47">
        <f t="shared" si="2"/>
        <v>-22.20809698</v>
      </c>
      <c r="H314" s="48" t="str">
        <f t="shared" si="3"/>
        <v>Inverted ✗</v>
      </c>
      <c r="I314" s="48">
        <f t="shared" si="4"/>
        <v>0</v>
      </c>
      <c r="J314" s="48">
        <f t="shared" si="5"/>
        <v>0</v>
      </c>
      <c r="K314" s="49" t="str">
        <f>IFERROR(__xludf.DUMMYFUNCTION("IFERROR(IF(A314="""",""ENTER STOCK"",LET(stock,A314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14" s="48">
        <f t="shared" si="6"/>
        <v>0</v>
      </c>
      <c r="M314" s="48">
        <f t="shared" si="7"/>
        <v>1</v>
      </c>
      <c r="N314" s="50">
        <f t="shared" si="8"/>
        <v>1</v>
      </c>
      <c r="P314" s="46" t="str">
        <f t="shared" si="9"/>
        <v>REVERSE TRADE</v>
      </c>
      <c r="Q314" s="52"/>
      <c r="R314" s="53">
        <f t="shared" si="10"/>
        <v>15</v>
      </c>
      <c r="S314" s="53">
        <f>IFERROR(__xludf.DUMMYFUNCTION("IFERROR(ROUND(GOOGLEFINANCE(A314,""volume"")/GOOGLEFINANCE(A314,""volumeavg""),2),"""")"),2.23)</f>
        <v>2.23</v>
      </c>
      <c r="T314" s="53" t="str">
        <f t="shared" si="11"/>
        <v>HIGH VOL</v>
      </c>
      <c r="U314" s="53">
        <f>IFERROR(__xludf.DUMMYFUNCTION("IFERROR(
  LET(
    sd, GOOGLEFINANCE(A314,""close"",TODAY()-100,TODAY()),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"""")"),1.21)</f>
        <v>1.21</v>
      </c>
      <c r="V314" s="53" t="str">
        <f t="shared" si="12"/>
        <v>FAST</v>
      </c>
      <c r="W314" s="53">
        <f>IFERROR(__xludf.DUMMYFUNCTION("IFERROR(ROUND((B314/GOOGLEFINANCE(A314,""high52"")-1)*100,1),"""")"),-38.2)</f>
        <v>-38.2</v>
      </c>
      <c r="X314" s="53">
        <f>IFERROR(__xludf.DUMMYFUNCTION("IFERROR(ROUND((B314-GOOGLEFINANCE(A314,""low52""))/(GOOGLEFINANCE(A314,""high52"")-GOOGLEFINANCE(A314,""low52""))*100,1),"""")"),4.7)</f>
        <v>4.7</v>
      </c>
      <c r="Y314" s="53" t="str">
        <f t="shared" si="13"/>
        <v>MID</v>
      </c>
      <c r="Z314" s="53">
        <f>IFERROR(__xludf.DUMMYFUNCTION("IFERROR(ROUND(((B314 / INDEX(GOOGLEFINANCE(TRIM(A314), ""price"", TODAY()-34, TODAY()), 2, 2)) - (GOOGLEFINANCE(""NIFTY_50"") / INDEX(GOOGLEFINANCE(""NIFTY_50"", ""price"", TODAY()-34, TODAY()), 2, 2))) * 100, 2), ""Check History"")"),-2.36)</f>
        <v>-2.36</v>
      </c>
      <c r="AA314" s="53" t="str">
        <f t="shared" si="14"/>
        <v>WEAK RS</v>
      </c>
      <c r="AB314" s="53">
        <f>IFERROR(__xludf.DUMMYFUNCTION("IFERROR(LET(
  p, QUERY(GOOGLEFINANCE(TRIM(A314),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Loading"")"),28.5)</f>
        <v>28.5</v>
      </c>
      <c r="AC314" s="53" t="str">
        <f t="shared" si="15"/>
        <v>WEAK MOM</v>
      </c>
      <c r="AD314" s="53" t="str">
        <f>IFERROR(__xludf.DUMMYFUNCTION("IFERROR(IF(GOOGLEFINANCE(A314,""eps"")&gt;0,""EPS+"",""EPS-""),"""")"),"EPS+")</f>
        <v>EPS+</v>
      </c>
      <c r="AE314" s="53">
        <f t="shared" si="16"/>
        <v>6</v>
      </c>
      <c r="AF314" s="53">
        <f>IFERROR(__xludf.DUMMYFUNCTION("IFERROR(N314+IF(S314&gt;=1.2,1,0)+IF(U314&gt;=1,1,0)+IF(Z314&gt;0,1,0)+IF(AND(W314&gt;=-20,W314&lt;=0),1,0)+IF(IFERROR(GOOGLEFINANCE(A314,""eps""),0)&gt;0,1,0),"""")"),4.0)</f>
        <v>4</v>
      </c>
      <c r="AG314" s="53" t="str">
        <f t="shared" si="17"/>
        <v>REVERSE TRADE</v>
      </c>
    </row>
    <row r="315" ht="15.75" customHeight="1">
      <c r="A315" s="55" t="s">
        <v>482</v>
      </c>
      <c r="B315" s="44">
        <f>IFERROR(__xludf.DUMMYFUNCTION("GOOGLEFINANCE(A315,""price"")"),752.9)</f>
        <v>752.9</v>
      </c>
      <c r="C315" s="45">
        <f>IFERROR(__xludf.DUMMYFUNCTION("AVERAGE(QUERY(SORT(GOOGLEFINANCE(A315,""price"",TODAY()-150,TODAY()),1,0),""select Col2 limit 50""))"),985.5879999999999)</f>
        <v>985.588</v>
      </c>
      <c r="D315" s="45">
        <f>IFERROR(__xludf.DUMMYFUNCTION("AVERAGE(QUERY(SORT(GOOGLEFINANCE(A315,""price"",TODAY()-300,TODAY()),1,0),""select Col2 limit 100""))"),1064.334)</f>
        <v>1064.334</v>
      </c>
      <c r="E315" s="45">
        <f>IFERROR(__xludf.DUMMYFUNCTION("AVERAGE(QUERY(SORT(GOOGLEFINANCE(A315,""price"",TODAY()-500,TODAY()),1,0),""select Col2 limit 200""))"),1146.361500000001)</f>
        <v>1146.3615</v>
      </c>
      <c r="F315" s="46" t="str">
        <f t="shared" si="1"/>
        <v>In Bear Run</v>
      </c>
      <c r="G315" s="47">
        <f t="shared" si="2"/>
        <v>-34.32263732</v>
      </c>
      <c r="H315" s="48" t="str">
        <f t="shared" si="3"/>
        <v>Inverted ✗</v>
      </c>
      <c r="I315" s="48">
        <f t="shared" si="4"/>
        <v>0</v>
      </c>
      <c r="J315" s="48">
        <f t="shared" si="5"/>
        <v>0</v>
      </c>
      <c r="K315" s="49" t="str">
        <f>IFERROR(__xludf.DUMMYFUNCTION("IFERROR(IF(A315="""",""ENTER STOCK"",LET(stock,A315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15" s="48">
        <f t="shared" si="6"/>
        <v>0</v>
      </c>
      <c r="M315" s="48">
        <f t="shared" si="7"/>
        <v>1</v>
      </c>
      <c r="N315" s="50">
        <f t="shared" si="8"/>
        <v>1</v>
      </c>
      <c r="P315" s="46" t="str">
        <f t="shared" si="9"/>
        <v>REVERSE TRADE</v>
      </c>
      <c r="Q315" s="52"/>
      <c r="R315" s="53">
        <f t="shared" si="10"/>
        <v>15</v>
      </c>
      <c r="S315" s="53">
        <f>IFERROR(__xludf.DUMMYFUNCTION("IFERROR(ROUND(GOOGLEFINANCE(A315,""volume"")/GOOGLEFINANCE(A315,""volumeavg""),2),"""")"),1.42)</f>
        <v>1.42</v>
      </c>
      <c r="T315" s="53" t="str">
        <f t="shared" si="11"/>
        <v>OK VOL</v>
      </c>
      <c r="U315" s="53">
        <f>IFERROR(__xludf.DUMMYFUNCTION("IFERROR(
  LET(
    sd, GOOGLEFINANCE(A315,""close"",TODAY()-100,TODAY()),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"""")"),1.15)</f>
        <v>1.15</v>
      </c>
      <c r="V315" s="53" t="str">
        <f t="shared" si="12"/>
        <v>MEDIUM</v>
      </c>
      <c r="W315" s="53">
        <f>IFERROR(__xludf.DUMMYFUNCTION("IFERROR(ROUND((B315/GOOGLEFINANCE(A315,""high52"")-1)*100,1),"""")"),-45.3)</f>
        <v>-45.3</v>
      </c>
      <c r="X315" s="53">
        <f>IFERROR(__xludf.DUMMYFUNCTION("IFERROR(ROUND((B315-GOOGLEFINANCE(A315,""low52""))/(GOOGLEFINANCE(A315,""high52"")-GOOGLEFINANCE(A315,""low52""))*100,1),"""")"),0.4)</f>
        <v>0.4</v>
      </c>
      <c r="Y315" s="53" t="str">
        <f t="shared" si="13"/>
        <v>DEEP RECOVERY</v>
      </c>
      <c r="Z315" s="53">
        <f>IFERROR(__xludf.DUMMYFUNCTION("IFERROR(ROUND(((B315 / INDEX(GOOGLEFINANCE(TRIM(A315), ""price"", TODAY()-34, TODAY()), 2, 2)) - (GOOGLEFINANCE(""NIFTY_50"") / INDEX(GOOGLEFINANCE(""NIFTY_50"", ""price"", TODAY()-34, TODAY()), 2, 2))) * 100, 2), ""Check History"")"),-8.59)</f>
        <v>-8.59</v>
      </c>
      <c r="AA315" s="53" t="str">
        <f t="shared" si="14"/>
        <v>WEAK RS</v>
      </c>
      <c r="AB315" s="53">
        <f>IFERROR(__xludf.DUMMYFUNCTION("IFERROR(LET(
  p, QUERY(GOOGLEFINANCE(TRIM(A315),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Loading"")"),46.4)</f>
        <v>46.4</v>
      </c>
      <c r="AC315" s="53" t="str">
        <f t="shared" si="15"/>
        <v>IDEAL ENTRY</v>
      </c>
      <c r="AD315" s="53" t="str">
        <f>IFERROR(__xludf.DUMMYFUNCTION("IFERROR(IF(GOOGLEFINANCE(A315,""eps"")&gt;0,""EPS+"",""EPS-""),"""")"),"EPS+")</f>
        <v>EPS+</v>
      </c>
      <c r="AE315" s="53">
        <f t="shared" si="16"/>
        <v>4</v>
      </c>
      <c r="AF315" s="53">
        <f>IFERROR(__xludf.DUMMYFUNCTION("IFERROR(N315+IF(S315&gt;=1.2,1,0)+IF(U315&gt;=1,1,0)+IF(Z315&gt;0,1,0)+IF(AND(W315&gt;=-20,W315&lt;=0),1,0)+IF(IFERROR(GOOGLEFINANCE(A315,""eps""),0)&gt;0,1,0),"""")"),4.0)</f>
        <v>4</v>
      </c>
      <c r="AG315" s="53" t="str">
        <f t="shared" si="17"/>
        <v>REVERSE TRADE</v>
      </c>
    </row>
    <row r="316" ht="15.75" customHeight="1">
      <c r="A316" s="55" t="s">
        <v>483</v>
      </c>
      <c r="B316" s="44">
        <f>IFERROR(__xludf.DUMMYFUNCTION("GOOGLEFINANCE(A316,""price"")"),1125.0)</f>
        <v>1125</v>
      </c>
      <c r="C316" s="45">
        <f>IFERROR(__xludf.DUMMYFUNCTION("AVERAGE(QUERY(SORT(GOOGLEFINANCE(A316,""price"",TODAY()-150,TODAY()),1,0),""select Col2 limit 50""))"),1093.0299999999997)</f>
        <v>1093.03</v>
      </c>
      <c r="D316" s="45">
        <f>IFERROR(__xludf.DUMMYFUNCTION("AVERAGE(QUERY(SORT(GOOGLEFINANCE(A316,""price"",TODAY()-300,TODAY()),1,0),""select Col2 limit 100""))"),1160.399)</f>
        <v>1160.399</v>
      </c>
      <c r="E316" s="45">
        <f>IFERROR(__xludf.DUMMYFUNCTION("AVERAGE(QUERY(SORT(GOOGLEFINANCE(A316,""price"",TODAY()-500,TODAY()),1,0),""select Col2 limit 200""))"),1214.8215)</f>
        <v>1214.8215</v>
      </c>
      <c r="F316" s="46" t="str">
        <f t="shared" si="1"/>
        <v>Unconfirmed</v>
      </c>
      <c r="G316" s="47">
        <f t="shared" si="2"/>
        <v>-7.393802299</v>
      </c>
      <c r="H316" s="48" t="str">
        <f t="shared" si="3"/>
        <v>Inverted ✗</v>
      </c>
      <c r="I316" s="48">
        <f t="shared" si="4"/>
        <v>0</v>
      </c>
      <c r="J316" s="48">
        <f t="shared" si="5"/>
        <v>0</v>
      </c>
      <c r="K316" s="49" t="str">
        <f>IFERROR(__xludf.DUMMYFUNCTION("IFERROR(IF(A316="""",""ENTER STOCK"",LET(stock,A316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16" s="48">
        <f t="shared" si="6"/>
        <v>0</v>
      </c>
      <c r="M316" s="48">
        <f t="shared" si="7"/>
        <v>1</v>
      </c>
      <c r="N316" s="50">
        <f t="shared" si="8"/>
        <v>1</v>
      </c>
      <c r="P316" s="46" t="str">
        <f t="shared" si="9"/>
        <v>WAIT</v>
      </c>
      <c r="Q316" s="52"/>
      <c r="R316" s="53">
        <f t="shared" si="10"/>
        <v>15</v>
      </c>
      <c r="S316" s="53">
        <f>IFERROR(__xludf.DUMMYFUNCTION("IFERROR(ROUND(GOOGLEFINANCE(A316,""volume"")/GOOGLEFINANCE(A316,""volumeavg""),2),"""")"),1.77)</f>
        <v>1.77</v>
      </c>
      <c r="T316" s="53" t="str">
        <f t="shared" si="11"/>
        <v>HIGH VOL</v>
      </c>
      <c r="U316" s="53">
        <f>IFERROR(__xludf.DUMMYFUNCTION("IFERROR(
  LET(
    sd, GOOGLEFINANCE(A316,""close"",TODAY()-100,TODAY()),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"""")"),0.95)</f>
        <v>0.95</v>
      </c>
      <c r="V316" s="53" t="str">
        <f t="shared" si="12"/>
        <v>MEDIUM</v>
      </c>
      <c r="W316" s="53">
        <f>IFERROR(__xludf.DUMMYFUNCTION("IFERROR(ROUND((B316/GOOGLEFINANCE(A316,""high52"")-1)*100,1),"""")"),-25.1)</f>
        <v>-25.1</v>
      </c>
      <c r="X316" s="53">
        <f>IFERROR(__xludf.DUMMYFUNCTION("IFERROR(ROUND((B316-GOOGLEFINANCE(A316,""low52""))/(GOOGLEFINANCE(A316,""high52"")-GOOGLEFINANCE(A316,""low52""))*100,1),"""")"),32.3)</f>
        <v>32.3</v>
      </c>
      <c r="Y316" s="53" t="str">
        <f t="shared" si="13"/>
        <v>MID</v>
      </c>
      <c r="Z316" s="53">
        <f>IFERROR(__xludf.DUMMYFUNCTION("IFERROR(ROUND(((B316 / INDEX(GOOGLEFINANCE(TRIM(A316), ""price"", TODAY()-34, TODAY()), 2, 2)) - (GOOGLEFINANCE(""NIFTY_50"") / INDEX(GOOGLEFINANCE(""NIFTY_50"", ""price"", TODAY()-34, TODAY()), 2, 2))) * 100, 2), ""Check History"")"),16.03)</f>
        <v>16.03</v>
      </c>
      <c r="AA316" s="53" t="str">
        <f t="shared" si="14"/>
        <v>STRONG RS</v>
      </c>
      <c r="AB316" s="53">
        <f>IFERROR(__xludf.DUMMYFUNCTION("IFERROR(LET(
  p, QUERY(GOOGLEFINANCE(TRIM(A316),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Loading"")"),60.8)</f>
        <v>60.8</v>
      </c>
      <c r="AC316" s="53" t="str">
        <f t="shared" si="15"/>
        <v>IDEAL ENTRY</v>
      </c>
      <c r="AD316" s="53" t="str">
        <f>IFERROR(__xludf.DUMMYFUNCTION("IFERROR(IF(GOOGLEFINANCE(A316,""eps"")&gt;0,""EPS+"",""EPS-""),"""")"),"EPS+")</f>
        <v>EPS+</v>
      </c>
      <c r="AE316" s="53">
        <f t="shared" si="16"/>
        <v>7</v>
      </c>
      <c r="AF316" s="53">
        <f>IFERROR(__xludf.DUMMYFUNCTION("IFERROR(N316+IF(S316&gt;=1.2,1,0)+IF(U316&gt;=1,1,0)+IF(Z316&gt;0,1,0)+IF(AND(W316&gt;=-20,W316&lt;=0),1,0)+IF(IFERROR(GOOGLEFINANCE(A316,""eps""),0)&gt;0,1,0),"""")"),4.0)</f>
        <v>4</v>
      </c>
      <c r="AG316" s="53" t="str">
        <f t="shared" si="17"/>
        <v>WAIT</v>
      </c>
    </row>
    <row r="317" ht="15.75" customHeight="1">
      <c r="A317" s="55" t="s">
        <v>484</v>
      </c>
      <c r="B317" s="44">
        <f>IFERROR(__xludf.DUMMYFUNCTION("GOOGLEFINANCE(A317,""price"")"),912.0)</f>
        <v>912</v>
      </c>
      <c r="C317" s="45">
        <f>IFERROR(__xludf.DUMMYFUNCTION("AVERAGE(QUERY(SORT(GOOGLEFINANCE(A317,""price"",TODAY()-150,TODAY()),1,0),""select Col2 limit 50""))"),1021.518)</f>
        <v>1021.518</v>
      </c>
      <c r="D317" s="45">
        <f>IFERROR(__xludf.DUMMYFUNCTION("AVERAGE(QUERY(SORT(GOOGLEFINANCE(A317,""price"",TODAY()-300,TODAY()),1,0),""select Col2 limit 100""))"),1166.438)</f>
        <v>1166.438</v>
      </c>
      <c r="E317" s="45">
        <f>IFERROR(__xludf.DUMMYFUNCTION("AVERAGE(QUERY(SORT(GOOGLEFINANCE(A317,""price"",TODAY()-500,TODAY()),1,0),""select Col2 limit 200""))"),1343.9809999999989)</f>
        <v>1343.981</v>
      </c>
      <c r="F317" s="46" t="str">
        <f t="shared" si="1"/>
        <v>In Bear Run</v>
      </c>
      <c r="G317" s="47">
        <f t="shared" si="2"/>
        <v>-32.14189784</v>
      </c>
      <c r="H317" s="48" t="str">
        <f t="shared" si="3"/>
        <v>Inverted ✗</v>
      </c>
      <c r="I317" s="48">
        <f t="shared" si="4"/>
        <v>0</v>
      </c>
      <c r="J317" s="48">
        <f t="shared" si="5"/>
        <v>0</v>
      </c>
      <c r="K317" s="49" t="str">
        <f>IFERROR(__xludf.DUMMYFUNCTION("IFERROR(IF(A317="""",""ENTER STOCK"",LET(stock,A317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17" s="48">
        <f t="shared" si="6"/>
        <v>0</v>
      </c>
      <c r="M317" s="48">
        <f t="shared" si="7"/>
        <v>1</v>
      </c>
      <c r="N317" s="50">
        <f t="shared" si="8"/>
        <v>1</v>
      </c>
      <c r="P317" s="46" t="str">
        <f t="shared" si="9"/>
        <v>REVERSE TRADE</v>
      </c>
      <c r="Q317" s="52"/>
      <c r="R317" s="53">
        <f t="shared" si="10"/>
        <v>15</v>
      </c>
      <c r="S317" s="53">
        <f>IFERROR(__xludf.DUMMYFUNCTION("IFERROR(ROUND(GOOGLEFINANCE(A317,""volume"")/GOOGLEFINANCE(A317,""volumeavg""),2),"""")"),1.27)</f>
        <v>1.27</v>
      </c>
      <c r="T317" s="53" t="str">
        <f t="shared" si="11"/>
        <v>OK VOL</v>
      </c>
      <c r="U317" s="53">
        <f>IFERROR(__xludf.DUMMYFUNCTION("IFERROR(
  LET(
    sd, GOOGLEFINANCE(A317,""close"",TODAY()-100,TODAY()),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"""")"),1.76)</f>
        <v>1.76</v>
      </c>
      <c r="V317" s="53" t="str">
        <f t="shared" si="12"/>
        <v>FAST</v>
      </c>
      <c r="W317" s="53">
        <f>IFERROR(__xludf.DUMMYFUNCTION("IFERROR(ROUND((B317/GOOGLEFINANCE(A317,""high52"")-1)*100,1),"""")"),-48.7)</f>
        <v>-48.7</v>
      </c>
      <c r="X317" s="53">
        <f>IFERROR(__xludf.DUMMYFUNCTION("IFERROR(ROUND((B317-GOOGLEFINANCE(A317,""low52""))/(GOOGLEFINANCE(A317,""high52"")-GOOGLEFINANCE(A317,""low52""))*100,1),"""")"),5.0)</f>
        <v>5</v>
      </c>
      <c r="Y317" s="53" t="str">
        <f t="shared" si="13"/>
        <v>DEEP RECOVERY</v>
      </c>
      <c r="Z317" s="53">
        <f>IFERROR(__xludf.DUMMYFUNCTION("IFERROR(ROUND(((B317 / INDEX(GOOGLEFINANCE(TRIM(A317), ""price"", TODAY()-34, TODAY()), 2, 2)) - (GOOGLEFINANCE(""NIFTY_50"") / INDEX(GOOGLEFINANCE(""NIFTY_50"", ""price"", TODAY()-34, TODAY()), 2, 2))) * 100, 2), ""Check History"")"),3.9)</f>
        <v>3.9</v>
      </c>
      <c r="AA317" s="53" t="str">
        <f t="shared" si="14"/>
        <v>MILD RS</v>
      </c>
      <c r="AB317" s="53">
        <f>IFERROR(__xludf.DUMMYFUNCTION("IFERROR(LET(
  p, QUERY(GOOGLEFINANCE(TRIM(A317),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Loading"")"),62.0)</f>
        <v>62</v>
      </c>
      <c r="AC317" s="53" t="str">
        <f t="shared" si="15"/>
        <v>IDEAL ENTRY</v>
      </c>
      <c r="AD317" s="53" t="str">
        <f>IFERROR(__xludf.DUMMYFUNCTION("IFERROR(IF(GOOGLEFINANCE(A317,""eps"")&gt;0,""EPS+"",""EPS-""),"""")"),"EPS+")</f>
        <v>EPS+</v>
      </c>
      <c r="AE317" s="53">
        <f t="shared" si="16"/>
        <v>6</v>
      </c>
      <c r="AF317" s="53">
        <f>IFERROR(__xludf.DUMMYFUNCTION("IFERROR(N317+IF(S317&gt;=1.2,1,0)+IF(U317&gt;=1,1,0)+IF(Z317&gt;0,1,0)+IF(AND(W317&gt;=-20,W317&lt;=0),1,0)+IF(IFERROR(GOOGLEFINANCE(A317,""eps""),0)&gt;0,1,0),"""")"),5.0)</f>
        <v>5</v>
      </c>
      <c r="AG317" s="53" t="str">
        <f t="shared" si="17"/>
        <v>REVERSE TRADE</v>
      </c>
    </row>
    <row r="318" ht="15.75" customHeight="1">
      <c r="A318" s="55" t="s">
        <v>485</v>
      </c>
      <c r="B318" s="44">
        <f>IFERROR(__xludf.DUMMYFUNCTION("GOOGLEFINANCE(A318,""price"")"),94.47)</f>
        <v>94.47</v>
      </c>
      <c r="C318" s="45">
        <f>IFERROR(__xludf.DUMMYFUNCTION("AVERAGE(QUERY(SORT(GOOGLEFINANCE(A318,""price"",TODAY()-150,TODAY()),1,0),""select Col2 limit 50""))"),120.44480000000004)</f>
        <v>120.4448</v>
      </c>
      <c r="D318" s="45">
        <f>IFERROR(__xludf.DUMMYFUNCTION("AVERAGE(QUERY(SORT(GOOGLEFINANCE(A318,""price"",TODAY()-300,TODAY()),1,0),""select Col2 limit 100""))"),130.54930000000004)</f>
        <v>130.5493</v>
      </c>
      <c r="E318" s="45">
        <f>IFERROR(__xludf.DUMMYFUNCTION("AVERAGE(QUERY(SORT(GOOGLEFINANCE(A318,""price"",TODAY()-500,TODAY()),1,0),""select Col2 limit 200""))"),150.28869999999998)</f>
        <v>150.2887</v>
      </c>
      <c r="F318" s="46" t="str">
        <f t="shared" si="1"/>
        <v>In Bear Run</v>
      </c>
      <c r="G318" s="47">
        <f t="shared" si="2"/>
        <v>-37.14098266</v>
      </c>
      <c r="H318" s="48" t="str">
        <f t="shared" si="3"/>
        <v>Inverted ✗</v>
      </c>
      <c r="I318" s="48">
        <f t="shared" si="4"/>
        <v>0</v>
      </c>
      <c r="J318" s="48">
        <f t="shared" si="5"/>
        <v>0</v>
      </c>
      <c r="K318" s="49" t="str">
        <f>IFERROR(__xludf.DUMMYFUNCTION("IFERROR(IF(A318="""",""ENTER STOCK"",LET(stock,A318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18" s="48">
        <f t="shared" si="6"/>
        <v>0</v>
      </c>
      <c r="M318" s="48">
        <f t="shared" si="7"/>
        <v>1</v>
      </c>
      <c r="N318" s="50">
        <f t="shared" si="8"/>
        <v>1</v>
      </c>
      <c r="P318" s="46" t="str">
        <f t="shared" si="9"/>
        <v>REVERSE TRADE</v>
      </c>
      <c r="Q318" s="52"/>
      <c r="R318" s="53">
        <f t="shared" si="10"/>
        <v>15</v>
      </c>
      <c r="S318" s="53">
        <f>IFERROR(__xludf.DUMMYFUNCTION("IFERROR(ROUND(GOOGLEFINANCE(A318,""volume"")/GOOGLEFINANCE(A318,""volumeavg""),2),"""")"),2.52)</f>
        <v>2.52</v>
      </c>
      <c r="T318" s="53" t="str">
        <f t="shared" si="11"/>
        <v>HIGH VOL</v>
      </c>
      <c r="U318" s="53">
        <f>IFERROR(__xludf.DUMMYFUNCTION("IFERROR(
  LET(
    sd, GOOGLEFINANCE(A318,""close"",TODAY()-100,TODAY()),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"""")"),0.6)</f>
        <v>0.6</v>
      </c>
      <c r="V318" s="53" t="str">
        <f t="shared" si="12"/>
        <v>SLOW</v>
      </c>
      <c r="W318" s="53">
        <f>IFERROR(__xludf.DUMMYFUNCTION("IFERROR(ROUND((B318/GOOGLEFINANCE(A318,""high52"")-1)*100,1),"""")"),-50.5)</f>
        <v>-50.5</v>
      </c>
      <c r="X318" s="53">
        <f>IFERROR(__xludf.DUMMYFUNCTION("IFERROR(ROUND((B318-GOOGLEFINANCE(A318,""low52""))/(GOOGLEFINANCE(A318,""high52"")-GOOGLEFINANCE(A318,""low52""))*100,1),"""")"),0.2)</f>
        <v>0.2</v>
      </c>
      <c r="Y318" s="53" t="str">
        <f t="shared" si="13"/>
        <v>DEEP RECOVERY</v>
      </c>
      <c r="Z318" s="53">
        <f>IFERROR(__xludf.DUMMYFUNCTION("IFERROR(ROUND(((B318 / INDEX(GOOGLEFINANCE(TRIM(A318), ""price"", TODAY()-34, TODAY()), 2, 2)) - (GOOGLEFINANCE(""NIFTY_50"") / INDEX(GOOGLEFINANCE(""NIFTY_50"", ""price"", TODAY()-34, TODAY()), 2, 2))) * 100, 2), ""Check History"")"),-14.87)</f>
        <v>-14.87</v>
      </c>
      <c r="AA318" s="53" t="str">
        <f t="shared" si="14"/>
        <v>WEAK RS</v>
      </c>
      <c r="AB318" s="53">
        <f>IFERROR(__xludf.DUMMYFUNCTION("IFERROR(LET(
  p, QUERY(GOOGLEFINANCE(TRIM(A318),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Loading"")"),33.6)</f>
        <v>33.6</v>
      </c>
      <c r="AC318" s="53" t="str">
        <f t="shared" si="15"/>
        <v>WEAK MOM</v>
      </c>
      <c r="AD318" s="53" t="str">
        <f>IFERROR(__xludf.DUMMYFUNCTION("IFERROR(IF(GOOGLEFINANCE(A318,""eps"")&gt;0,""EPS+"",""EPS-""),"""")"),"EPS-")</f>
        <v>EPS-</v>
      </c>
      <c r="AE318" s="53">
        <f t="shared" si="16"/>
        <v>4</v>
      </c>
      <c r="AF318" s="53">
        <f>IFERROR(__xludf.DUMMYFUNCTION("IFERROR(N318+IF(S318&gt;=1.2,1,0)+IF(U318&gt;=1,1,0)+IF(Z318&gt;0,1,0)+IF(AND(W318&gt;=-20,W318&lt;=0),1,0)+IF(IFERROR(GOOGLEFINANCE(A318,""eps""),0)&gt;0,1,0),"""")"),2.0)</f>
        <v>2</v>
      </c>
      <c r="AG318" s="53" t="str">
        <f t="shared" si="17"/>
        <v>REVERSE TRADE</v>
      </c>
    </row>
    <row r="319" ht="15.75" customHeight="1">
      <c r="A319" s="55" t="s">
        <v>486</v>
      </c>
      <c r="B319" s="44">
        <f>IFERROR(__xludf.DUMMYFUNCTION("GOOGLEFINANCE(A319,""price"")"),404.6)</f>
        <v>404.6</v>
      </c>
      <c r="C319" s="45">
        <f>IFERROR(__xludf.DUMMYFUNCTION("AVERAGE(QUERY(SORT(GOOGLEFINANCE(A319,""price"",TODAY()-150,TODAY()),1,0),""select Col2 limit 50""))"),445.59900000000016)</f>
        <v>445.599</v>
      </c>
      <c r="D319" s="45">
        <f>IFERROR(__xludf.DUMMYFUNCTION("AVERAGE(QUERY(SORT(GOOGLEFINANCE(A319,""price"",TODAY()-300,TODAY()),1,0),""select Col2 limit 100""))"),475.88699999999994)</f>
        <v>475.887</v>
      </c>
      <c r="E319" s="45">
        <f>IFERROR(__xludf.DUMMYFUNCTION("AVERAGE(QUERY(SORT(GOOGLEFINANCE(A319,""price"",TODAY()-500,TODAY()),1,0),""select Col2 limit 200""))"),463.8875)</f>
        <v>463.8875</v>
      </c>
      <c r="F319" s="46" t="str">
        <f t="shared" si="1"/>
        <v>In Bear Run</v>
      </c>
      <c r="G319" s="47">
        <f t="shared" si="2"/>
        <v>-12.78057719</v>
      </c>
      <c r="H319" s="48" t="str">
        <f t="shared" si="3"/>
        <v>Inverted ✗</v>
      </c>
      <c r="I319" s="48">
        <f t="shared" si="4"/>
        <v>0</v>
      </c>
      <c r="J319" s="48">
        <f t="shared" si="5"/>
        <v>0</v>
      </c>
      <c r="K319" s="49" t="str">
        <f>IFERROR(__xludf.DUMMYFUNCTION("IFERROR(IF(A319="""",""ENTER STOCK"",LET(stock,A319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19" s="48">
        <f t="shared" si="6"/>
        <v>0</v>
      </c>
      <c r="M319" s="48">
        <f t="shared" si="7"/>
        <v>1</v>
      </c>
      <c r="N319" s="50">
        <f t="shared" si="8"/>
        <v>1</v>
      </c>
      <c r="P319" s="46" t="str">
        <f t="shared" si="9"/>
        <v>REVERSE TRADE</v>
      </c>
      <c r="Q319" s="52"/>
      <c r="R319" s="53">
        <f t="shared" si="10"/>
        <v>15</v>
      </c>
      <c r="S319" s="53">
        <f>IFERROR(__xludf.DUMMYFUNCTION("IFERROR(ROUND(GOOGLEFINANCE(A319,""volume"")/GOOGLEFINANCE(A319,""volumeavg""),2),"""")"),5.07)</f>
        <v>5.07</v>
      </c>
      <c r="T319" s="53" t="str">
        <f t="shared" si="11"/>
        <v>HIGH VOL</v>
      </c>
      <c r="U319" s="53">
        <f>IFERROR(__xludf.DUMMYFUNCTION("IFERROR(
  LET(
    sd, GOOGLEFINANCE(A319,""close"",TODAY()-100,TODAY()),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"""")"),0.28)</f>
        <v>0.28</v>
      </c>
      <c r="V319" s="53" t="str">
        <f t="shared" si="12"/>
        <v>SLOW</v>
      </c>
      <c r="W319" s="53">
        <f>IFERROR(__xludf.DUMMYFUNCTION("IFERROR(ROUND((B319/GOOGLEFINANCE(A319,""high52"")-1)*100,1),"""")"),-28.8)</f>
        <v>-28.8</v>
      </c>
      <c r="X319" s="53">
        <f>IFERROR(__xludf.DUMMYFUNCTION("IFERROR(ROUND((B319-GOOGLEFINANCE(A319,""low52""))/(GOOGLEFINANCE(A319,""high52"")-GOOGLEFINANCE(A319,""low52""))*100,1),"""")"),32.2)</f>
        <v>32.2</v>
      </c>
      <c r="Y319" s="53" t="str">
        <f t="shared" si="13"/>
        <v>MID</v>
      </c>
      <c r="Z319" s="53">
        <f>IFERROR(__xludf.DUMMYFUNCTION("IFERROR(ROUND(((B319 / INDEX(GOOGLEFINANCE(TRIM(A319), ""price"", TODAY()-34, TODAY()), 2, 2)) - (GOOGLEFINANCE(""NIFTY_50"") / INDEX(GOOGLEFINANCE(""NIFTY_50"", ""price"", TODAY()-34, TODAY()), 2, 2))) * 100, 2), ""Check History"")"),0.98)</f>
        <v>0.98</v>
      </c>
      <c r="AA319" s="53" t="str">
        <f t="shared" si="14"/>
        <v>MILD RS</v>
      </c>
      <c r="AB319" s="53">
        <f>IFERROR(__xludf.DUMMYFUNCTION("IFERROR(LET(
  p, QUERY(GOOGLEFINANCE(TRIM(A319),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Loading"")"),42.8)</f>
        <v>42.8</v>
      </c>
      <c r="AC319" s="53" t="str">
        <f t="shared" si="15"/>
        <v>WEAK MOM</v>
      </c>
      <c r="AD319" s="53" t="str">
        <f>IFERROR(__xludf.DUMMYFUNCTION("IFERROR(IF(GOOGLEFINANCE(A319,""eps"")&gt;0,""EPS+"",""EPS-""),"""")"),"EPS+")</f>
        <v>EPS+</v>
      </c>
      <c r="AE319" s="53">
        <f t="shared" si="16"/>
        <v>4</v>
      </c>
      <c r="AF319" s="53">
        <f>IFERROR(__xludf.DUMMYFUNCTION("IFERROR(N319+IF(S319&gt;=1.2,1,0)+IF(U319&gt;=1,1,0)+IF(Z319&gt;0,1,0)+IF(AND(W319&gt;=-20,W319&lt;=0),1,0)+IF(IFERROR(GOOGLEFINANCE(A319,""eps""),0)&gt;0,1,0),"""")"),4.0)</f>
        <v>4</v>
      </c>
      <c r="AG319" s="53" t="str">
        <f t="shared" si="17"/>
        <v>REVERSE TRADE</v>
      </c>
    </row>
    <row r="320" ht="15.75" customHeight="1">
      <c r="A320" s="55" t="s">
        <v>487</v>
      </c>
      <c r="B320" s="44">
        <f>IFERROR(__xludf.DUMMYFUNCTION("GOOGLEFINANCE(A320,""price"")"),1307.7)</f>
        <v>1307.7</v>
      </c>
      <c r="C320" s="45">
        <f>IFERROR(__xludf.DUMMYFUNCTION("AVERAGE(QUERY(SORT(GOOGLEFINANCE(A320,""price"",TODAY()-150,TODAY()),1,0),""select Col2 limit 50""))"),1386.7920000000001)</f>
        <v>1386.792</v>
      </c>
      <c r="D320" s="45">
        <f>IFERROR(__xludf.DUMMYFUNCTION("AVERAGE(QUERY(SORT(GOOGLEFINANCE(A320,""price"",TODAY()-300,TODAY()),1,0),""select Col2 limit 100""))"),1440.9305000000008)</f>
        <v>1440.9305</v>
      </c>
      <c r="E320" s="45">
        <f>IFERROR(__xludf.DUMMYFUNCTION("AVERAGE(QUERY(SORT(GOOGLEFINANCE(A320,""price"",TODAY()-500,TODAY()),1,0),""select Col2 limit 200""))"),1498.4592500000006)</f>
        <v>1498.45925</v>
      </c>
      <c r="F320" s="46" t="str">
        <f t="shared" si="1"/>
        <v>In Bear Run</v>
      </c>
      <c r="G320" s="47">
        <f t="shared" si="2"/>
        <v>-12.73035953</v>
      </c>
      <c r="H320" s="48" t="str">
        <f t="shared" si="3"/>
        <v>Inverted ✗</v>
      </c>
      <c r="I320" s="48">
        <f t="shared" si="4"/>
        <v>0</v>
      </c>
      <c r="J320" s="48">
        <f t="shared" si="5"/>
        <v>0</v>
      </c>
      <c r="K320" s="49" t="str">
        <f>IFERROR(__xludf.DUMMYFUNCTION("IFERROR(IF(A320="""",""ENTER STOCK"",LET(stock,A320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20" s="48">
        <f t="shared" si="6"/>
        <v>0</v>
      </c>
      <c r="M320" s="48">
        <f t="shared" si="7"/>
        <v>1</v>
      </c>
      <c r="N320" s="50">
        <f t="shared" si="8"/>
        <v>1</v>
      </c>
      <c r="P320" s="46" t="str">
        <f t="shared" si="9"/>
        <v>REVERSE TRADE</v>
      </c>
      <c r="Q320" s="52"/>
      <c r="R320" s="53">
        <f t="shared" si="10"/>
        <v>15</v>
      </c>
      <c r="S320" s="53">
        <f>IFERROR(__xludf.DUMMYFUNCTION("IFERROR(ROUND(GOOGLEFINANCE(A320,""volume"")/GOOGLEFINANCE(A320,""volumeavg""),2),"""")"),2.05)</f>
        <v>2.05</v>
      </c>
      <c r="T320" s="53" t="str">
        <f t="shared" si="11"/>
        <v>HIGH VOL</v>
      </c>
      <c r="U320" s="53">
        <f>IFERROR(__xludf.DUMMYFUNCTION("IFERROR(
  LET(
    sd, GOOGLEFINANCE(A320,""close"",TODAY()-100,TODAY()),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"""")"),0.3)</f>
        <v>0.3</v>
      </c>
      <c r="V320" s="53" t="str">
        <f t="shared" si="12"/>
        <v>SLOW</v>
      </c>
      <c r="W320" s="53">
        <f>IFERROR(__xludf.DUMMYFUNCTION("IFERROR(ROUND((B320/GOOGLEFINANCE(A320,""high52"")-1)*100,1),"""")"),-26.1)</f>
        <v>-26.1</v>
      </c>
      <c r="X320" s="53">
        <f>IFERROR(__xludf.DUMMYFUNCTION("IFERROR(ROUND((B320-GOOGLEFINANCE(A320,""low52""))/(GOOGLEFINANCE(A320,""high52"")-GOOGLEFINANCE(A320,""low52""))*100,1),"""")"),22.2)</f>
        <v>22.2</v>
      </c>
      <c r="Y320" s="53" t="str">
        <f t="shared" si="13"/>
        <v>MID</v>
      </c>
      <c r="Z320" s="53">
        <f>IFERROR(__xludf.DUMMYFUNCTION("IFERROR(ROUND(((B320 / INDEX(GOOGLEFINANCE(TRIM(A320), ""price"", TODAY()-34, TODAY()), 2, 2)) - (GOOGLEFINANCE(""NIFTY_50"") / INDEX(GOOGLEFINANCE(""NIFTY_50"", ""price"", TODAY()-34, TODAY()), 2, 2))) * 100, 2), ""Check History"")"),4.97)</f>
        <v>4.97</v>
      </c>
      <c r="AA320" s="53" t="str">
        <f t="shared" si="14"/>
        <v>MILD RS</v>
      </c>
      <c r="AB320" s="53">
        <f>IFERROR(__xludf.DUMMYFUNCTION("IFERROR(LET(
  p, QUERY(GOOGLEFINANCE(TRIM(A320),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Loading"")"),53.8)</f>
        <v>53.8</v>
      </c>
      <c r="AC320" s="53" t="str">
        <f t="shared" si="15"/>
        <v>IDEAL ENTRY</v>
      </c>
      <c r="AD320" s="53" t="str">
        <f>IFERROR(__xludf.DUMMYFUNCTION("IFERROR(IF(GOOGLEFINANCE(A320,""eps"")&gt;0,""EPS+"",""EPS-""),"""")"),"EPS+")</f>
        <v>EPS+</v>
      </c>
      <c r="AE320" s="53">
        <f t="shared" si="16"/>
        <v>4</v>
      </c>
      <c r="AF320" s="53">
        <f>IFERROR(__xludf.DUMMYFUNCTION("IFERROR(N320+IF(S320&gt;=1.2,1,0)+IF(U320&gt;=1,1,0)+IF(Z320&gt;0,1,0)+IF(AND(W320&gt;=-20,W320&lt;=0),1,0)+IF(IFERROR(GOOGLEFINANCE(A320,""eps""),0)&gt;0,1,0),"""")"),4.0)</f>
        <v>4</v>
      </c>
      <c r="AG320" s="53" t="str">
        <f t="shared" si="17"/>
        <v>REVERSE TRADE</v>
      </c>
    </row>
    <row r="321" ht="15.75" customHeight="1">
      <c r="A321" s="55" t="s">
        <v>488</v>
      </c>
      <c r="B321" s="44">
        <f>IFERROR(__xludf.DUMMYFUNCTION("GOOGLEFINANCE(A321,""price"")"),776.0)</f>
        <v>776</v>
      </c>
      <c r="C321" s="45">
        <f>IFERROR(__xludf.DUMMYFUNCTION("AVERAGE(QUERY(SORT(GOOGLEFINANCE(A321,""price"",TODAY()-150,TODAY()),1,0),""select Col2 limit 50""))"),866.545)</f>
        <v>866.545</v>
      </c>
      <c r="D321" s="45">
        <f>IFERROR(__xludf.DUMMYFUNCTION("AVERAGE(QUERY(SORT(GOOGLEFINANCE(A321,""price"",TODAY()-300,TODAY()),1,0),""select Col2 limit 100""))"),945.1544999999996)</f>
        <v>945.1545</v>
      </c>
      <c r="E321" s="45">
        <f>IFERROR(__xludf.DUMMYFUNCTION("AVERAGE(QUERY(SORT(GOOGLEFINANCE(A321,""price"",TODAY()-500,TODAY()),1,0),""select Col2 limit 200""))"),1018.3687499999999)</f>
        <v>1018.36875</v>
      </c>
      <c r="F321" s="46" t="str">
        <f t="shared" si="1"/>
        <v>In Bear Run</v>
      </c>
      <c r="G321" s="47">
        <f t="shared" si="2"/>
        <v>-23.79970418</v>
      </c>
      <c r="H321" s="48" t="str">
        <f t="shared" si="3"/>
        <v>Inverted ✗</v>
      </c>
      <c r="I321" s="48">
        <f t="shared" si="4"/>
        <v>0</v>
      </c>
      <c r="J321" s="48">
        <f t="shared" si="5"/>
        <v>0</v>
      </c>
      <c r="K321" s="49" t="str">
        <f>IFERROR(__xludf.DUMMYFUNCTION("IFERROR(IF(A321="""",""ENTER STOCK"",LET(stock,A321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21" s="48">
        <f t="shared" si="6"/>
        <v>0</v>
      </c>
      <c r="M321" s="48">
        <f t="shared" si="7"/>
        <v>1</v>
      </c>
      <c r="N321" s="50">
        <f t="shared" si="8"/>
        <v>1</v>
      </c>
      <c r="P321" s="46" t="str">
        <f t="shared" si="9"/>
        <v>REVERSE TRADE</v>
      </c>
      <c r="Q321" s="52"/>
      <c r="R321" s="53">
        <f t="shared" si="10"/>
        <v>15</v>
      </c>
      <c r="S321" s="53">
        <f>IFERROR(__xludf.DUMMYFUNCTION("IFERROR(ROUND(GOOGLEFINANCE(A321,""volume"")/GOOGLEFINANCE(A321,""volumeavg""),2),"""")"),1.29)</f>
        <v>1.29</v>
      </c>
      <c r="T321" s="53" t="str">
        <f t="shared" si="11"/>
        <v>OK VOL</v>
      </c>
      <c r="U321" s="53">
        <f>IFERROR(__xludf.DUMMYFUNCTION("IFERROR(
  LET(
    sd, GOOGLEFINANCE(A321,""close"",TODAY()-100,TODAY()),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"""")"),1.11)</f>
        <v>1.11</v>
      </c>
      <c r="V321" s="53" t="str">
        <f t="shared" si="12"/>
        <v>MEDIUM</v>
      </c>
      <c r="W321" s="53">
        <f>IFERROR(__xludf.DUMMYFUNCTION("IFERROR(ROUND((B321/GOOGLEFINANCE(A321,""high52"")-1)*100,1),"""")"),-37.8)</f>
        <v>-37.8</v>
      </c>
      <c r="X321" s="53">
        <f>IFERROR(__xludf.DUMMYFUNCTION("IFERROR(ROUND((B321-GOOGLEFINANCE(A321,""low52""))/(GOOGLEFINANCE(A321,""high52"")-GOOGLEFINANCE(A321,""low52""))*100,1),"""")"),14.4)</f>
        <v>14.4</v>
      </c>
      <c r="Y321" s="53" t="str">
        <f t="shared" si="13"/>
        <v>MID</v>
      </c>
      <c r="Z321" s="53">
        <f>IFERROR(__xludf.DUMMYFUNCTION("IFERROR(ROUND(((B321 / INDEX(GOOGLEFINANCE(TRIM(A321), ""price"", TODAY()-34, TODAY()), 2, 2)) - (GOOGLEFINANCE(""NIFTY_50"") / INDEX(GOOGLEFINANCE(""NIFTY_50"", ""price"", TODAY()-34, TODAY()), 2, 2))) * 100, 2), ""Check History"")"),1.67)</f>
        <v>1.67</v>
      </c>
      <c r="AA321" s="53" t="str">
        <f t="shared" si="14"/>
        <v>MILD RS</v>
      </c>
      <c r="AB321" s="53">
        <f>IFERROR(__xludf.DUMMYFUNCTION("IFERROR(LET(
  p, QUERY(GOOGLEFINANCE(TRIM(A321),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Loading"")"),53.0)</f>
        <v>53</v>
      </c>
      <c r="AC321" s="53" t="str">
        <f t="shared" si="15"/>
        <v>IDEAL ENTRY</v>
      </c>
      <c r="AD321" s="53" t="str">
        <f>IFERROR(__xludf.DUMMYFUNCTION("IFERROR(IF(GOOGLEFINANCE(A321,""eps"")&gt;0,""EPS+"",""EPS-""),"""")"),"EPS+")</f>
        <v>EPS+</v>
      </c>
      <c r="AE321" s="53">
        <f t="shared" si="16"/>
        <v>5</v>
      </c>
      <c r="AF321" s="53">
        <f>IFERROR(__xludf.DUMMYFUNCTION("IFERROR(N321+IF(S321&gt;=1.2,1,0)+IF(U321&gt;=1,1,0)+IF(Z321&gt;0,1,0)+IF(AND(W321&gt;=-20,W321&lt;=0),1,0)+IF(IFERROR(GOOGLEFINANCE(A321,""eps""),0)&gt;0,1,0),"""")"),5.0)</f>
        <v>5</v>
      </c>
      <c r="AG321" s="53" t="str">
        <f t="shared" si="17"/>
        <v>REVERSE TRADE</v>
      </c>
    </row>
    <row r="322" ht="15.75" customHeight="1">
      <c r="A322" s="55" t="s">
        <v>489</v>
      </c>
      <c r="B322" s="44">
        <f>IFERROR(__xludf.DUMMYFUNCTION("GOOGLEFINANCE(A322,""price"")"),272.9)</f>
        <v>272.9</v>
      </c>
      <c r="C322" s="45">
        <f>IFERROR(__xludf.DUMMYFUNCTION("AVERAGE(QUERY(SORT(GOOGLEFINANCE(A322,""price"",TODAY()-150,TODAY()),1,0),""select Col2 limit 50""))"),322.94500000000005)</f>
        <v>322.945</v>
      </c>
      <c r="D322" s="45">
        <f>IFERROR(__xludf.DUMMYFUNCTION("AVERAGE(QUERY(SORT(GOOGLEFINANCE(A322,""price"",TODAY()-300,TODAY()),1,0),""select Col2 limit 100""))"),348.00949999999995)</f>
        <v>348.0095</v>
      </c>
      <c r="E322" s="45">
        <f>IFERROR(__xludf.DUMMYFUNCTION("AVERAGE(QUERY(SORT(GOOGLEFINANCE(A322,""price"",TODAY()-500,TODAY()),1,0),""select Col2 limit 200""))"),364.9287499999999)</f>
        <v>364.92875</v>
      </c>
      <c r="F322" s="46" t="str">
        <f t="shared" si="1"/>
        <v>In Bear Run</v>
      </c>
      <c r="G322" s="47">
        <f t="shared" si="2"/>
        <v>-25.21827891</v>
      </c>
      <c r="H322" s="48" t="str">
        <f t="shared" si="3"/>
        <v>Inverted ✗</v>
      </c>
      <c r="I322" s="48">
        <f t="shared" si="4"/>
        <v>0</v>
      </c>
      <c r="J322" s="48">
        <f t="shared" si="5"/>
        <v>0</v>
      </c>
      <c r="K322" s="49" t="str">
        <f>IFERROR(__xludf.DUMMYFUNCTION("IFERROR(IF(A322="""",""ENTER STOCK"",LET(stock,A322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22" s="48">
        <f t="shared" si="6"/>
        <v>0</v>
      </c>
      <c r="M322" s="48">
        <f t="shared" si="7"/>
        <v>1</v>
      </c>
      <c r="N322" s="50">
        <f t="shared" si="8"/>
        <v>1</v>
      </c>
      <c r="P322" s="46" t="str">
        <f t="shared" si="9"/>
        <v>REVERSE TRADE</v>
      </c>
      <c r="Q322" s="52"/>
      <c r="R322" s="53">
        <f t="shared" si="10"/>
        <v>15</v>
      </c>
      <c r="S322" s="53">
        <f>IFERROR(__xludf.DUMMYFUNCTION("IFERROR(ROUND(GOOGLEFINANCE(A322,""volume"")/GOOGLEFINANCE(A322,""volumeavg""),2),"""")"),0.92)</f>
        <v>0.92</v>
      </c>
      <c r="T322" s="53" t="str">
        <f t="shared" si="11"/>
        <v>LOW VOL</v>
      </c>
      <c r="U322" s="53">
        <f>IFERROR(__xludf.DUMMYFUNCTION("IFERROR(
  LET(
    sd, GOOGLEFINANCE(A322,""close"",TODAY()-100,TODAY()),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"""")"),0.07)</f>
        <v>0.07</v>
      </c>
      <c r="V322" s="53" t="str">
        <f t="shared" si="12"/>
        <v>SLOW</v>
      </c>
      <c r="W322" s="53">
        <f>IFERROR(__xludf.DUMMYFUNCTION("IFERROR(ROUND((B322/GOOGLEFINANCE(A322,""high52"")-1)*100,1),"""")"),-37.2)</f>
        <v>-37.2</v>
      </c>
      <c r="X322" s="53">
        <f>IFERROR(__xludf.DUMMYFUNCTION("IFERROR(ROUND((B322-GOOGLEFINANCE(A322,""low52""))/(GOOGLEFINANCE(A322,""high52"")-GOOGLEFINANCE(A322,""low52""))*100,1),"""")"),0.6)</f>
        <v>0.6</v>
      </c>
      <c r="Y322" s="53" t="str">
        <f t="shared" si="13"/>
        <v>MID</v>
      </c>
      <c r="Z322" s="53">
        <f>IFERROR(__xludf.DUMMYFUNCTION("IFERROR(ROUND(((B322 / INDEX(GOOGLEFINANCE(TRIM(A322), ""price"", TODAY()-34, TODAY()), 2, 2)) - (GOOGLEFINANCE(""NIFTY_50"") / INDEX(GOOGLEFINANCE(""NIFTY_50"", ""price"", TODAY()-34, TODAY()), 2, 2))) * 100, 2), ""Check History"")"),-2.67)</f>
        <v>-2.67</v>
      </c>
      <c r="AA322" s="53" t="str">
        <f t="shared" si="14"/>
        <v>WEAK RS</v>
      </c>
      <c r="AB322" s="53">
        <f>IFERROR(__xludf.DUMMYFUNCTION("IFERROR(LET(
  p, QUERY(GOOGLEFINANCE(TRIM(A322),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Loading"")"),37.8)</f>
        <v>37.8</v>
      </c>
      <c r="AC322" s="53" t="str">
        <f t="shared" si="15"/>
        <v>WEAK MOM</v>
      </c>
      <c r="AD322" s="53" t="str">
        <f>IFERROR(__xludf.DUMMYFUNCTION("IFERROR(IF(GOOGLEFINANCE(A322,""eps"")&gt;0,""EPS+"",""EPS-""),"""")"),"EPS+")</f>
        <v>EPS+</v>
      </c>
      <c r="AE322" s="53">
        <f t="shared" si="16"/>
        <v>0</v>
      </c>
      <c r="AF322" s="53">
        <f>IFERROR(__xludf.DUMMYFUNCTION("IFERROR(N322+IF(S322&gt;=1.2,1,0)+IF(U322&gt;=1,1,0)+IF(Z322&gt;0,1,0)+IF(AND(W322&gt;=-20,W322&lt;=0),1,0)+IF(IFERROR(GOOGLEFINANCE(A322,""eps""),0)&gt;0,1,0),"""")"),2.0)</f>
        <v>2</v>
      </c>
      <c r="AG322" s="53" t="str">
        <f t="shared" si="17"/>
        <v>REVERSE TRADE</v>
      </c>
    </row>
    <row r="323" ht="15.75" customHeight="1">
      <c r="A323" s="55" t="s">
        <v>490</v>
      </c>
      <c r="B323" s="44">
        <f>IFERROR(__xludf.DUMMYFUNCTION("GOOGLEFINANCE(A323,""price"")"),357.0)</f>
        <v>357</v>
      </c>
      <c r="C323" s="45">
        <f>IFERROR(__xludf.DUMMYFUNCTION("AVERAGE(QUERY(SORT(GOOGLEFINANCE(A323,""price"",TODAY()-150,TODAY()),1,0),""select Col2 limit 50""))"),407.72000000000014)</f>
        <v>407.72</v>
      </c>
      <c r="D323" s="45">
        <f>IFERROR(__xludf.DUMMYFUNCTION("AVERAGE(QUERY(SORT(GOOGLEFINANCE(A323,""price"",TODAY()-300,TODAY()),1,0),""select Col2 limit 100""))"),453.37800000000004)</f>
        <v>453.378</v>
      </c>
      <c r="E323" s="45">
        <f>IFERROR(__xludf.DUMMYFUNCTION("AVERAGE(QUERY(SORT(GOOGLEFINANCE(A323,""price"",TODAY()-500,TODAY()),1,0),""select Col2 limit 200""))"),523.8577500000004)</f>
        <v>523.85775</v>
      </c>
      <c r="F323" s="46" t="str">
        <f t="shared" si="1"/>
        <v>In Bear Run</v>
      </c>
      <c r="G323" s="47">
        <f t="shared" si="2"/>
        <v>-31.85172883</v>
      </c>
      <c r="H323" s="48" t="str">
        <f t="shared" si="3"/>
        <v>Inverted ✗</v>
      </c>
      <c r="I323" s="48">
        <f t="shared" si="4"/>
        <v>0</v>
      </c>
      <c r="J323" s="48">
        <f t="shared" si="5"/>
        <v>0</v>
      </c>
      <c r="K323" s="49" t="str">
        <f>IFERROR(__xludf.DUMMYFUNCTION("IFERROR(IF(A323="""",""ENTER STOCK"",LET(stock,A323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23" s="48">
        <f t="shared" si="6"/>
        <v>0</v>
      </c>
      <c r="M323" s="48">
        <f t="shared" si="7"/>
        <v>1</v>
      </c>
      <c r="N323" s="50">
        <f t="shared" si="8"/>
        <v>1</v>
      </c>
      <c r="P323" s="46" t="str">
        <f t="shared" si="9"/>
        <v>REVERSE TRADE</v>
      </c>
      <c r="Q323" s="52"/>
      <c r="R323" s="53">
        <f t="shared" si="10"/>
        <v>15</v>
      </c>
      <c r="S323" s="53">
        <f>IFERROR(__xludf.DUMMYFUNCTION("IFERROR(ROUND(GOOGLEFINANCE(A323,""volume"")/GOOGLEFINANCE(A323,""volumeavg""),2),"""")"),1.59)</f>
        <v>1.59</v>
      </c>
      <c r="T323" s="53" t="str">
        <f t="shared" si="11"/>
        <v>HIGH VOL</v>
      </c>
      <c r="U323" s="53">
        <f>IFERROR(__xludf.DUMMYFUNCTION("IFERROR(
  LET(
    sd, GOOGLEFINANCE(A323,""close"",TODAY()-100,TODAY()),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"""")"),1.27)</f>
        <v>1.27</v>
      </c>
      <c r="V323" s="53" t="str">
        <f t="shared" si="12"/>
        <v>FAST</v>
      </c>
      <c r="W323" s="53">
        <f>IFERROR(__xludf.DUMMYFUNCTION("IFERROR(ROUND((B323/GOOGLEFINANCE(A323,""high52"")-1)*100,1),"""")"),-50.2)</f>
        <v>-50.2</v>
      </c>
      <c r="X323" s="53">
        <f>IFERROR(__xludf.DUMMYFUNCTION("IFERROR(ROUND((B323-GOOGLEFINANCE(A323,""low52""))/(GOOGLEFINANCE(A323,""high52"")-GOOGLEFINANCE(A323,""low52""))*100,1),"""")"),1.4)</f>
        <v>1.4</v>
      </c>
      <c r="Y323" s="53" t="str">
        <f t="shared" si="13"/>
        <v>DEEP RECOVERY</v>
      </c>
      <c r="Z323" s="53">
        <f>IFERROR(__xludf.DUMMYFUNCTION("IFERROR(ROUND(((B323 / INDEX(GOOGLEFINANCE(TRIM(A323), ""price"", TODAY()-34, TODAY()), 2, 2)) - (GOOGLEFINANCE(""NIFTY_50"") / INDEX(GOOGLEFINANCE(""NIFTY_50"", ""price"", TODAY()-34, TODAY()), 2, 2))) * 100, 2), ""Check History"")"),-2.77)</f>
        <v>-2.77</v>
      </c>
      <c r="AA323" s="53" t="str">
        <f t="shared" si="14"/>
        <v>WEAK RS</v>
      </c>
      <c r="AB323" s="53">
        <f>IFERROR(__xludf.DUMMYFUNCTION("IFERROR(LET(
  p, QUERY(GOOGLEFINANCE(TRIM(A323),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Loading"")"),43.1)</f>
        <v>43.1</v>
      </c>
      <c r="AC323" s="53" t="str">
        <f t="shared" si="15"/>
        <v>WEAK MOM</v>
      </c>
      <c r="AD323" s="53" t="str">
        <f>IFERROR(__xludf.DUMMYFUNCTION("IFERROR(IF(GOOGLEFINANCE(A323,""eps"")&gt;0,""EPS+"",""EPS-""),"""")"),"EPS+")</f>
        <v>EPS+</v>
      </c>
      <c r="AE323" s="53">
        <f t="shared" si="16"/>
        <v>6</v>
      </c>
      <c r="AF323" s="53">
        <f>IFERROR(__xludf.DUMMYFUNCTION("IFERROR(N323+IF(S323&gt;=1.2,1,0)+IF(U323&gt;=1,1,0)+IF(Z323&gt;0,1,0)+IF(AND(W323&gt;=-20,W323&lt;=0),1,0)+IF(IFERROR(GOOGLEFINANCE(A323,""eps""),0)&gt;0,1,0),"""")"),4.0)</f>
        <v>4</v>
      </c>
      <c r="AG323" s="53" t="str">
        <f t="shared" si="17"/>
        <v>REVERSE TRADE</v>
      </c>
    </row>
    <row r="324" ht="15.75" customHeight="1">
      <c r="A324" s="55" t="s">
        <v>491</v>
      </c>
      <c r="B324" s="44">
        <f>IFERROR(__xludf.DUMMYFUNCTION("GOOGLEFINANCE(A324,""price"")"),465.0)</f>
        <v>465</v>
      </c>
      <c r="C324" s="45">
        <f>IFERROR(__xludf.DUMMYFUNCTION("AVERAGE(QUERY(SORT(GOOGLEFINANCE(A324,""price"",TODAY()-150,TODAY()),1,0),""select Col2 limit 50""))"),484.54199999999975)</f>
        <v>484.542</v>
      </c>
      <c r="D324" s="45">
        <f>IFERROR(__xludf.DUMMYFUNCTION("AVERAGE(QUERY(SORT(GOOGLEFINANCE(A324,""price"",TODAY()-300,TODAY()),1,0),""select Col2 limit 100""))"),483.76000000000005)</f>
        <v>483.76</v>
      </c>
      <c r="E324" s="45">
        <f>IFERROR(__xludf.DUMMYFUNCTION("AVERAGE(QUERY(SORT(GOOGLEFINANCE(A324,""price"",TODAY()-500,TODAY()),1,0),""select Col2 limit 200""))"),497.92075000000017)</f>
        <v>497.92075</v>
      </c>
      <c r="F324" s="46" t="str">
        <f t="shared" si="1"/>
        <v>In Bear Run</v>
      </c>
      <c r="G324" s="47">
        <f t="shared" si="2"/>
        <v>-6.611644524</v>
      </c>
      <c r="H324" s="48" t="str">
        <f t="shared" si="3"/>
        <v>Inverted ✗</v>
      </c>
      <c r="I324" s="48">
        <f t="shared" si="4"/>
        <v>0</v>
      </c>
      <c r="J324" s="48">
        <f t="shared" si="5"/>
        <v>0</v>
      </c>
      <c r="K324" s="49" t="str">
        <f>IFERROR(__xludf.DUMMYFUNCTION("IFERROR(IF(A324="""",""ENTER STOCK"",LET(stock,A324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24" s="48">
        <f t="shared" si="6"/>
        <v>0</v>
      </c>
      <c r="M324" s="48">
        <f t="shared" si="7"/>
        <v>1</v>
      </c>
      <c r="N324" s="50">
        <f t="shared" si="8"/>
        <v>1</v>
      </c>
      <c r="P324" s="46" t="str">
        <f t="shared" si="9"/>
        <v>REVERSE TRADE</v>
      </c>
      <c r="Q324" s="52"/>
      <c r="R324" s="53">
        <f t="shared" si="10"/>
        <v>15</v>
      </c>
      <c r="S324" s="53">
        <f>IFERROR(__xludf.DUMMYFUNCTION("IFERROR(ROUND(GOOGLEFINANCE(A324,""volume"")/GOOGLEFINANCE(A324,""volumeavg""),2),"""")"),1.19)</f>
        <v>1.19</v>
      </c>
      <c r="T324" s="53" t="str">
        <f t="shared" si="11"/>
        <v>LOW VOL</v>
      </c>
      <c r="U324" s="53">
        <f>IFERROR(__xludf.DUMMYFUNCTION("IFERROR(
  LET(
    sd, GOOGLEFINANCE(A324,""close"",TODAY()-100,TODAY()),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"""")"),1.73)</f>
        <v>1.73</v>
      </c>
      <c r="V324" s="53" t="str">
        <f t="shared" si="12"/>
        <v>FAST</v>
      </c>
      <c r="W324" s="53">
        <f>IFERROR(__xludf.DUMMYFUNCTION("IFERROR(ROUND((B324/GOOGLEFINANCE(A324,""high52"")-1)*100,1),"""")"),-23.6)</f>
        <v>-23.6</v>
      </c>
      <c r="X324" s="53">
        <f>IFERROR(__xludf.DUMMYFUNCTION("IFERROR(ROUND((B324-GOOGLEFINANCE(A324,""low52""))/(GOOGLEFINANCE(A324,""high52"")-GOOGLEFINANCE(A324,""low52""))*100,1),"""")"),30.9)</f>
        <v>30.9</v>
      </c>
      <c r="Y324" s="53" t="str">
        <f t="shared" si="13"/>
        <v>MID</v>
      </c>
      <c r="Z324" s="53">
        <f>IFERROR(__xludf.DUMMYFUNCTION("IFERROR(ROUND(((B324 / INDEX(GOOGLEFINANCE(TRIM(A324), ""price"", TODAY()-34, TODAY()), 2, 2)) - (GOOGLEFINANCE(""NIFTY_50"") / INDEX(GOOGLEFINANCE(""NIFTY_50"", ""price"", TODAY()-34, TODAY()), 2, 2))) * 100, 2), ""Check History"")"),-1.83)</f>
        <v>-1.83</v>
      </c>
      <c r="AA324" s="53" t="str">
        <f t="shared" si="14"/>
        <v>WEAK RS</v>
      </c>
      <c r="AB324" s="53">
        <f>IFERROR(__xludf.DUMMYFUNCTION("IFERROR(LET(
  p, QUERY(GOOGLEFINANCE(TRIM(A324),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Loading"")"),43.4)</f>
        <v>43.4</v>
      </c>
      <c r="AC324" s="53" t="str">
        <f t="shared" si="15"/>
        <v>WEAK MOM</v>
      </c>
      <c r="AD324" s="53" t="str">
        <f>IFERROR(__xludf.DUMMYFUNCTION("IFERROR(IF(GOOGLEFINANCE(A324,""eps"")&gt;0,""EPS+"",""EPS-""),"""")"),"EPS+")</f>
        <v>EPS+</v>
      </c>
      <c r="AE324" s="53">
        <f t="shared" si="16"/>
        <v>4</v>
      </c>
      <c r="AF324" s="53">
        <f>IFERROR(__xludf.DUMMYFUNCTION("IFERROR(N324+IF(S324&gt;=1.2,1,0)+IF(U324&gt;=1,1,0)+IF(Z324&gt;0,1,0)+IF(AND(W324&gt;=-20,W324&lt;=0),1,0)+IF(IFERROR(GOOGLEFINANCE(A324,""eps""),0)&gt;0,1,0),"""")"),3.0)</f>
        <v>3</v>
      </c>
      <c r="AG324" s="53" t="str">
        <f t="shared" si="17"/>
        <v>REVERSE TRADE</v>
      </c>
    </row>
    <row r="325" ht="15.75" customHeight="1">
      <c r="A325" s="55" t="s">
        <v>492</v>
      </c>
      <c r="B325" s="44">
        <f>IFERROR(__xludf.DUMMYFUNCTION("GOOGLEFINANCE(A325,""price"")"),391.75)</f>
        <v>391.75</v>
      </c>
      <c r="C325" s="45">
        <f>IFERROR(__xludf.DUMMYFUNCTION("AVERAGE(QUERY(SORT(GOOGLEFINANCE(A325,""price"",TODAY()-150,TODAY()),1,0),""select Col2 limit 50""))"),465.7710000000001)</f>
        <v>465.771</v>
      </c>
      <c r="D325" s="45">
        <f>IFERROR(__xludf.DUMMYFUNCTION("AVERAGE(QUERY(SORT(GOOGLEFINANCE(A325,""price"",TODAY()-300,TODAY()),1,0),""select Col2 limit 100""))"),494.535)</f>
        <v>494.535</v>
      </c>
      <c r="E325" s="45">
        <f>IFERROR(__xludf.DUMMYFUNCTION("AVERAGE(QUERY(SORT(GOOGLEFINANCE(A325,""price"",TODAY()-500,TODAY()),1,0),""select Col2 limit 200""))"),534.8227499999998)</f>
        <v>534.82275</v>
      </c>
      <c r="F325" s="46" t="str">
        <f t="shared" si="1"/>
        <v>In Bear Run</v>
      </c>
      <c r="G325" s="47">
        <f t="shared" si="2"/>
        <v>-26.75143307</v>
      </c>
      <c r="H325" s="48" t="str">
        <f t="shared" si="3"/>
        <v>Inverted ✗</v>
      </c>
      <c r="I325" s="48">
        <f t="shared" si="4"/>
        <v>0</v>
      </c>
      <c r="J325" s="48">
        <f t="shared" si="5"/>
        <v>0</v>
      </c>
      <c r="K325" s="49" t="str">
        <f>IFERROR(__xludf.DUMMYFUNCTION("IFERROR(IF(A325="""",""ENTER STOCK"",LET(stock,A325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25" s="48">
        <f t="shared" si="6"/>
        <v>0</v>
      </c>
      <c r="M325" s="48">
        <f t="shared" si="7"/>
        <v>1</v>
      </c>
      <c r="N325" s="50">
        <f t="shared" si="8"/>
        <v>1</v>
      </c>
      <c r="P325" s="46" t="str">
        <f t="shared" si="9"/>
        <v>REVERSE TRADE</v>
      </c>
      <c r="Q325" s="52"/>
      <c r="R325" s="53">
        <f t="shared" si="10"/>
        <v>15</v>
      </c>
      <c r="S325" s="53">
        <f>IFERROR(__xludf.DUMMYFUNCTION("IFERROR(ROUND(GOOGLEFINANCE(A325,""volume"")/GOOGLEFINANCE(A325,""volumeavg""),2),"""")"),0.88)</f>
        <v>0.88</v>
      </c>
      <c r="T325" s="53" t="str">
        <f t="shared" si="11"/>
        <v>LOW VOL</v>
      </c>
      <c r="U325" s="53">
        <f>IFERROR(__xludf.DUMMYFUNCTION("IFERROR(
  LET(
    sd, GOOGLEFINANCE(A325,""close"",TODAY()-100,TODAY()),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"""")"),0.68)</f>
        <v>0.68</v>
      </c>
      <c r="V325" s="53" t="str">
        <f t="shared" si="12"/>
        <v>SLOW</v>
      </c>
      <c r="W325" s="53">
        <f>IFERROR(__xludf.DUMMYFUNCTION("IFERROR(ROUND((B325/GOOGLEFINANCE(A325,""high52"")-1)*100,1),"""")"),-40.0)</f>
        <v>-40</v>
      </c>
      <c r="X325" s="53">
        <f>IFERROR(__xludf.DUMMYFUNCTION("IFERROR(ROUND((B325-GOOGLEFINANCE(A325,""low52""))/(GOOGLEFINANCE(A325,""high52"")-GOOGLEFINANCE(A325,""low52""))*100,1),"""")"),2.2)</f>
        <v>2.2</v>
      </c>
      <c r="Y325" s="53" t="str">
        <f t="shared" si="13"/>
        <v>MID</v>
      </c>
      <c r="Z325" s="53">
        <f>IFERROR(__xludf.DUMMYFUNCTION("IFERROR(ROUND(((B325 / INDEX(GOOGLEFINANCE(TRIM(A325), ""price"", TODAY()-34, TODAY()), 2, 2)) - (GOOGLEFINANCE(""NIFTY_50"") / INDEX(GOOGLEFINANCE(""NIFTY_50"", ""price"", TODAY()-34, TODAY()), 2, 2))) * 100, 2), ""Check History"")"),-5.31)</f>
        <v>-5.31</v>
      </c>
      <c r="AA325" s="53" t="str">
        <f t="shared" si="14"/>
        <v>WEAK RS</v>
      </c>
      <c r="AB325" s="53">
        <f>IFERROR(__xludf.DUMMYFUNCTION("IFERROR(LET(
  p, QUERY(GOOGLEFINANCE(TRIM(A325),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Loading"")"),33.0)</f>
        <v>33</v>
      </c>
      <c r="AC325" s="53" t="str">
        <f t="shared" si="15"/>
        <v>WEAK MOM</v>
      </c>
      <c r="AD325" s="53" t="str">
        <f>IFERROR(__xludf.DUMMYFUNCTION("IFERROR(IF(GOOGLEFINANCE(A325,""eps"")&gt;0,""EPS+"",""EPS-""),"""")"),"EPS+")</f>
        <v>EPS+</v>
      </c>
      <c r="AE325" s="53">
        <f t="shared" si="16"/>
        <v>1</v>
      </c>
      <c r="AF325" s="53">
        <f>IFERROR(__xludf.DUMMYFUNCTION("IFERROR(N325+IF(S325&gt;=1.2,1,0)+IF(U325&gt;=1,1,0)+IF(Z325&gt;0,1,0)+IF(AND(W325&gt;=-20,W325&lt;=0),1,0)+IF(IFERROR(GOOGLEFINANCE(A325,""eps""),0)&gt;0,1,0),"""")"),2.0)</f>
        <v>2</v>
      </c>
      <c r="AG325" s="53" t="str">
        <f t="shared" si="17"/>
        <v>REVERSE TRADE</v>
      </c>
    </row>
    <row r="326" ht="15.75" customHeight="1">
      <c r="A326" s="55" t="s">
        <v>493</v>
      </c>
      <c r="B326" s="44">
        <f>IFERROR(__xludf.DUMMYFUNCTION("GOOGLEFINANCE(A326,""price"")"),1594.0)</f>
        <v>1594</v>
      </c>
      <c r="C326" s="45">
        <f>IFERROR(__xludf.DUMMYFUNCTION("AVERAGE(QUERY(SORT(GOOGLEFINANCE(A326,""price"",TODAY()-150,TODAY()),1,0),""select Col2 limit 50""))"),1498.9140000000002)</f>
        <v>1498.914</v>
      </c>
      <c r="D326" s="45">
        <f>IFERROR(__xludf.DUMMYFUNCTION("AVERAGE(QUERY(SORT(GOOGLEFINANCE(A326,""price"",TODAY()-300,TODAY()),1,0),""select Col2 limit 100""))"),1451.2910000000004)</f>
        <v>1451.291</v>
      </c>
      <c r="E326" s="45">
        <f>IFERROR(__xludf.DUMMYFUNCTION("AVERAGE(QUERY(SORT(GOOGLEFINANCE(A326,""price"",TODAY()-500,TODAY()),1,0),""select Col2 limit 200""))"),1407.9995000000008)</f>
        <v>1407.9995</v>
      </c>
      <c r="F326" s="46" t="str">
        <f t="shared" si="1"/>
        <v>In Bull Run</v>
      </c>
      <c r="G326" s="47">
        <f t="shared" si="2"/>
        <v>13.21026748</v>
      </c>
      <c r="H326" s="48" t="str">
        <f t="shared" si="3"/>
        <v>Golden ✓</v>
      </c>
      <c r="I326" s="48">
        <f t="shared" si="4"/>
        <v>3</v>
      </c>
      <c r="J326" s="48">
        <f t="shared" si="5"/>
        <v>0</v>
      </c>
      <c r="K326" s="49" t="str">
        <f>IFERROR(__xludf.DUMMYFUNCTION("IFERROR(IF(A326="""",""ENTER STOCK"",LET(stock,A326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FOUND"")"),"Short History")</f>
        <v>Short History</v>
      </c>
      <c r="L326" s="48">
        <f t="shared" si="6"/>
        <v>0</v>
      </c>
      <c r="M326" s="48">
        <f t="shared" si="7"/>
        <v>1</v>
      </c>
      <c r="N326" s="50">
        <f t="shared" si="8"/>
        <v>4</v>
      </c>
      <c r="P326" s="46" t="str">
        <f t="shared" si="9"/>
        <v>SKIP</v>
      </c>
      <c r="Q326" s="52"/>
      <c r="R326" s="53">
        <f t="shared" si="10"/>
        <v>15</v>
      </c>
      <c r="S326" s="53">
        <f>IFERROR(__xludf.DUMMYFUNCTION("IFERROR(ROUND(GOOGLEFINANCE(A326,""volume"")/GOOGLEFINANCE(A326,""volumeavg""),2),"""")"),0.94)</f>
        <v>0.94</v>
      </c>
      <c r="T326" s="53" t="str">
        <f t="shared" si="11"/>
        <v>LOW VOL</v>
      </c>
      <c r="U326" s="53">
        <f>IFERROR(__xludf.DUMMYFUNCTION("IFERROR(
  LET(
    sd, GOOGLEFINANCE(A326,""close"",TODAY()-100,TODAY()),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"""")"),0.05)</f>
        <v>0.05</v>
      </c>
      <c r="V326" s="53" t="str">
        <f t="shared" si="12"/>
        <v>SLOW</v>
      </c>
      <c r="W326" s="53">
        <f>IFERROR(__xludf.DUMMYFUNCTION("IFERROR(ROUND((B326/GOOGLEFINANCE(A326,""high52"")-1)*100,1),"""")"),-4.7)</f>
        <v>-4.7</v>
      </c>
      <c r="X326" s="53">
        <f>IFERROR(__xludf.DUMMYFUNCTION("IFERROR(ROUND((B326-GOOGLEFINANCE(A326,""low52""))/(GOOGLEFINANCE(A326,""high52"")-GOOGLEFINANCE(A326,""low52""))*100,1),"""")"),90.1)</f>
        <v>90.1</v>
      </c>
      <c r="Y326" s="53" t="str">
        <f t="shared" si="13"/>
        <v>AT HIGH</v>
      </c>
      <c r="Z326" s="53">
        <f>IFERROR(__xludf.DUMMYFUNCTION("IFERROR(ROUND(((B326 / INDEX(GOOGLEFINANCE(TRIM(A326), ""price"", TODAY()-34, TODAY()), 2, 2)) - (GOOGLEFINANCE(""NIFTY_50"") / INDEX(GOOGLEFINANCE(""NIFTY_50"", ""price"", TODAY()-34, TODAY()), 2, 2))) * 100, 2), ""Check History"")"),23.29)</f>
        <v>23.29</v>
      </c>
      <c r="AA326" s="53" t="str">
        <f t="shared" si="14"/>
        <v>STRONG RS</v>
      </c>
      <c r="AB326" s="53">
        <f>IFERROR(__xludf.DUMMYFUNCTION("IFERROR(LET(
  p, QUERY(GOOGLEFINANCE(TRIM(A326),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Loading"")"),49.2)</f>
        <v>49.2</v>
      </c>
      <c r="AC326" s="53" t="str">
        <f t="shared" si="15"/>
        <v>IDEAL ENTRY</v>
      </c>
      <c r="AD326" s="53" t="str">
        <f>IFERROR(__xludf.DUMMYFUNCTION("IFERROR(IF(GOOGLEFINANCE(A326,""eps"")&gt;0,""EPS+"",""EPS-""),"""")"),"EPS+")</f>
        <v>EPS+</v>
      </c>
      <c r="AE326" s="53">
        <f t="shared" si="16"/>
        <v>4</v>
      </c>
      <c r="AF326" s="53">
        <f>IFERROR(__xludf.DUMMYFUNCTION("IFERROR(N326+IF(S326&gt;=1.2,1,0)+IF(U326&gt;=1,1,0)+IF(Z326&gt;0,1,0)+IF(AND(W326&gt;=-20,W326&lt;=0),1,0)+IF(IFERROR(GOOGLEFINANCE(A326,""eps""),0)&gt;0,1,0),"""")"),7.0)</f>
        <v>7</v>
      </c>
      <c r="AG326" s="53" t="str">
        <f t="shared" si="17"/>
        <v>WATCH</v>
      </c>
    </row>
    <row r="327" ht="15.75" customHeight="1">
      <c r="A327" s="55" t="s">
        <v>494</v>
      </c>
      <c r="B327" s="44">
        <f>IFERROR(__xludf.DUMMYFUNCTION("GOOGLEFINANCE(A327,""price"")"),182.94)</f>
        <v>182.94</v>
      </c>
      <c r="C327" s="45">
        <f>IFERROR(__xludf.DUMMYFUNCTION("AVERAGE(QUERY(SORT(GOOGLEFINANCE(A327,""price"",TODAY()-150,TODAY()),1,0),""select Col2 limit 50""))"),192.53839999999997)</f>
        <v>192.5384</v>
      </c>
      <c r="D327" s="45">
        <f>IFERROR(__xludf.DUMMYFUNCTION("AVERAGE(QUERY(SORT(GOOGLEFINANCE(A327,""price"",TODAY()-300,TODAY()),1,0),""select Col2 limit 100""))"),195.40239999999997)</f>
        <v>195.4024</v>
      </c>
      <c r="E327" s="45">
        <f>IFERROR(__xludf.DUMMYFUNCTION("AVERAGE(QUERY(SORT(GOOGLEFINANCE(A327,""price"",TODAY()-500,TODAY()),1,0),""select Col2 limit 200""))"),204.57860000000008)</f>
        <v>204.5786</v>
      </c>
      <c r="F327" s="46" t="str">
        <f t="shared" si="1"/>
        <v>In Bear Run</v>
      </c>
      <c r="G327" s="47">
        <f t="shared" si="2"/>
        <v>-10.57715714</v>
      </c>
      <c r="H327" s="48" t="str">
        <f t="shared" si="3"/>
        <v>Inverted ✗</v>
      </c>
      <c r="I327" s="48">
        <f t="shared" si="4"/>
        <v>0</v>
      </c>
      <c r="J327" s="48">
        <f t="shared" si="5"/>
        <v>0</v>
      </c>
      <c r="K327" s="49" t="str">
        <f>IFERROR(__xludf.DUMMYFUNCTION("IFERROR(IF(A327="""",""ENTER STOCK"",LET(stock,A327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27" s="48">
        <f t="shared" si="6"/>
        <v>0</v>
      </c>
      <c r="M327" s="48">
        <f t="shared" si="7"/>
        <v>1</v>
      </c>
      <c r="N327" s="50">
        <f t="shared" si="8"/>
        <v>1</v>
      </c>
      <c r="P327" s="46" t="str">
        <f t="shared" si="9"/>
        <v>REVERSE TRADE</v>
      </c>
      <c r="Q327" s="52"/>
      <c r="R327" s="53">
        <f t="shared" si="10"/>
        <v>15</v>
      </c>
      <c r="S327" s="53">
        <f>IFERROR(__xludf.DUMMYFUNCTION("IFERROR(ROUND(GOOGLEFINANCE(A327,""volume"")/GOOGLEFINANCE(A327,""volumeavg""),2),"""")"),0.22)</f>
        <v>0.22</v>
      </c>
      <c r="T327" s="53" t="str">
        <f t="shared" si="11"/>
        <v>LOW VOL</v>
      </c>
      <c r="U327" s="53">
        <f>IFERROR(__xludf.DUMMYFUNCTION("IFERROR(
  LET(
    sd, GOOGLEFINANCE(A327,""close"",TODAY()-100,TODAY()),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"""")"),0.41)</f>
        <v>0.41</v>
      </c>
      <c r="V327" s="53" t="str">
        <f t="shared" si="12"/>
        <v>SLOW</v>
      </c>
      <c r="W327" s="53">
        <f>IFERROR(__xludf.DUMMYFUNCTION("IFERROR(ROUND((B327/GOOGLEFINANCE(A327,""high52"")-1)*100,1),"""")"),-28.4)</f>
        <v>-28.4</v>
      </c>
      <c r="X327" s="53">
        <f>IFERROR(__xludf.DUMMYFUNCTION("IFERROR(ROUND((B327-GOOGLEFINANCE(A327,""low52""))/(GOOGLEFINANCE(A327,""high52"")-GOOGLEFINANCE(A327,""low52""))*100,1),"""")"),32.0)</f>
        <v>32</v>
      </c>
      <c r="Y327" s="53" t="str">
        <f t="shared" si="13"/>
        <v>MID</v>
      </c>
      <c r="Z327" s="53">
        <f>IFERROR(__xludf.DUMMYFUNCTION("IFERROR(ROUND(((B327 / INDEX(GOOGLEFINANCE(TRIM(A327), ""price"", TODAY()-34, TODAY()), 2, 2)) - (GOOGLEFINANCE(""NIFTY_50"") / INDEX(GOOGLEFINANCE(""NIFTY_50"", ""price"", TODAY()-34, TODAY()), 2, 2))) * 100, 2), ""Check History"")"),-3.05)</f>
        <v>-3.05</v>
      </c>
      <c r="AA327" s="53" t="str">
        <f t="shared" si="14"/>
        <v>WEAK RS</v>
      </c>
      <c r="AB327" s="53">
        <f>IFERROR(__xludf.DUMMYFUNCTION("IFERROR(LET(
  p, QUERY(GOOGLEFINANCE(TRIM(A327),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Loading"")"),41.2)</f>
        <v>41.2</v>
      </c>
      <c r="AC327" s="53" t="str">
        <f t="shared" si="15"/>
        <v>WEAK MOM</v>
      </c>
      <c r="AD327" s="53" t="str">
        <f>IFERROR(__xludf.DUMMYFUNCTION("IFERROR(IF(GOOGLEFINANCE(A327,""eps"")&gt;0,""EPS+"",""EPS-""),"""")"),"EPS+")</f>
        <v>EPS+</v>
      </c>
      <c r="AE327" s="53">
        <f t="shared" si="16"/>
        <v>0</v>
      </c>
      <c r="AF327" s="53">
        <f>IFERROR(__xludf.DUMMYFUNCTION("IFERROR(N327+IF(S327&gt;=1.2,1,0)+IF(U327&gt;=1,1,0)+IF(Z327&gt;0,1,0)+IF(AND(W327&gt;=-20,W327&lt;=0),1,0)+IF(IFERROR(GOOGLEFINANCE(A327,""eps""),0)&gt;0,1,0),"""")"),2.0)</f>
        <v>2</v>
      </c>
      <c r="AG327" s="53" t="str">
        <f t="shared" si="17"/>
        <v>REVERSE TRADE</v>
      </c>
    </row>
    <row r="328" ht="15.75" customHeight="1">
      <c r="A328" s="55" t="s">
        <v>495</v>
      </c>
      <c r="B328" s="44">
        <f>IFERROR(__xludf.DUMMYFUNCTION("GOOGLEFINANCE(A328,""price"")"),1296.0)</f>
        <v>1296</v>
      </c>
      <c r="C328" s="45">
        <f>IFERROR(__xludf.DUMMYFUNCTION("AVERAGE(QUERY(SORT(GOOGLEFINANCE(A328,""price"",TODAY()-150,TODAY()),1,0),""select Col2 limit 50""))"),1369.8099999999995)</f>
        <v>1369.81</v>
      </c>
      <c r="D328" s="45">
        <f>IFERROR(__xludf.DUMMYFUNCTION("AVERAGE(QUERY(SORT(GOOGLEFINANCE(A328,""price"",TODAY()-300,TODAY()),1,0),""select Col2 limit 100""))"),1470.282)</f>
        <v>1470.282</v>
      </c>
      <c r="E328" s="45">
        <f>IFERROR(__xludf.DUMMYFUNCTION("AVERAGE(QUERY(SORT(GOOGLEFINANCE(A328,""price"",TODAY()-500,TODAY()),1,0),""select Col2 limit 200""))"),1583.3334999999995)</f>
        <v>1583.3335</v>
      </c>
      <c r="F328" s="46" t="str">
        <f t="shared" si="1"/>
        <v>In Bear Run</v>
      </c>
      <c r="G328" s="47">
        <f t="shared" si="2"/>
        <v>-18.14737704</v>
      </c>
      <c r="H328" s="48" t="str">
        <f t="shared" si="3"/>
        <v>Inverted ✗</v>
      </c>
      <c r="I328" s="48">
        <f t="shared" si="4"/>
        <v>0</v>
      </c>
      <c r="J328" s="48">
        <f t="shared" si="5"/>
        <v>0</v>
      </c>
      <c r="K328" s="49" t="str">
        <f>IFERROR(__xludf.DUMMYFUNCTION("IFERROR(IF(A328="""",""ENTER STOCK"",LET(stock,A328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28" s="48">
        <f t="shared" si="6"/>
        <v>0</v>
      </c>
      <c r="M328" s="48">
        <f t="shared" si="7"/>
        <v>1</v>
      </c>
      <c r="N328" s="50">
        <f t="shared" si="8"/>
        <v>1</v>
      </c>
      <c r="P328" s="46" t="str">
        <f t="shared" si="9"/>
        <v>REVERSE TRADE</v>
      </c>
      <c r="Q328" s="52"/>
      <c r="R328" s="53">
        <f t="shared" si="10"/>
        <v>15</v>
      </c>
      <c r="S328" s="53">
        <f>IFERROR(__xludf.DUMMYFUNCTION("IFERROR(ROUND(GOOGLEFINANCE(A328,""volume"")/GOOGLEFINANCE(A328,""volumeavg""),2),"""")"),2.33)</f>
        <v>2.33</v>
      </c>
      <c r="T328" s="53" t="str">
        <f t="shared" si="11"/>
        <v>HIGH VOL</v>
      </c>
      <c r="U328" s="53">
        <f>IFERROR(__xludf.DUMMYFUNCTION("IFERROR(
  LET(
    sd, GOOGLEFINANCE(A328,""close"",TODAY()-100,TODAY()),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"""")"),0.75)</f>
        <v>0.75</v>
      </c>
      <c r="V328" s="53" t="str">
        <f t="shared" si="12"/>
        <v>SLOW</v>
      </c>
      <c r="W328" s="53">
        <f>IFERROR(__xludf.DUMMYFUNCTION("IFERROR(ROUND((B328/GOOGLEFINANCE(A328,""high52"")-1)*100,1),"""")"),-32.1)</f>
        <v>-32.1</v>
      </c>
      <c r="X328" s="53">
        <f>IFERROR(__xludf.DUMMYFUNCTION("IFERROR(ROUND((B328-GOOGLEFINANCE(A328,""low52""))/(GOOGLEFINANCE(A328,""high52"")-GOOGLEFINANCE(A328,""low52""))*100,1),"""")"),24.5)</f>
        <v>24.5</v>
      </c>
      <c r="Y328" s="53" t="str">
        <f t="shared" si="13"/>
        <v>MID</v>
      </c>
      <c r="Z328" s="53">
        <f>IFERROR(__xludf.DUMMYFUNCTION("IFERROR(ROUND(((B328 / INDEX(GOOGLEFINANCE(TRIM(A328), ""price"", TODAY()-34, TODAY()), 2, 2)) - (GOOGLEFINANCE(""NIFTY_50"") / INDEX(GOOGLEFINANCE(""NIFTY_50"", ""price"", TODAY()-34, TODAY()), 2, 2))) * 100, 2), ""Check History"")"),5.77)</f>
        <v>5.77</v>
      </c>
      <c r="AA328" s="53" t="str">
        <f t="shared" si="14"/>
        <v>STRONG RS</v>
      </c>
      <c r="AB328" s="53">
        <f>IFERROR(__xludf.DUMMYFUNCTION("IFERROR(LET(
  p, QUERY(GOOGLEFINANCE(TRIM(A328),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Loading"")"),51.5)</f>
        <v>51.5</v>
      </c>
      <c r="AC328" s="53" t="str">
        <f t="shared" si="15"/>
        <v>IDEAL ENTRY</v>
      </c>
      <c r="AD328" s="53" t="str">
        <f>IFERROR(__xludf.DUMMYFUNCTION("IFERROR(IF(GOOGLEFINANCE(A328,""eps"")&gt;0,""EPS+"",""EPS-""),"""")"),"EPS+")</f>
        <v>EPS+</v>
      </c>
      <c r="AE328" s="53">
        <f t="shared" si="16"/>
        <v>6</v>
      </c>
      <c r="AF328" s="53">
        <f>IFERROR(__xludf.DUMMYFUNCTION("IFERROR(N328+IF(S328&gt;=1.2,1,0)+IF(U328&gt;=1,1,0)+IF(Z328&gt;0,1,0)+IF(AND(W328&gt;=-20,W328&lt;=0),1,0)+IF(IFERROR(GOOGLEFINANCE(A328,""eps""),0)&gt;0,1,0),"""")"),4.0)</f>
        <v>4</v>
      </c>
      <c r="AG328" s="53" t="str">
        <f t="shared" si="17"/>
        <v>REVERSE TRADE</v>
      </c>
    </row>
    <row r="329" ht="15.75" customHeight="1">
      <c r="A329" s="55" t="s">
        <v>496</v>
      </c>
      <c r="B329" s="44">
        <f>IFERROR(__xludf.DUMMYFUNCTION("GOOGLEFINANCE(A329,""price"")"),774.0)</f>
        <v>774</v>
      </c>
      <c r="C329" s="45">
        <f>IFERROR(__xludf.DUMMYFUNCTION("AVERAGE(QUERY(SORT(GOOGLEFINANCE(A329,""price"",TODAY()-150,TODAY()),1,0),""select Col2 limit 50""))"),812.4720000000002)</f>
        <v>812.472</v>
      </c>
      <c r="D329" s="45">
        <f>IFERROR(__xludf.DUMMYFUNCTION("AVERAGE(QUERY(SORT(GOOGLEFINANCE(A329,""price"",TODAY()-300,TODAY()),1,0),""select Col2 limit 100""))"),788.9549999999998)</f>
        <v>788.955</v>
      </c>
      <c r="E329" s="45">
        <f>IFERROR(__xludf.DUMMYFUNCTION("AVERAGE(QUERY(SORT(GOOGLEFINANCE(A329,""price"",TODAY()-500,TODAY()),1,0),""select Col2 limit 200""))"),831.3872500000002)</f>
        <v>831.38725</v>
      </c>
      <c r="F329" s="46" t="str">
        <f t="shared" si="1"/>
        <v>In Bear Run</v>
      </c>
      <c r="G329" s="47">
        <f t="shared" si="2"/>
        <v>-6.902589618</v>
      </c>
      <c r="H329" s="48" t="str">
        <f t="shared" si="3"/>
        <v>Inverted ✗</v>
      </c>
      <c r="I329" s="48">
        <f t="shared" si="4"/>
        <v>0</v>
      </c>
      <c r="J329" s="48">
        <f t="shared" si="5"/>
        <v>0</v>
      </c>
      <c r="K329" s="49" t="str">
        <f>IFERROR(__xludf.DUMMYFUNCTION("IFERROR(IF(A329="""",""ENTER STOCK"",LET(stock,A329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29" s="48">
        <f t="shared" si="6"/>
        <v>0</v>
      </c>
      <c r="M329" s="48">
        <f t="shared" si="7"/>
        <v>1</v>
      </c>
      <c r="N329" s="50">
        <f t="shared" si="8"/>
        <v>1</v>
      </c>
      <c r="P329" s="46" t="str">
        <f t="shared" si="9"/>
        <v>REVERSE TRADE</v>
      </c>
      <c r="Q329" s="52"/>
      <c r="R329" s="53">
        <f t="shared" si="10"/>
        <v>15</v>
      </c>
      <c r="S329" s="53">
        <f>IFERROR(__xludf.DUMMYFUNCTION("IFERROR(ROUND(GOOGLEFINANCE(A329,""volume"")/GOOGLEFINANCE(A329,""volumeavg""),2),"""")"),0.76)</f>
        <v>0.76</v>
      </c>
      <c r="T329" s="53" t="str">
        <f t="shared" si="11"/>
        <v>LOW VOL</v>
      </c>
      <c r="U329" s="53">
        <f>IFERROR(__xludf.DUMMYFUNCTION("IFERROR(
  LET(
    sd, GOOGLEFINANCE(A329,""close"",TODAY()-100,TODAY()),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"""")"),0.41)</f>
        <v>0.41</v>
      </c>
      <c r="V329" s="53" t="str">
        <f t="shared" si="12"/>
        <v>SLOW</v>
      </c>
      <c r="W329" s="53">
        <f>IFERROR(__xludf.DUMMYFUNCTION("IFERROR(ROUND((B329/GOOGLEFINANCE(A329,""high52"")-1)*100,1),"""")"),-24.7)</f>
        <v>-24.7</v>
      </c>
      <c r="X329" s="53">
        <f>IFERROR(__xludf.DUMMYFUNCTION("IFERROR(ROUND((B329-GOOGLEFINANCE(A329,""low52""))/(GOOGLEFINANCE(A329,""high52"")-GOOGLEFINANCE(A329,""low52""))*100,1),"""")"),22.4)</f>
        <v>22.4</v>
      </c>
      <c r="Y329" s="53" t="str">
        <f t="shared" si="13"/>
        <v>MID</v>
      </c>
      <c r="Z329" s="53">
        <f>IFERROR(__xludf.DUMMYFUNCTION("IFERROR(ROUND(((B329 / INDEX(GOOGLEFINANCE(TRIM(A329), ""price"", TODAY()-34, TODAY()), 2, 2)) - (GOOGLEFINANCE(""NIFTY_50"") / INDEX(GOOGLEFINANCE(""NIFTY_50"", ""price"", TODAY()-34, TODAY()), 2, 2))) * 100, 2), ""Check History"")"),7.45)</f>
        <v>7.45</v>
      </c>
      <c r="AA329" s="53" t="str">
        <f t="shared" si="14"/>
        <v>STRONG RS</v>
      </c>
      <c r="AB329" s="53">
        <f>IFERROR(__xludf.DUMMYFUNCTION("IFERROR(LET(
  p, QUERY(GOOGLEFINANCE(TRIM(A329),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Loading"")"),30.4)</f>
        <v>30.4</v>
      </c>
      <c r="AC329" s="53" t="str">
        <f t="shared" si="15"/>
        <v>WEAK MOM</v>
      </c>
      <c r="AD329" s="53" t="str">
        <f>IFERROR(__xludf.DUMMYFUNCTION("IFERROR(IF(GOOGLEFINANCE(A329,""eps"")&gt;0,""EPS+"",""EPS-""),"""")"),"EPS+")</f>
        <v>EPS+</v>
      </c>
      <c r="AE329" s="53">
        <f t="shared" si="16"/>
        <v>2</v>
      </c>
      <c r="AF329" s="53">
        <f>IFERROR(__xludf.DUMMYFUNCTION("IFERROR(N329+IF(S329&gt;=1.2,1,0)+IF(U329&gt;=1,1,0)+IF(Z329&gt;0,1,0)+IF(AND(W329&gt;=-20,W329&lt;=0),1,0)+IF(IFERROR(GOOGLEFINANCE(A329,""eps""),0)&gt;0,1,0),"""")"),3.0)</f>
        <v>3</v>
      </c>
      <c r="AG329" s="53" t="str">
        <f t="shared" si="17"/>
        <v>REVERSE TRADE</v>
      </c>
    </row>
    <row r="330" ht="15.75" customHeight="1">
      <c r="A330" s="55" t="s">
        <v>497</v>
      </c>
      <c r="B330" s="44">
        <f>IFERROR(__xludf.DUMMYFUNCTION("GOOGLEFINANCE(A330,""price"")"),151.5)</f>
        <v>151.5</v>
      </c>
      <c r="C330" s="45">
        <f>IFERROR(__xludf.DUMMYFUNCTION("AVERAGE(QUERY(SORT(GOOGLEFINANCE(A330,""price"",TODAY()-150,TODAY()),1,0),""select Col2 limit 50""))"),178.4502)</f>
        <v>178.4502</v>
      </c>
      <c r="D330" s="45">
        <f>IFERROR(__xludf.DUMMYFUNCTION("AVERAGE(QUERY(SORT(GOOGLEFINANCE(A330,""price"",TODAY()-300,TODAY()),1,0),""select Col2 limit 100""))"),177.51360000000005)</f>
        <v>177.5136</v>
      </c>
      <c r="E330" s="45">
        <f>IFERROR(__xludf.DUMMYFUNCTION("AVERAGE(QUERY(SORT(GOOGLEFINANCE(A330,""price"",TODAY()-500,TODAY()),1,0),""select Col2 limit 200""))"),192.12410000000003)</f>
        <v>192.1241</v>
      </c>
      <c r="F330" s="46" t="str">
        <f t="shared" si="1"/>
        <v>In Bear Run</v>
      </c>
      <c r="G330" s="47">
        <f t="shared" si="2"/>
        <v>-21.14471844</v>
      </c>
      <c r="H330" s="48" t="str">
        <f t="shared" si="3"/>
        <v>Inverted ✗</v>
      </c>
      <c r="I330" s="48">
        <f t="shared" si="4"/>
        <v>0</v>
      </c>
      <c r="J330" s="48">
        <f t="shared" si="5"/>
        <v>0</v>
      </c>
      <c r="K330" s="49" t="str">
        <f>IFERROR(__xludf.DUMMYFUNCTION("IFERROR(IF(A330="""",""ENTER STOCK"",LET(stock,A330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30" s="48">
        <f t="shared" si="6"/>
        <v>0</v>
      </c>
      <c r="M330" s="48">
        <f t="shared" si="7"/>
        <v>1</v>
      </c>
      <c r="N330" s="50">
        <f t="shared" si="8"/>
        <v>1</v>
      </c>
      <c r="P330" s="46" t="str">
        <f t="shared" si="9"/>
        <v>REVERSE TRADE</v>
      </c>
      <c r="Q330" s="52"/>
      <c r="R330" s="53">
        <f t="shared" si="10"/>
        <v>15</v>
      </c>
      <c r="S330" s="53">
        <f>IFERROR(__xludf.DUMMYFUNCTION("IFERROR(ROUND(GOOGLEFINANCE(A330,""volume"")/GOOGLEFINANCE(A330,""volumeavg""),2),"""")"),2.2)</f>
        <v>2.2</v>
      </c>
      <c r="T330" s="53" t="str">
        <f t="shared" si="11"/>
        <v>HIGH VOL</v>
      </c>
      <c r="U330" s="53">
        <f>IFERROR(__xludf.DUMMYFUNCTION("IFERROR(
  LET(
    sd, GOOGLEFINANCE(A330,""close"",TODAY()-100,TODAY()),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"""")"),0.46)</f>
        <v>0.46</v>
      </c>
      <c r="V330" s="53" t="str">
        <f t="shared" si="12"/>
        <v>SLOW</v>
      </c>
      <c r="W330" s="53">
        <f>IFERROR(__xludf.DUMMYFUNCTION("IFERROR(ROUND((B330/GOOGLEFINANCE(A330,""high52"")-1)*100,1),"""")"),-36.3)</f>
        <v>-36.3</v>
      </c>
      <c r="X330" s="53">
        <f>IFERROR(__xludf.DUMMYFUNCTION("IFERROR(ROUND((B330-GOOGLEFINANCE(A330,""low52""))/(GOOGLEFINANCE(A330,""high52"")-GOOGLEFINANCE(A330,""low52""))*100,1),"""")"),4.4)</f>
        <v>4.4</v>
      </c>
      <c r="Y330" s="53" t="str">
        <f t="shared" si="13"/>
        <v>MID</v>
      </c>
      <c r="Z330" s="53">
        <f>IFERROR(__xludf.DUMMYFUNCTION("IFERROR(ROUND(((B330 / INDEX(GOOGLEFINANCE(TRIM(A330), ""price"", TODAY()-34, TODAY()), 2, 2)) - (GOOGLEFINANCE(""NIFTY_50"") / INDEX(GOOGLEFINANCE(""NIFTY_50"", ""price"", TODAY()-34, TODAY()), 2, 2))) * 100, 2), ""Check History"")"),-4.89)</f>
        <v>-4.89</v>
      </c>
      <c r="AA330" s="53" t="str">
        <f t="shared" si="14"/>
        <v>WEAK RS</v>
      </c>
      <c r="AB330" s="53">
        <f>IFERROR(__xludf.DUMMYFUNCTION("IFERROR(LET(
  p, QUERY(GOOGLEFINANCE(TRIM(A330),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Loading"")"),31.6)</f>
        <v>31.6</v>
      </c>
      <c r="AC330" s="53" t="str">
        <f t="shared" si="15"/>
        <v>WEAK MOM</v>
      </c>
      <c r="AD330" s="53" t="str">
        <f>IFERROR(__xludf.DUMMYFUNCTION("IFERROR(IF(GOOGLEFINANCE(A330,""eps"")&gt;0,""EPS+"",""EPS-""),"""")"),"EPS+")</f>
        <v>EPS+</v>
      </c>
      <c r="AE330" s="53">
        <f t="shared" si="16"/>
        <v>3</v>
      </c>
      <c r="AF330" s="53">
        <f>IFERROR(__xludf.DUMMYFUNCTION("IFERROR(N330+IF(S330&gt;=1.2,1,0)+IF(U330&gt;=1,1,0)+IF(Z330&gt;0,1,0)+IF(AND(W330&gt;=-20,W330&lt;=0),1,0)+IF(IFERROR(GOOGLEFINANCE(A330,""eps""),0)&gt;0,1,0),"""")"),3.0)</f>
        <v>3</v>
      </c>
      <c r="AG330" s="53" t="str">
        <f t="shared" si="17"/>
        <v>REVERSE TRADE</v>
      </c>
    </row>
    <row r="331" ht="15.75" customHeight="1">
      <c r="A331" s="55" t="s">
        <v>498</v>
      </c>
      <c r="B331" s="44">
        <f>IFERROR(__xludf.DUMMYFUNCTION("GOOGLEFINANCE(A331,""price"")"),203.15)</f>
        <v>203.15</v>
      </c>
      <c r="C331" s="45">
        <f>IFERROR(__xludf.DUMMYFUNCTION("AVERAGE(QUERY(SORT(GOOGLEFINANCE(A331,""price"",TODAY()-150,TODAY()),1,0),""select Col2 limit 50""))"),258.0762)</f>
        <v>258.0762</v>
      </c>
      <c r="D331" s="45">
        <f>IFERROR(__xludf.DUMMYFUNCTION("AVERAGE(QUERY(SORT(GOOGLEFINANCE(A331,""price"",TODAY()-300,TODAY()),1,0),""select Col2 limit 100""))"),301.7300999999999)</f>
        <v>301.7301</v>
      </c>
      <c r="E331" s="45">
        <f>IFERROR(__xludf.DUMMYFUNCTION("AVERAGE(QUERY(SORT(GOOGLEFINANCE(A331,""price"",TODAY()-500,TODAY()),1,0),""select Col2 limit 200""))"),328.6522999999998)</f>
        <v>328.6523</v>
      </c>
      <c r="F331" s="46" t="str">
        <f t="shared" si="1"/>
        <v>In Bear Run</v>
      </c>
      <c r="G331" s="47">
        <f t="shared" si="2"/>
        <v>-38.1869532</v>
      </c>
      <c r="H331" s="48" t="str">
        <f t="shared" si="3"/>
        <v>Inverted ✗</v>
      </c>
      <c r="I331" s="48">
        <f t="shared" si="4"/>
        <v>0</v>
      </c>
      <c r="J331" s="48">
        <f t="shared" si="5"/>
        <v>0</v>
      </c>
      <c r="K331" s="49" t="str">
        <f>IFERROR(__xludf.DUMMYFUNCTION("IFERROR(IF(A331="""",""ENTER STOCK"",LET(stock,A331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31" s="48">
        <f t="shared" si="6"/>
        <v>0</v>
      </c>
      <c r="M331" s="48">
        <f t="shared" si="7"/>
        <v>1</v>
      </c>
      <c r="N331" s="50">
        <f t="shared" si="8"/>
        <v>1</v>
      </c>
      <c r="P331" s="46" t="str">
        <f t="shared" si="9"/>
        <v>REVERSE TRADE</v>
      </c>
      <c r="Q331" s="52"/>
      <c r="R331" s="53">
        <f t="shared" si="10"/>
        <v>15</v>
      </c>
      <c r="S331" s="53">
        <f>IFERROR(__xludf.DUMMYFUNCTION("IFERROR(ROUND(GOOGLEFINANCE(A331,""volume"")/GOOGLEFINANCE(A331,""volumeavg""),2),"""")"),0.73)</f>
        <v>0.73</v>
      </c>
      <c r="T331" s="53" t="str">
        <f t="shared" si="11"/>
        <v>LOW VOL</v>
      </c>
      <c r="U331" s="53">
        <f>IFERROR(__xludf.DUMMYFUNCTION("IFERROR(
  LET(
    sd, GOOGLEFINANCE(A331,""close"",TODAY()-100,TODAY()),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"""")"),1.11)</f>
        <v>1.11</v>
      </c>
      <c r="V331" s="53" t="str">
        <f t="shared" si="12"/>
        <v>MEDIUM</v>
      </c>
      <c r="W331" s="53">
        <f>IFERROR(__xludf.DUMMYFUNCTION("IFERROR(ROUND((B331/GOOGLEFINANCE(A331,""high52"")-1)*100,1),"""")"),-49.7)</f>
        <v>-49.7</v>
      </c>
      <c r="X331" s="53">
        <f>IFERROR(__xludf.DUMMYFUNCTION("IFERROR(ROUND((B331-GOOGLEFINANCE(A331,""low52""))/(GOOGLEFINANCE(A331,""high52"")-GOOGLEFINANCE(A331,""low52""))*100,1),"""")"),0.6)</f>
        <v>0.6</v>
      </c>
      <c r="Y331" s="53" t="str">
        <f t="shared" si="13"/>
        <v>DEEP RECOVERY</v>
      </c>
      <c r="Z331" s="53">
        <f>IFERROR(__xludf.DUMMYFUNCTION("IFERROR(ROUND(((B331 / INDEX(GOOGLEFINANCE(TRIM(A331), ""price"", TODAY()-34, TODAY()), 2, 2)) - (GOOGLEFINANCE(""NIFTY_50"") / INDEX(GOOGLEFINANCE(""NIFTY_50"", ""price"", TODAY()-34, TODAY()), 2, 2))) * 100, 2), ""Check History"")"),1.31)</f>
        <v>1.31</v>
      </c>
      <c r="AA331" s="53" t="str">
        <f t="shared" si="14"/>
        <v>MILD RS</v>
      </c>
      <c r="AB331" s="53">
        <f>IFERROR(__xludf.DUMMYFUNCTION("IFERROR(LET(
  p, QUERY(GOOGLEFINANCE(TRIM(A331),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Loading"")"),46.1)</f>
        <v>46.1</v>
      </c>
      <c r="AC331" s="53" t="str">
        <f t="shared" si="15"/>
        <v>IDEAL ENTRY</v>
      </c>
      <c r="AD331" s="53" t="str">
        <f>IFERROR(__xludf.DUMMYFUNCTION("IFERROR(IF(GOOGLEFINANCE(A331,""eps"")&gt;0,""EPS+"",""EPS-""),"""")"),"EPS+")</f>
        <v>EPS+</v>
      </c>
      <c r="AE331" s="53">
        <f t="shared" si="16"/>
        <v>3</v>
      </c>
      <c r="AF331" s="53">
        <f>IFERROR(__xludf.DUMMYFUNCTION("IFERROR(N331+IF(S331&gt;=1.2,1,0)+IF(U331&gt;=1,1,0)+IF(Z331&gt;0,1,0)+IF(AND(W331&gt;=-20,W331&lt;=0),1,0)+IF(IFERROR(GOOGLEFINANCE(A331,""eps""),0)&gt;0,1,0),"""")"),4.0)</f>
        <v>4</v>
      </c>
      <c r="AG331" s="53" t="str">
        <f t="shared" si="17"/>
        <v>REVERSE TRADE</v>
      </c>
    </row>
    <row r="332" ht="15.75" customHeight="1">
      <c r="A332" s="55" t="s">
        <v>499</v>
      </c>
      <c r="B332" s="44">
        <f>IFERROR(__xludf.DUMMYFUNCTION("GOOGLEFINANCE(A332,""price"")"),352.95)</f>
        <v>352.95</v>
      </c>
      <c r="C332" s="45">
        <f>IFERROR(__xludf.DUMMYFUNCTION("AVERAGE(QUERY(SORT(GOOGLEFINANCE(A332,""price"",TODAY()-150,TODAY()),1,0),""select Col2 limit 50""))"),430.3560000000001)</f>
        <v>430.356</v>
      </c>
      <c r="D332" s="45">
        <f>IFERROR(__xludf.DUMMYFUNCTION("AVERAGE(QUERY(SORT(GOOGLEFINANCE(A332,""price"",TODAY()-300,TODAY()),1,0),""select Col2 limit 100""))"),507.36549999999994)</f>
        <v>507.3655</v>
      </c>
      <c r="E332" s="45">
        <f>IFERROR(__xludf.DUMMYFUNCTION("AVERAGE(QUERY(SORT(GOOGLEFINANCE(A332,""price"",TODAY()-500,TODAY()),1,0),""select Col2 limit 200""))"),566.3132499999997)</f>
        <v>566.31325</v>
      </c>
      <c r="F332" s="46" t="str">
        <f t="shared" si="1"/>
        <v>In Bear Run</v>
      </c>
      <c r="G332" s="47">
        <f t="shared" si="2"/>
        <v>-37.67583577</v>
      </c>
      <c r="H332" s="48" t="str">
        <f t="shared" si="3"/>
        <v>Inverted ✗</v>
      </c>
      <c r="I332" s="48">
        <f t="shared" si="4"/>
        <v>0</v>
      </c>
      <c r="J332" s="48">
        <f t="shared" si="5"/>
        <v>0</v>
      </c>
      <c r="K332" s="49" t="str">
        <f>IFERROR(__xludf.DUMMYFUNCTION("IFERROR(IF(A332="""",""ENTER STOCK"",LET(stock,A332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32" s="48">
        <f t="shared" si="6"/>
        <v>0</v>
      </c>
      <c r="M332" s="48">
        <f t="shared" si="7"/>
        <v>1</v>
      </c>
      <c r="N332" s="50">
        <f t="shared" si="8"/>
        <v>1</v>
      </c>
      <c r="P332" s="46" t="str">
        <f t="shared" si="9"/>
        <v>REVERSE TRADE</v>
      </c>
      <c r="Q332" s="52"/>
      <c r="R332" s="53">
        <f t="shared" si="10"/>
        <v>15</v>
      </c>
      <c r="S332" s="53">
        <f>IFERROR(__xludf.DUMMYFUNCTION("IFERROR(ROUND(GOOGLEFINANCE(A332,""volume"")/GOOGLEFINANCE(A332,""volumeavg""),2),"""")"),1.4)</f>
        <v>1.4</v>
      </c>
      <c r="T332" s="53" t="str">
        <f t="shared" si="11"/>
        <v>OK VOL</v>
      </c>
      <c r="U332" s="53">
        <f>IFERROR(__xludf.DUMMYFUNCTION("IFERROR(
  LET(
    sd, GOOGLEFINANCE(A332,""close"",TODAY()-100,TODAY()),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"""")"),0.28)</f>
        <v>0.28</v>
      </c>
      <c r="V332" s="53" t="str">
        <f t="shared" si="12"/>
        <v>SLOW</v>
      </c>
      <c r="W332" s="53">
        <f>IFERROR(__xludf.DUMMYFUNCTION("IFERROR(ROUND((B332/GOOGLEFINANCE(A332,""high52"")-1)*100,1),"""")"),-58.5)</f>
        <v>-58.5</v>
      </c>
      <c r="X332" s="53">
        <f>IFERROR(__xludf.DUMMYFUNCTION("IFERROR(ROUND((B332-GOOGLEFINANCE(A332,""low52""))/(GOOGLEFINANCE(A332,""high52"")-GOOGLEFINANCE(A332,""low52""))*100,1),"""")"),2.9)</f>
        <v>2.9</v>
      </c>
      <c r="Y332" s="53" t="str">
        <f t="shared" si="13"/>
        <v>DEEP RECOVERY</v>
      </c>
      <c r="Z332" s="53">
        <f>IFERROR(__xludf.DUMMYFUNCTION("IFERROR(ROUND(((B332 / INDEX(GOOGLEFINANCE(TRIM(A332), ""price"", TODAY()-34, TODAY()), 2, 2)) - (GOOGLEFINANCE(""NIFTY_50"") / INDEX(GOOGLEFINANCE(""NIFTY_50"", ""price"", TODAY()-34, TODAY()), 2, 2))) * 100, 2), ""Check History"")"),-5.01)</f>
        <v>-5.01</v>
      </c>
      <c r="AA332" s="53" t="str">
        <f t="shared" si="14"/>
        <v>WEAK RS</v>
      </c>
      <c r="AB332" s="53">
        <f>IFERROR(__xludf.DUMMYFUNCTION("IFERROR(LET(
  p, QUERY(GOOGLEFINANCE(TRIM(A332),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Loading"")"),55.0)</f>
        <v>55</v>
      </c>
      <c r="AC332" s="53" t="str">
        <f t="shared" si="15"/>
        <v>IDEAL ENTRY</v>
      </c>
      <c r="AD332" s="53" t="str">
        <f>IFERROR(__xludf.DUMMYFUNCTION("IFERROR(IF(GOOGLEFINANCE(A332,""eps"")&gt;0,""EPS+"",""EPS-""),"""")"),"EPS+")</f>
        <v>EPS+</v>
      </c>
      <c r="AE332" s="53">
        <f t="shared" si="16"/>
        <v>2</v>
      </c>
      <c r="AF332" s="53">
        <f>IFERROR(__xludf.DUMMYFUNCTION("IFERROR(N332+IF(S332&gt;=1.2,1,0)+IF(U332&gt;=1,1,0)+IF(Z332&gt;0,1,0)+IF(AND(W332&gt;=-20,W332&lt;=0),1,0)+IF(IFERROR(GOOGLEFINANCE(A332,""eps""),0)&gt;0,1,0),"""")"),3.0)</f>
        <v>3</v>
      </c>
      <c r="AG332" s="53" t="str">
        <f t="shared" si="17"/>
        <v>REVERSE TRADE</v>
      </c>
    </row>
    <row r="333" ht="15.75" customHeight="1">
      <c r="A333" s="55" t="s">
        <v>500</v>
      </c>
      <c r="B333" s="44">
        <f>IFERROR(__xludf.DUMMYFUNCTION("GOOGLEFINANCE(A333,""price"")"),19350.0)</f>
        <v>19350</v>
      </c>
      <c r="C333" s="45">
        <f>IFERROR(__xludf.DUMMYFUNCTION("AVERAGE(QUERY(SORT(GOOGLEFINANCE(A333,""price"",TODAY()-150,TODAY()),1,0),""select Col2 limit 50""))"),21781.84)</f>
        <v>21781.84</v>
      </c>
      <c r="D333" s="45">
        <f>IFERROR(__xludf.DUMMYFUNCTION("AVERAGE(QUERY(SORT(GOOGLEFINANCE(A333,""price"",TODAY()-300,TODAY()),1,0),""select Col2 limit 100""))"),19970.84)</f>
        <v>19970.84</v>
      </c>
      <c r="E333" s="45">
        <f>IFERROR(__xludf.DUMMYFUNCTION("AVERAGE(QUERY(SORT(GOOGLEFINANCE(A333,""price"",TODAY()-500,TODAY()),1,0),""select Col2 limit 200""))"),18484.935)</f>
        <v>18484.935</v>
      </c>
      <c r="F333" s="46" t="str">
        <f t="shared" si="1"/>
        <v>Unconfirmed</v>
      </c>
      <c r="G333" s="47">
        <f t="shared" si="2"/>
        <v>4.679837933</v>
      </c>
      <c r="H333" s="48" t="str">
        <f t="shared" si="3"/>
        <v>Golden ✓</v>
      </c>
      <c r="I333" s="48">
        <f t="shared" si="4"/>
        <v>3</v>
      </c>
      <c r="J333" s="48">
        <f t="shared" si="5"/>
        <v>4</v>
      </c>
      <c r="K333" s="49" t="str">
        <f>IFERROR(__xludf.DUMMYFUNCTION("IFERROR(IF(A333="""",""ENTER STOCK"",LET(stock,A333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33" s="48">
        <f t="shared" si="6"/>
        <v>0</v>
      </c>
      <c r="M333" s="48">
        <f t="shared" si="7"/>
        <v>1</v>
      </c>
      <c r="N333" s="50">
        <f t="shared" si="8"/>
        <v>8</v>
      </c>
      <c r="P333" s="46" t="str">
        <f t="shared" si="9"/>
        <v>WAIT</v>
      </c>
      <c r="Q333" s="52"/>
      <c r="R333" s="53">
        <f t="shared" si="10"/>
        <v>15</v>
      </c>
      <c r="S333" s="53">
        <f>IFERROR(__xludf.DUMMYFUNCTION("IFERROR(ROUND(GOOGLEFINANCE(A333,""volume"")/GOOGLEFINANCE(A333,""volumeavg""),2),"""")"),0.8)</f>
        <v>0.8</v>
      </c>
      <c r="T333" s="53" t="str">
        <f t="shared" si="11"/>
        <v>LOW VOL</v>
      </c>
      <c r="U333" s="53">
        <f>IFERROR(__xludf.DUMMYFUNCTION("IFERROR(
  LET(
    sd, GOOGLEFINANCE(A333,""close"",TODAY()-100,TODAY()),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"""")"),0.37)</f>
        <v>0.37</v>
      </c>
      <c r="V333" s="53" t="str">
        <f t="shared" si="12"/>
        <v>SLOW</v>
      </c>
      <c r="W333" s="53">
        <f>IFERROR(__xludf.DUMMYFUNCTION("IFERROR(ROUND((B333/GOOGLEFINANCE(A333,""high52"")-1)*100,1),"""")"),-26.8)</f>
        <v>-26.8</v>
      </c>
      <c r="X333" s="53">
        <f>IFERROR(__xludf.DUMMYFUNCTION("IFERROR(ROUND((B333-GOOGLEFINANCE(A333,""low52""))/(GOOGLEFINANCE(A333,""high52"")-GOOGLEFINANCE(A333,""low52""))*100,1),"""")"),61.4)</f>
        <v>61.4</v>
      </c>
      <c r="Y333" s="53" t="str">
        <f t="shared" si="13"/>
        <v>MID</v>
      </c>
      <c r="Z333" s="53">
        <f>IFERROR(__xludf.DUMMYFUNCTION("IFERROR(ROUND(((B333 / INDEX(GOOGLEFINANCE(TRIM(A333), ""price"", TODAY()-34, TODAY()), 2, 2)) - (GOOGLEFINANCE(""NIFTY_50"") / INDEX(GOOGLEFINANCE(""NIFTY_50"", ""price"", TODAY()-34, TODAY()), 2, 2))) * 100, 2), ""Check History"")"),-10.55)</f>
        <v>-10.55</v>
      </c>
      <c r="AA333" s="53" t="str">
        <f t="shared" si="14"/>
        <v>WEAK RS</v>
      </c>
      <c r="AB333" s="53">
        <f>IFERROR(__xludf.DUMMYFUNCTION("IFERROR(LET(
  p, QUERY(GOOGLEFINANCE(TRIM(A333),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Loading"")"),51.5)</f>
        <v>51.5</v>
      </c>
      <c r="AC333" s="53" t="str">
        <f t="shared" si="15"/>
        <v>IDEAL ENTRY</v>
      </c>
      <c r="AD333" s="53" t="str">
        <f>IFERROR(__xludf.DUMMYFUNCTION("IFERROR(IF(GOOGLEFINANCE(A333,""eps"")&gt;0,""EPS+"",""EPS-""),"""")"),"EPS+")</f>
        <v>EPS+</v>
      </c>
      <c r="AE333" s="53">
        <f t="shared" si="16"/>
        <v>1</v>
      </c>
      <c r="AF333" s="53">
        <f>IFERROR(__xludf.DUMMYFUNCTION("IFERROR(N333+IF(S333&gt;=1.2,1,0)+IF(U333&gt;=1,1,0)+IF(Z333&gt;0,1,0)+IF(AND(W333&gt;=-20,W333&lt;=0),1,0)+IF(IFERROR(GOOGLEFINANCE(A333,""eps""),0)&gt;0,1,0),"""")"),9.0)</f>
        <v>9</v>
      </c>
      <c r="AG333" s="53" t="str">
        <f t="shared" si="17"/>
        <v>WAIT</v>
      </c>
    </row>
    <row r="334" ht="15.75" customHeight="1">
      <c r="A334" s="55" t="s">
        <v>501</v>
      </c>
      <c r="B334" s="44">
        <f>IFERROR(__xludf.DUMMYFUNCTION("GOOGLEFINANCE(A334,""price"")"),1971.0)</f>
        <v>1971</v>
      </c>
      <c r="C334" s="45">
        <f>IFERROR(__xludf.DUMMYFUNCTION("AVERAGE(QUERY(SORT(GOOGLEFINANCE(A334,""price"",TODAY()-150,TODAY()),1,0),""select Col2 limit 50""))"),2398.3839999999996)</f>
        <v>2398.384</v>
      </c>
      <c r="D334" s="45">
        <f>IFERROR(__xludf.DUMMYFUNCTION("AVERAGE(QUERY(SORT(GOOGLEFINANCE(A334,""price"",TODAY()-300,TODAY()),1,0),""select Col2 limit 100""))"),2478.5429999999997)</f>
        <v>2478.543</v>
      </c>
      <c r="E334" s="45">
        <f>IFERROR(__xludf.DUMMYFUNCTION("AVERAGE(QUERY(SORT(GOOGLEFINANCE(A334,""price"",TODAY()-500,TODAY()),1,0),""select Col2 limit 200""))"),2583.8620000000005)</f>
        <v>2583.862</v>
      </c>
      <c r="F334" s="46" t="str">
        <f t="shared" si="1"/>
        <v>In Bear Run</v>
      </c>
      <c r="G334" s="47">
        <f t="shared" si="2"/>
        <v>-23.71883638</v>
      </c>
      <c r="H334" s="48" t="str">
        <f t="shared" si="3"/>
        <v>Inverted ✗</v>
      </c>
      <c r="I334" s="48">
        <f t="shared" si="4"/>
        <v>0</v>
      </c>
      <c r="J334" s="48">
        <f t="shared" si="5"/>
        <v>0</v>
      </c>
      <c r="K334" s="49" t="str">
        <f>IFERROR(__xludf.DUMMYFUNCTION("IFERROR(IF(A334="""",""ENTER STOCK"",LET(stock,A334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34" s="48">
        <f t="shared" si="6"/>
        <v>0</v>
      </c>
      <c r="M334" s="48">
        <f t="shared" si="7"/>
        <v>1</v>
      </c>
      <c r="N334" s="50">
        <f t="shared" si="8"/>
        <v>1</v>
      </c>
      <c r="P334" s="46" t="str">
        <f t="shared" si="9"/>
        <v>REVERSE TRADE</v>
      </c>
      <c r="Q334" s="52"/>
      <c r="R334" s="53">
        <f t="shared" si="10"/>
        <v>15</v>
      </c>
      <c r="S334" s="53">
        <f>IFERROR(__xludf.DUMMYFUNCTION("IFERROR(ROUND(GOOGLEFINANCE(A334,""volume"")/GOOGLEFINANCE(A334,""volumeavg""),2),"""")"),1.99)</f>
        <v>1.99</v>
      </c>
      <c r="T334" s="53" t="str">
        <f t="shared" si="11"/>
        <v>HIGH VOL</v>
      </c>
      <c r="U334" s="53">
        <f>IFERROR(__xludf.DUMMYFUNCTION("IFERROR(
  LET(
    sd, GOOGLEFINANCE(A334,""close"",TODAY()-100,TODAY()),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"""")"),1.51)</f>
        <v>1.51</v>
      </c>
      <c r="V334" s="53" t="str">
        <f t="shared" si="12"/>
        <v>FAST</v>
      </c>
      <c r="W334" s="53">
        <f>IFERROR(__xludf.DUMMYFUNCTION("IFERROR(ROUND((B334/GOOGLEFINANCE(A334,""high52"")-1)*100,1),"""")"),-44.3)</f>
        <v>-44.3</v>
      </c>
      <c r="X334" s="53">
        <f>IFERROR(__xludf.DUMMYFUNCTION("IFERROR(ROUND((B334-GOOGLEFINANCE(A334,""low52""))/(GOOGLEFINANCE(A334,""high52"")-GOOGLEFINANCE(A334,""low52""))*100,1),"""")"),26.5)</f>
        <v>26.5</v>
      </c>
      <c r="Y334" s="53" t="str">
        <f t="shared" si="13"/>
        <v>DEEP RECOVERY</v>
      </c>
      <c r="Z334" s="53">
        <f>IFERROR(__xludf.DUMMYFUNCTION("IFERROR(ROUND(((B334 / INDEX(GOOGLEFINANCE(TRIM(A334), ""price"", TODAY()-34, TODAY()), 2, 2)) - (GOOGLEFINANCE(""NIFTY_50"") / INDEX(GOOGLEFINANCE(""NIFTY_50"", ""price"", TODAY()-34, TODAY()), 2, 2))) * 100, 2), ""Check History"")"),-6.26)</f>
        <v>-6.26</v>
      </c>
      <c r="AA334" s="53" t="str">
        <f t="shared" si="14"/>
        <v>WEAK RS</v>
      </c>
      <c r="AB334" s="53">
        <f>IFERROR(__xludf.DUMMYFUNCTION("IFERROR(LET(
  p, QUERY(GOOGLEFINANCE(TRIM(A334),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Loading"")"),31.4)</f>
        <v>31.4</v>
      </c>
      <c r="AC334" s="53" t="str">
        <f t="shared" si="15"/>
        <v>WEAK MOM</v>
      </c>
      <c r="AD334" s="53" t="str">
        <f>IFERROR(__xludf.DUMMYFUNCTION("IFERROR(IF(GOOGLEFINANCE(A334,""eps"")&gt;0,""EPS+"",""EPS-""),"""")"),"EPS+")</f>
        <v>EPS+</v>
      </c>
      <c r="AE334" s="53">
        <f t="shared" si="16"/>
        <v>6</v>
      </c>
      <c r="AF334" s="53">
        <f>IFERROR(__xludf.DUMMYFUNCTION("IFERROR(N334+IF(S334&gt;=1.2,1,0)+IF(U334&gt;=1,1,0)+IF(Z334&gt;0,1,0)+IF(AND(W334&gt;=-20,W334&lt;=0),1,0)+IF(IFERROR(GOOGLEFINANCE(A334,""eps""),0)&gt;0,1,0),"""")"),4.0)</f>
        <v>4</v>
      </c>
      <c r="AG334" s="53" t="str">
        <f t="shared" si="17"/>
        <v>REVERSE TRADE</v>
      </c>
    </row>
    <row r="335" ht="15.75" customHeight="1">
      <c r="A335" s="55" t="s">
        <v>502</v>
      </c>
      <c r="B335" s="44">
        <f>IFERROR(__xludf.DUMMYFUNCTION("GOOGLEFINANCE(A335,""price"")"),7263.5)</f>
        <v>7263.5</v>
      </c>
      <c r="C335" s="45">
        <f>IFERROR(__xludf.DUMMYFUNCTION("AVERAGE(QUERY(SORT(GOOGLEFINANCE(A335,""price"",TODAY()-150,TODAY()),1,0),""select Col2 limit 50""))"),8226.83)</f>
        <v>8226.83</v>
      </c>
      <c r="D335" s="45">
        <f>IFERROR(__xludf.DUMMYFUNCTION("AVERAGE(QUERY(SORT(GOOGLEFINANCE(A335,""price"",TODAY()-300,TODAY()),1,0),""select Col2 limit 100""))"),8277.09)</f>
        <v>8277.09</v>
      </c>
      <c r="E335" s="45">
        <f>IFERROR(__xludf.DUMMYFUNCTION("AVERAGE(QUERY(SORT(GOOGLEFINANCE(A335,""price"",TODAY()-500,TODAY()),1,0),""select Col2 limit 200""))"),9232.81)</f>
        <v>9232.81</v>
      </c>
      <c r="F335" s="46" t="str">
        <f t="shared" si="1"/>
        <v>In Bear Run</v>
      </c>
      <c r="G335" s="47">
        <f t="shared" si="2"/>
        <v>-21.32947607</v>
      </c>
      <c r="H335" s="48" t="str">
        <f t="shared" si="3"/>
        <v>Inverted ✗</v>
      </c>
      <c r="I335" s="48">
        <f t="shared" si="4"/>
        <v>0</v>
      </c>
      <c r="J335" s="48">
        <f t="shared" si="5"/>
        <v>0</v>
      </c>
      <c r="K335" s="49" t="str">
        <f>IFERROR(__xludf.DUMMYFUNCTION("IFERROR(IF(A335="""",""ENTER STOCK"",LET(stock,A335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35" s="48">
        <f t="shared" si="6"/>
        <v>0</v>
      </c>
      <c r="M335" s="48">
        <f t="shared" si="7"/>
        <v>1</v>
      </c>
      <c r="N335" s="50">
        <f t="shared" si="8"/>
        <v>1</v>
      </c>
      <c r="P335" s="46" t="str">
        <f t="shared" si="9"/>
        <v>REVERSE TRADE</v>
      </c>
      <c r="Q335" s="52"/>
      <c r="R335" s="53">
        <f t="shared" si="10"/>
        <v>15</v>
      </c>
      <c r="S335" s="53">
        <f>IFERROR(__xludf.DUMMYFUNCTION("IFERROR(ROUND(GOOGLEFINANCE(A335,""volume"")/GOOGLEFINANCE(A335,""volumeavg""),2),"""")"),2.83)</f>
        <v>2.83</v>
      </c>
      <c r="T335" s="53" t="str">
        <f t="shared" si="11"/>
        <v>HIGH VOL</v>
      </c>
      <c r="U335" s="53">
        <f>IFERROR(__xludf.DUMMYFUNCTION("IFERROR(
  LET(
    sd, GOOGLEFINANCE(A335,""close"",TODAY()-100,TODAY()),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"""")"),0.24)</f>
        <v>0.24</v>
      </c>
      <c r="V335" s="53" t="str">
        <f t="shared" si="12"/>
        <v>SLOW</v>
      </c>
      <c r="W335" s="53">
        <f>IFERROR(__xludf.DUMMYFUNCTION("IFERROR(ROUND((B335/GOOGLEFINANCE(A335,""high52"")-1)*100,1),"""")"),-36.8)</f>
        <v>-36.8</v>
      </c>
      <c r="X335" s="53">
        <f>IFERROR(__xludf.DUMMYFUNCTION("IFERROR(ROUND((B335-GOOGLEFINANCE(A335,""low52""))/(GOOGLEFINANCE(A335,""high52"")-GOOGLEFINANCE(A335,""low52""))*100,1),"""")"),1.3)</f>
        <v>1.3</v>
      </c>
      <c r="Y335" s="53" t="str">
        <f t="shared" si="13"/>
        <v>MID</v>
      </c>
      <c r="Z335" s="53">
        <f>IFERROR(__xludf.DUMMYFUNCTION("IFERROR(ROUND(((B335 / INDEX(GOOGLEFINANCE(TRIM(A335), ""price"", TODAY()-34, TODAY()), 2, 2)) - (GOOGLEFINANCE(""NIFTY_50"") / INDEX(GOOGLEFINANCE(""NIFTY_50"", ""price"", TODAY()-34, TODAY()), 2, 2))) * 100, 2), ""Check History"")"),-1.54)</f>
        <v>-1.54</v>
      </c>
      <c r="AA335" s="53" t="str">
        <f t="shared" si="14"/>
        <v>WEAK RS</v>
      </c>
      <c r="AB335" s="53">
        <f>IFERROR(__xludf.DUMMYFUNCTION("IFERROR(LET(
  p, QUERY(GOOGLEFINANCE(TRIM(A335),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Loading"")"),27.8)</f>
        <v>27.8</v>
      </c>
      <c r="AC335" s="53" t="str">
        <f t="shared" si="15"/>
        <v>WEAK MOM</v>
      </c>
      <c r="AD335" s="53" t="str">
        <f>IFERROR(__xludf.DUMMYFUNCTION("IFERROR(IF(GOOGLEFINANCE(A335,""eps"")&gt;0,""EPS+"",""EPS-""),"""")"),"EPS+")</f>
        <v>EPS+</v>
      </c>
      <c r="AE335" s="53">
        <f t="shared" si="16"/>
        <v>3</v>
      </c>
      <c r="AF335" s="53">
        <f>IFERROR(__xludf.DUMMYFUNCTION("IFERROR(N335+IF(S335&gt;=1.2,1,0)+IF(U335&gt;=1,1,0)+IF(Z335&gt;0,1,0)+IF(AND(W335&gt;=-20,W335&lt;=0),1,0)+IF(IFERROR(GOOGLEFINANCE(A335,""eps""),0)&gt;0,1,0),"""")"),3.0)</f>
        <v>3</v>
      </c>
      <c r="AG335" s="53" t="str">
        <f t="shared" si="17"/>
        <v>REVERSE TRADE</v>
      </c>
    </row>
    <row r="336" ht="15.75" customHeight="1">
      <c r="A336" s="55" t="s">
        <v>503</v>
      </c>
      <c r="B336" s="44">
        <f>IFERROR(__xludf.DUMMYFUNCTION("GOOGLEFINANCE(A336,""price"")"),1700.0)</f>
        <v>1700</v>
      </c>
      <c r="C336" s="45">
        <f>IFERROR(__xludf.DUMMYFUNCTION("AVERAGE(QUERY(SORT(GOOGLEFINANCE(A336,""price"",TODAY()-150,TODAY()),1,0),""select Col2 limit 50""))"),1751.144)</f>
        <v>1751.144</v>
      </c>
      <c r="D336" s="45">
        <f>IFERROR(__xludf.DUMMYFUNCTION("AVERAGE(QUERY(SORT(GOOGLEFINANCE(A336,""price"",TODAY()-300,TODAY()),1,0),""select Col2 limit 100""))"),1749.545)</f>
        <v>1749.545</v>
      </c>
      <c r="E336" s="45">
        <f>IFERROR(__xludf.DUMMYFUNCTION("AVERAGE(QUERY(SORT(GOOGLEFINANCE(A336,""price"",TODAY()-500,TODAY()),1,0),""select Col2 limit 200""))"),1832.9019999999991)</f>
        <v>1832.902</v>
      </c>
      <c r="F336" s="46" t="str">
        <f t="shared" si="1"/>
        <v>In Bear Run</v>
      </c>
      <c r="G336" s="47">
        <f t="shared" si="2"/>
        <v>-7.25090594</v>
      </c>
      <c r="H336" s="48" t="str">
        <f t="shared" si="3"/>
        <v>Inverted ✗</v>
      </c>
      <c r="I336" s="48">
        <f t="shared" si="4"/>
        <v>0</v>
      </c>
      <c r="J336" s="48">
        <f t="shared" si="5"/>
        <v>0</v>
      </c>
      <c r="K336" s="49" t="str">
        <f>IFERROR(__xludf.DUMMYFUNCTION("IFERROR(IF(A336="""",""ENTER STOCK"",LET(stock,A336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36" s="48">
        <f t="shared" si="6"/>
        <v>0</v>
      </c>
      <c r="M336" s="48">
        <f t="shared" si="7"/>
        <v>1</v>
      </c>
      <c r="N336" s="50">
        <f t="shared" si="8"/>
        <v>1</v>
      </c>
      <c r="P336" s="46" t="str">
        <f t="shared" si="9"/>
        <v>REVERSE TRADE</v>
      </c>
      <c r="Q336" s="52"/>
      <c r="R336" s="53">
        <f t="shared" si="10"/>
        <v>15</v>
      </c>
      <c r="S336" s="53">
        <f>IFERROR(__xludf.DUMMYFUNCTION("IFERROR(ROUND(GOOGLEFINANCE(A336,""volume"")/GOOGLEFINANCE(A336,""volumeavg""),2),"""")"),1.36)</f>
        <v>1.36</v>
      </c>
      <c r="T336" s="53" t="str">
        <f t="shared" si="11"/>
        <v>OK VOL</v>
      </c>
      <c r="U336" s="53">
        <f>IFERROR(__xludf.DUMMYFUNCTION("IFERROR(
  LET(
    sd, GOOGLEFINANCE(A336,""close"",TODAY()-100,TODAY()),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"""")"),0.88)</f>
        <v>0.88</v>
      </c>
      <c r="V336" s="53" t="str">
        <f t="shared" si="12"/>
        <v>SLOW</v>
      </c>
      <c r="W336" s="53">
        <f>IFERROR(__xludf.DUMMYFUNCTION("IFERROR(ROUND((B336/GOOGLEFINANCE(A336,""high52"")-1)*100,1),"""")"),-20.2)</f>
        <v>-20.2</v>
      </c>
      <c r="X336" s="53">
        <f>IFERROR(__xludf.DUMMYFUNCTION("IFERROR(ROUND((B336-GOOGLEFINANCE(A336,""low52""))/(GOOGLEFINANCE(A336,""high52"")-GOOGLEFINANCE(A336,""low52""))*100,1),"""")"),49.5)</f>
        <v>49.5</v>
      </c>
      <c r="Y336" s="53" t="str">
        <f t="shared" si="13"/>
        <v>MID</v>
      </c>
      <c r="Z336" s="53">
        <f>IFERROR(__xludf.DUMMYFUNCTION("IFERROR(ROUND(((B336 / INDEX(GOOGLEFINANCE(TRIM(A336), ""price"", TODAY()-34, TODAY()), 2, 2)) - (GOOGLEFINANCE(""NIFTY_50"") / INDEX(GOOGLEFINANCE(""NIFTY_50"", ""price"", TODAY()-34, TODAY()), 2, 2))) * 100, 2), ""Check History"")"),6.49)</f>
        <v>6.49</v>
      </c>
      <c r="AA336" s="53" t="str">
        <f t="shared" si="14"/>
        <v>STRONG RS</v>
      </c>
      <c r="AB336" s="53">
        <f>IFERROR(__xludf.DUMMYFUNCTION("IFERROR(LET(
  p, QUERY(GOOGLEFINANCE(TRIM(A336),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Loading"")"),52.3)</f>
        <v>52.3</v>
      </c>
      <c r="AC336" s="53" t="str">
        <f t="shared" si="15"/>
        <v>IDEAL ENTRY</v>
      </c>
      <c r="AD336" s="53" t="str">
        <f>IFERROR(__xludf.DUMMYFUNCTION("IFERROR(IF(GOOGLEFINANCE(A336,""eps"")&gt;0,""EPS+"",""EPS-""),"""")"),"EPS+")</f>
        <v>EPS+</v>
      </c>
      <c r="AE336" s="53">
        <f t="shared" si="16"/>
        <v>5</v>
      </c>
      <c r="AF336" s="53">
        <f>IFERROR(__xludf.DUMMYFUNCTION("IFERROR(N336+IF(S336&gt;=1.2,1,0)+IF(U336&gt;=1,1,0)+IF(Z336&gt;0,1,0)+IF(AND(W336&gt;=-20,W336&lt;=0),1,0)+IF(IFERROR(GOOGLEFINANCE(A336,""eps""),0)&gt;0,1,0),"""")"),4.0)</f>
        <v>4</v>
      </c>
      <c r="AG336" s="53" t="str">
        <f t="shared" si="17"/>
        <v>REVERSE TRADE</v>
      </c>
    </row>
    <row r="337" ht="15.75" customHeight="1">
      <c r="A337" s="55" t="s">
        <v>504</v>
      </c>
      <c r="B337" s="44">
        <f>IFERROR(__xludf.DUMMYFUNCTION("GOOGLEFINANCE(A337,""price"")"),327.0)</f>
        <v>327</v>
      </c>
      <c r="C337" s="45">
        <f>IFERROR(__xludf.DUMMYFUNCTION("AVERAGE(QUERY(SORT(GOOGLEFINANCE(A337,""price"",TODAY()-150,TODAY()),1,0),""select Col2 limit 50""))"),328.175)</f>
        <v>328.175</v>
      </c>
      <c r="D337" s="45">
        <f>IFERROR(__xludf.DUMMYFUNCTION("AVERAGE(QUERY(SORT(GOOGLEFINANCE(A337,""price"",TODAY()-300,TODAY()),1,0),""select Col2 limit 100""))"),338.3135)</f>
        <v>338.3135</v>
      </c>
      <c r="E337" s="45">
        <f>IFERROR(__xludf.DUMMYFUNCTION("AVERAGE(QUERY(SORT(GOOGLEFINANCE(A337,""price"",TODAY()-500,TODAY()),1,0),""select Col2 limit 200""))"),346.0339999999999)</f>
        <v>346.034</v>
      </c>
      <c r="F337" s="46" t="str">
        <f t="shared" si="1"/>
        <v>In Bear Run</v>
      </c>
      <c r="G337" s="47">
        <f t="shared" si="2"/>
        <v>-5.500615546</v>
      </c>
      <c r="H337" s="48" t="str">
        <f t="shared" si="3"/>
        <v>Inverted ✗</v>
      </c>
      <c r="I337" s="48">
        <f t="shared" si="4"/>
        <v>0</v>
      </c>
      <c r="J337" s="48">
        <f t="shared" si="5"/>
        <v>0</v>
      </c>
      <c r="K337" s="49" t="str">
        <f>IFERROR(__xludf.DUMMYFUNCTION("IFERROR(IF(A337="""",""ENTER STOCK"",LET(stock,A337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37" s="48">
        <f t="shared" si="6"/>
        <v>0</v>
      </c>
      <c r="M337" s="48">
        <f t="shared" si="7"/>
        <v>1</v>
      </c>
      <c r="N337" s="50">
        <f t="shared" si="8"/>
        <v>1</v>
      </c>
      <c r="P337" s="46" t="str">
        <f t="shared" si="9"/>
        <v>REVERSE TRADE</v>
      </c>
      <c r="Q337" s="52"/>
      <c r="R337" s="53">
        <f t="shared" si="10"/>
        <v>15</v>
      </c>
      <c r="S337" s="53">
        <f>IFERROR(__xludf.DUMMYFUNCTION("IFERROR(ROUND(GOOGLEFINANCE(A337,""volume"")/GOOGLEFINANCE(A337,""volumeavg""),2),"""")"),1.01)</f>
        <v>1.01</v>
      </c>
      <c r="T337" s="53" t="str">
        <f t="shared" si="11"/>
        <v>LOW VOL</v>
      </c>
      <c r="U337" s="53">
        <f>IFERROR(__xludf.DUMMYFUNCTION("IFERROR(
  LET(
    sd, GOOGLEFINANCE(A337,""close"",TODAY()-100,TODAY()),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"""")"),0.25)</f>
        <v>0.25</v>
      </c>
      <c r="V337" s="53" t="str">
        <f t="shared" si="12"/>
        <v>SLOW</v>
      </c>
      <c r="W337" s="53">
        <f>IFERROR(__xludf.DUMMYFUNCTION("IFERROR(ROUND((B337/GOOGLEFINANCE(A337,""high52"")-1)*100,1),"""")"),-14.3)</f>
        <v>-14.3</v>
      </c>
      <c r="X337" s="53">
        <f>IFERROR(__xludf.DUMMYFUNCTION("IFERROR(ROUND((B337-GOOGLEFINANCE(A337,""low52""))/(GOOGLEFINANCE(A337,""high52"")-GOOGLEFINANCE(A337,""low52""))*100,1),"""")"),53.4)</f>
        <v>53.4</v>
      </c>
      <c r="Y337" s="53" t="str">
        <f t="shared" si="13"/>
        <v>UPPER</v>
      </c>
      <c r="Z337" s="53">
        <f>IFERROR(__xludf.DUMMYFUNCTION("IFERROR(ROUND(((B337 / INDEX(GOOGLEFINANCE(TRIM(A337), ""price"", TODAY()-34, TODAY()), 2, 2)) - (GOOGLEFINANCE(""NIFTY_50"") / INDEX(GOOGLEFINANCE(""NIFTY_50"", ""price"", TODAY()-34, TODAY()), 2, 2))) * 100, 2), ""Check History"")"),8.98)</f>
        <v>8.98</v>
      </c>
      <c r="AA337" s="53" t="str">
        <f t="shared" si="14"/>
        <v>STRONG RS</v>
      </c>
      <c r="AB337" s="53">
        <f>IFERROR(__xludf.DUMMYFUNCTION("IFERROR(LET(
  p, QUERY(GOOGLEFINANCE(TRIM(A337),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Loading"")"),46.1)</f>
        <v>46.1</v>
      </c>
      <c r="AC337" s="53" t="str">
        <f t="shared" si="15"/>
        <v>IDEAL ENTRY</v>
      </c>
      <c r="AD337" s="53" t="str">
        <f>IFERROR(__xludf.DUMMYFUNCTION("IFERROR(IF(GOOGLEFINANCE(A337,""eps"")&gt;0,""EPS+"",""EPS-""),"""")"),"EPS+")</f>
        <v>EPS+</v>
      </c>
      <c r="AE337" s="53">
        <f t="shared" si="16"/>
        <v>4</v>
      </c>
      <c r="AF337" s="53">
        <f>IFERROR(__xludf.DUMMYFUNCTION("IFERROR(N337+IF(S337&gt;=1.2,1,0)+IF(U337&gt;=1,1,0)+IF(Z337&gt;0,1,0)+IF(AND(W337&gt;=-20,W337&lt;=0),1,0)+IF(IFERROR(GOOGLEFINANCE(A337,""eps""),0)&gt;0,1,0),"""")"),4.0)</f>
        <v>4</v>
      </c>
      <c r="AG337" s="53" t="str">
        <f t="shared" si="17"/>
        <v>REVERSE TRADE</v>
      </c>
    </row>
    <row r="338" ht="15.75" customHeight="1">
      <c r="A338" s="55" t="s">
        <v>505</v>
      </c>
      <c r="B338" s="44">
        <f>IFERROR(__xludf.DUMMYFUNCTION("GOOGLEFINANCE(A338,""price"")"),268.4)</f>
        <v>268.4</v>
      </c>
      <c r="C338" s="45">
        <f>IFERROR(__xludf.DUMMYFUNCTION("AVERAGE(QUERY(SORT(GOOGLEFINANCE(A338,""price"",TODAY()-150,TODAY()),1,0),""select Col2 limit 50""))"),258.20799999999997)</f>
        <v>258.208</v>
      </c>
      <c r="D338" s="45">
        <f>IFERROR(__xludf.DUMMYFUNCTION("AVERAGE(QUERY(SORT(GOOGLEFINANCE(A338,""price"",TODAY()-300,TODAY()),1,0),""select Col2 limit 100""))"),256.10870000000006)</f>
        <v>256.1087</v>
      </c>
      <c r="E338" s="45">
        <f>IFERROR(__xludf.DUMMYFUNCTION("AVERAGE(QUERY(SORT(GOOGLEFINANCE(A338,""price"",TODAY()-500,TODAY()),1,0),""select Col2 limit 200""))"),237.57330000000002)</f>
        <v>237.5733</v>
      </c>
      <c r="F338" s="46" t="str">
        <f t="shared" si="1"/>
        <v>In Bull Run</v>
      </c>
      <c r="G338" s="47">
        <f t="shared" si="2"/>
        <v>12.97565846</v>
      </c>
      <c r="H338" s="48" t="str">
        <f t="shared" si="3"/>
        <v>Golden ✓</v>
      </c>
      <c r="I338" s="48">
        <f t="shared" si="4"/>
        <v>3</v>
      </c>
      <c r="J338" s="48">
        <f t="shared" si="5"/>
        <v>0</v>
      </c>
      <c r="K338" s="49" t="str">
        <f>IFERROR(__xludf.DUMMYFUNCTION("IFERROR(IF(A338="""",""ENTER STOCK"",LET(stock,A338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38" s="48">
        <f t="shared" si="6"/>
        <v>0</v>
      </c>
      <c r="M338" s="48">
        <f t="shared" si="7"/>
        <v>1</v>
      </c>
      <c r="N338" s="50">
        <f t="shared" si="8"/>
        <v>4</v>
      </c>
      <c r="P338" s="46" t="str">
        <f t="shared" si="9"/>
        <v>SKIP</v>
      </c>
      <c r="Q338" s="52"/>
      <c r="R338" s="53">
        <f t="shared" si="10"/>
        <v>15</v>
      </c>
      <c r="S338" s="53">
        <f>IFERROR(__xludf.DUMMYFUNCTION("IFERROR(ROUND(GOOGLEFINANCE(A338,""volume"")/GOOGLEFINANCE(A338,""volumeavg""),2),"""")"),1.09)</f>
        <v>1.09</v>
      </c>
      <c r="T338" s="53" t="str">
        <f t="shared" si="11"/>
        <v>LOW VOL</v>
      </c>
      <c r="U338" s="53">
        <f>IFERROR(__xludf.DUMMYFUNCTION("IFERROR(
  LET(
    sd, GOOGLEFINANCE(A338,""close"",TODAY()-100,TODAY()),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"""")"),0.44)</f>
        <v>0.44</v>
      </c>
      <c r="V338" s="53" t="str">
        <f t="shared" si="12"/>
        <v>SLOW</v>
      </c>
      <c r="W338" s="53">
        <f>IFERROR(__xludf.DUMMYFUNCTION("IFERROR(ROUND((B338/GOOGLEFINANCE(A338,""high52"")-1)*100,1),"""")"),-7.4)</f>
        <v>-7.4</v>
      </c>
      <c r="X338" s="53">
        <f>IFERROR(__xludf.DUMMYFUNCTION("IFERROR(ROUND((B338-GOOGLEFINANCE(A338,""low52""))/(GOOGLEFINANCE(A338,""high52"")-GOOGLEFINANCE(A338,""low52""))*100,1),"""")"),82.3)</f>
        <v>82.3</v>
      </c>
      <c r="Y338" s="53" t="str">
        <f t="shared" si="13"/>
        <v>UPPER</v>
      </c>
      <c r="Z338" s="53">
        <f>IFERROR(__xludf.DUMMYFUNCTION("IFERROR(ROUND(((B338 / INDEX(GOOGLEFINANCE(TRIM(A338), ""price"", TODAY()-34, TODAY()), 2, 2)) - (GOOGLEFINANCE(""NIFTY_50"") / INDEX(GOOGLEFINANCE(""NIFTY_50"", ""price"", TODAY()-34, TODAY()), 2, 2))) * 100, 2), ""Check History"")"),12.09)</f>
        <v>12.09</v>
      </c>
      <c r="AA338" s="53" t="str">
        <f t="shared" si="14"/>
        <v>STRONG RS</v>
      </c>
      <c r="AB338" s="53">
        <f>IFERROR(__xludf.DUMMYFUNCTION("IFERROR(LET(
  p, QUERY(GOOGLEFINANCE(TRIM(A338),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Loading"")"),65.9)</f>
        <v>65.9</v>
      </c>
      <c r="AC338" s="53" t="str">
        <f t="shared" si="15"/>
        <v>IDEAL ENTRY</v>
      </c>
      <c r="AD338" s="53" t="str">
        <f>IFERROR(__xludf.DUMMYFUNCTION("IFERROR(IF(GOOGLEFINANCE(A338,""eps"")&gt;0,""EPS+"",""EPS-""),"""")"),"EPS+")</f>
        <v>EPS+</v>
      </c>
      <c r="AE338" s="53">
        <f t="shared" si="16"/>
        <v>5</v>
      </c>
      <c r="AF338" s="53">
        <f>IFERROR(__xludf.DUMMYFUNCTION("IFERROR(N338+IF(S338&gt;=1.2,1,0)+IF(U338&gt;=1,1,0)+IF(Z338&gt;0,1,0)+IF(AND(W338&gt;=-20,W338&lt;=0),1,0)+IF(IFERROR(GOOGLEFINANCE(A338,""eps""),0)&gt;0,1,0),"""")"),7.0)</f>
        <v>7</v>
      </c>
      <c r="AG338" s="53" t="str">
        <f t="shared" si="17"/>
        <v>WATCH</v>
      </c>
    </row>
    <row r="339" ht="15.75" customHeight="1">
      <c r="A339" s="55" t="s">
        <v>506</v>
      </c>
      <c r="B339" s="44">
        <f>IFERROR(__xludf.DUMMYFUNCTION("GOOGLEFINANCE(A339,""price"")"),535.0)</f>
        <v>535</v>
      </c>
      <c r="C339" s="45">
        <f>IFERROR(__xludf.DUMMYFUNCTION("AVERAGE(QUERY(SORT(GOOGLEFINANCE(A339,""price"",TODAY()-150,TODAY()),1,0),""select Col2 limit 50""))"),580.6070000000001)</f>
        <v>580.607</v>
      </c>
      <c r="D339" s="45">
        <f>IFERROR(__xludf.DUMMYFUNCTION("AVERAGE(QUERY(SORT(GOOGLEFINANCE(A339,""price"",TODAY()-300,TODAY()),1,0),""select Col2 limit 100""))"),580.752)</f>
        <v>580.752</v>
      </c>
      <c r="E339" s="45">
        <f>IFERROR(__xludf.DUMMYFUNCTION("AVERAGE(QUERY(SORT(GOOGLEFINANCE(A339,""price"",TODAY()-500,TODAY()),1,0),""select Col2 limit 200""))"),664.6620000000004)</f>
        <v>664.662</v>
      </c>
      <c r="F339" s="46" t="str">
        <f t="shared" si="1"/>
        <v>In Bear Run</v>
      </c>
      <c r="G339" s="47">
        <f t="shared" si="2"/>
        <v>-19.50796044</v>
      </c>
      <c r="H339" s="48" t="str">
        <f t="shared" si="3"/>
        <v>Inverted ✗</v>
      </c>
      <c r="I339" s="48">
        <f t="shared" si="4"/>
        <v>0</v>
      </c>
      <c r="J339" s="48">
        <f t="shared" si="5"/>
        <v>0</v>
      </c>
      <c r="K339" s="49" t="str">
        <f>IFERROR(__xludf.DUMMYFUNCTION("IFERROR(IF(A339="""",""ENTER STOCK"",LET(stock,A339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39" s="48">
        <f t="shared" si="6"/>
        <v>0</v>
      </c>
      <c r="M339" s="48">
        <f t="shared" si="7"/>
        <v>1</v>
      </c>
      <c r="N339" s="50">
        <f t="shared" si="8"/>
        <v>1</v>
      </c>
      <c r="P339" s="46" t="str">
        <f t="shared" si="9"/>
        <v>REVERSE TRADE</v>
      </c>
      <c r="Q339" s="52"/>
      <c r="R339" s="53">
        <f t="shared" si="10"/>
        <v>15</v>
      </c>
      <c r="S339" s="53">
        <f>IFERROR(__xludf.DUMMYFUNCTION("IFERROR(ROUND(GOOGLEFINANCE(A339,""volume"")/GOOGLEFINANCE(A339,""volumeavg""),2),"""")"),1.26)</f>
        <v>1.26</v>
      </c>
      <c r="T339" s="53" t="str">
        <f t="shared" si="11"/>
        <v>OK VOL</v>
      </c>
      <c r="U339" s="53">
        <f>IFERROR(__xludf.DUMMYFUNCTION("IFERROR(
  LET(
    sd, GOOGLEFINANCE(A339,""close"",TODAY()-100,TODAY()),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"""")"),0.85)</f>
        <v>0.85</v>
      </c>
      <c r="V339" s="53" t="str">
        <f t="shared" si="12"/>
        <v>SLOW</v>
      </c>
      <c r="W339" s="53">
        <f>IFERROR(__xludf.DUMMYFUNCTION("IFERROR(ROUND((B339/GOOGLEFINANCE(A339,""high52"")-1)*100,1),"""")"),-39.0)</f>
        <v>-39</v>
      </c>
      <c r="X339" s="53">
        <f>IFERROR(__xludf.DUMMYFUNCTION("IFERROR(ROUND((B339-GOOGLEFINANCE(A339,""low52""))/(GOOGLEFINANCE(A339,""high52"")-GOOGLEFINANCE(A339,""low52""))*100,1),"""")"),7.8)</f>
        <v>7.8</v>
      </c>
      <c r="Y339" s="53" t="str">
        <f t="shared" si="13"/>
        <v>MID</v>
      </c>
      <c r="Z339" s="53">
        <f>IFERROR(__xludf.DUMMYFUNCTION("IFERROR(ROUND(((B339 / INDEX(GOOGLEFINANCE(TRIM(A339), ""price"", TODAY()-34, TODAY()), 2, 2)) - (GOOGLEFINANCE(""NIFTY_50"") / INDEX(GOOGLEFINANCE(""NIFTY_50"", ""price"", TODAY()-34, TODAY()), 2, 2))) * 100, 2), ""Check History"")"),-4.02)</f>
        <v>-4.02</v>
      </c>
      <c r="AA339" s="53" t="str">
        <f t="shared" si="14"/>
        <v>WEAK RS</v>
      </c>
      <c r="AB339" s="53">
        <f>IFERROR(__xludf.DUMMYFUNCTION("IFERROR(LET(
  p, QUERY(GOOGLEFINANCE(TRIM(A339),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Loading"")"),28.7)</f>
        <v>28.7</v>
      </c>
      <c r="AC339" s="53" t="str">
        <f t="shared" si="15"/>
        <v>WEAK MOM</v>
      </c>
      <c r="AD339" s="53" t="str">
        <f>IFERROR(__xludf.DUMMYFUNCTION("IFERROR(IF(GOOGLEFINANCE(A339,""eps"")&gt;0,""EPS+"",""EPS-""),"""")"),"EPS+")</f>
        <v>EPS+</v>
      </c>
      <c r="AE339" s="53">
        <f t="shared" si="16"/>
        <v>3</v>
      </c>
      <c r="AF339" s="53">
        <f>IFERROR(__xludf.DUMMYFUNCTION("IFERROR(N339+IF(S339&gt;=1.2,1,0)+IF(U339&gt;=1,1,0)+IF(Z339&gt;0,1,0)+IF(AND(W339&gt;=-20,W339&lt;=0),1,0)+IF(IFERROR(GOOGLEFINANCE(A339,""eps""),0)&gt;0,1,0),"""")"),3.0)</f>
        <v>3</v>
      </c>
      <c r="AG339" s="53" t="str">
        <f t="shared" si="17"/>
        <v>REVERSE TRADE</v>
      </c>
    </row>
    <row r="340" ht="15.75" customHeight="1">
      <c r="A340" s="55" t="s">
        <v>507</v>
      </c>
      <c r="B340" s="44">
        <f>IFERROR(__xludf.DUMMYFUNCTION("GOOGLEFINANCE(A340,""price"")"),620.0)</f>
        <v>620</v>
      </c>
      <c r="C340" s="45">
        <f>IFERROR(__xludf.DUMMYFUNCTION("AVERAGE(QUERY(SORT(GOOGLEFINANCE(A340,""price"",TODAY()-150,TODAY()),1,0),""select Col2 limit 50""))"),644.3140000000001)</f>
        <v>644.314</v>
      </c>
      <c r="D340" s="45">
        <f>IFERROR(__xludf.DUMMYFUNCTION("AVERAGE(QUERY(SORT(GOOGLEFINANCE(A340,""price"",TODAY()-300,TODAY()),1,0),""select Col2 limit 100""))"),611.0380000000004)</f>
        <v>611.038</v>
      </c>
      <c r="E340" s="45">
        <f>IFERROR(__xludf.DUMMYFUNCTION("AVERAGE(QUERY(SORT(GOOGLEFINANCE(A340,""price"",TODAY()-500,TODAY()),1,0),""select Col2 limit 200""))"),581.738)</f>
        <v>581.738</v>
      </c>
      <c r="F340" s="46" t="str">
        <f t="shared" si="1"/>
        <v>Unconfirmed</v>
      </c>
      <c r="G340" s="47">
        <f t="shared" si="2"/>
        <v>6.577187669</v>
      </c>
      <c r="H340" s="48" t="str">
        <f t="shared" si="3"/>
        <v>Golden ✓</v>
      </c>
      <c r="I340" s="48">
        <f t="shared" si="4"/>
        <v>3</v>
      </c>
      <c r="J340" s="48">
        <f t="shared" si="5"/>
        <v>4</v>
      </c>
      <c r="K340" s="49" t="str">
        <f>IFERROR(__xludf.DUMMYFUNCTION("IFERROR(IF(A340="""",""ENTER STOCK"",LET(stock,A340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40" s="48">
        <f t="shared" si="6"/>
        <v>0</v>
      </c>
      <c r="M340" s="48">
        <f t="shared" si="7"/>
        <v>1</v>
      </c>
      <c r="N340" s="50">
        <f t="shared" si="8"/>
        <v>8</v>
      </c>
      <c r="P340" s="46" t="str">
        <f t="shared" si="9"/>
        <v>WAIT</v>
      </c>
      <c r="Q340" s="52"/>
      <c r="R340" s="53">
        <f t="shared" si="10"/>
        <v>15</v>
      </c>
      <c r="S340" s="53">
        <f>IFERROR(__xludf.DUMMYFUNCTION("IFERROR(ROUND(GOOGLEFINANCE(A340,""volume"")/GOOGLEFINANCE(A340,""volumeavg""),2),"""")"),1.52)</f>
        <v>1.52</v>
      </c>
      <c r="T340" s="53" t="str">
        <f t="shared" si="11"/>
        <v>HIGH VOL</v>
      </c>
      <c r="U340" s="53">
        <f>IFERROR(__xludf.DUMMYFUNCTION("IFERROR(
  LET(
    sd, GOOGLEFINANCE(A340,""close"",TODAY()-100,TODAY()),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"""")"),1.36)</f>
        <v>1.36</v>
      </c>
      <c r="V340" s="53" t="str">
        <f t="shared" si="12"/>
        <v>FAST</v>
      </c>
      <c r="W340" s="53">
        <f>IFERROR(__xludf.DUMMYFUNCTION("IFERROR(ROUND((B340/GOOGLEFINANCE(A340,""high52"")-1)*100,1),"""")"),-17.0)</f>
        <v>-17</v>
      </c>
      <c r="X340" s="53">
        <f>IFERROR(__xludf.DUMMYFUNCTION("IFERROR(ROUND((B340-GOOGLEFINANCE(A340,""low52""))/(GOOGLEFINANCE(A340,""high52"")-GOOGLEFINANCE(A340,""low52""))*100,1),"""")"),62.2)</f>
        <v>62.2</v>
      </c>
      <c r="Y340" s="53" t="str">
        <f t="shared" si="13"/>
        <v>UPPER</v>
      </c>
      <c r="Z340" s="53">
        <f>IFERROR(__xludf.DUMMYFUNCTION("IFERROR(ROUND(((B340 / INDEX(GOOGLEFINANCE(TRIM(A340), ""price"", TODAY()-34, TODAY()), 2, 2)) - (GOOGLEFINANCE(""NIFTY_50"") / INDEX(GOOGLEFINANCE(""NIFTY_50"", ""price"", TODAY()-34, TODAY()), 2, 2))) * 100, 2), ""Check History"")"),2.86)</f>
        <v>2.86</v>
      </c>
      <c r="AA340" s="53" t="str">
        <f t="shared" si="14"/>
        <v>MILD RS</v>
      </c>
      <c r="AB340" s="53">
        <f>IFERROR(__xludf.DUMMYFUNCTION("IFERROR(LET(
  p, QUERY(GOOGLEFINANCE(TRIM(A340),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Loading"")"),40.6)</f>
        <v>40.6</v>
      </c>
      <c r="AC340" s="53" t="str">
        <f t="shared" si="15"/>
        <v>WEAK MOM</v>
      </c>
      <c r="AD340" s="53" t="str">
        <f>IFERROR(__xludf.DUMMYFUNCTION("IFERROR(IF(GOOGLEFINANCE(A340,""eps"")&gt;0,""EPS+"",""EPS-""),"""")"),"EPS+")</f>
        <v>EPS+</v>
      </c>
      <c r="AE340" s="53">
        <f t="shared" si="16"/>
        <v>8</v>
      </c>
      <c r="AF340" s="53">
        <f>IFERROR(__xludf.DUMMYFUNCTION("IFERROR(N340+IF(S340&gt;=1.2,1,0)+IF(U340&gt;=1,1,0)+IF(Z340&gt;0,1,0)+IF(AND(W340&gt;=-20,W340&lt;=0),1,0)+IF(IFERROR(GOOGLEFINANCE(A340,""eps""),0)&gt;0,1,0),"""")"),13.0)</f>
        <v>13</v>
      </c>
      <c r="AG340" s="53" t="str">
        <f t="shared" si="17"/>
        <v>WAIT</v>
      </c>
    </row>
    <row r="341" ht="15.75" customHeight="1">
      <c r="A341" s="55" t="s">
        <v>508</v>
      </c>
      <c r="B341" s="44">
        <f>IFERROR(__xludf.DUMMYFUNCTION("GOOGLEFINANCE(A341,""price"")"),1318.0)</f>
        <v>1318</v>
      </c>
      <c r="C341" s="45">
        <f>IFERROR(__xludf.DUMMYFUNCTION("AVERAGE(QUERY(SORT(GOOGLEFINANCE(A341,""price"",TODAY()-150,TODAY()),1,0),""select Col2 limit 50""))"),1550.4520000000002)</f>
        <v>1550.452</v>
      </c>
      <c r="D341" s="45">
        <f>IFERROR(__xludf.DUMMYFUNCTION("AVERAGE(QUERY(SORT(GOOGLEFINANCE(A341,""price"",TODAY()-300,TODAY()),1,0),""select Col2 limit 100""))"),1668.6529999999998)</f>
        <v>1668.653</v>
      </c>
      <c r="E341" s="45">
        <f>IFERROR(__xludf.DUMMYFUNCTION("AVERAGE(QUERY(SORT(GOOGLEFINANCE(A341,""price"",TODAY()-500,TODAY()),1,0),""select Col2 limit 200""))"),1689.908499999999)</f>
        <v>1689.9085</v>
      </c>
      <c r="F341" s="46" t="str">
        <f t="shared" si="1"/>
        <v>In Bear Run</v>
      </c>
      <c r="G341" s="47">
        <f t="shared" si="2"/>
        <v>-22.00761165</v>
      </c>
      <c r="H341" s="48" t="str">
        <f t="shared" si="3"/>
        <v>Inverted ✗</v>
      </c>
      <c r="I341" s="48">
        <f t="shared" si="4"/>
        <v>0</v>
      </c>
      <c r="J341" s="48">
        <f t="shared" si="5"/>
        <v>0</v>
      </c>
      <c r="K341" s="49" t="str">
        <f>IFERROR(__xludf.DUMMYFUNCTION("IFERROR(IF(A341="""",""ENTER STOCK"",LET(stock,A341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41" s="48">
        <f t="shared" si="6"/>
        <v>0</v>
      </c>
      <c r="M341" s="48">
        <f t="shared" si="7"/>
        <v>1</v>
      </c>
      <c r="N341" s="50">
        <f t="shared" si="8"/>
        <v>1</v>
      </c>
      <c r="P341" s="46" t="str">
        <f t="shared" si="9"/>
        <v>REVERSE TRADE</v>
      </c>
      <c r="Q341" s="52"/>
      <c r="R341" s="53">
        <f t="shared" si="10"/>
        <v>15</v>
      </c>
      <c r="S341" s="53">
        <f>IFERROR(__xludf.DUMMYFUNCTION("IFERROR(ROUND(GOOGLEFINANCE(A341,""volume"")/GOOGLEFINANCE(A341,""volumeavg""),2),"""")"),3.15)</f>
        <v>3.15</v>
      </c>
      <c r="T341" s="53" t="str">
        <f t="shared" si="11"/>
        <v>HIGH VOL</v>
      </c>
      <c r="U341" s="53">
        <f>IFERROR(__xludf.DUMMYFUNCTION("IFERROR(
  LET(
    sd, GOOGLEFINANCE(A341,""close"",TODAY()-100,TODAY()),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"""")"),1.22)</f>
        <v>1.22</v>
      </c>
      <c r="V341" s="53" t="str">
        <f t="shared" si="12"/>
        <v>FAST</v>
      </c>
      <c r="W341" s="53">
        <f>IFERROR(__xludf.DUMMYFUNCTION("IFERROR(ROUND((B341/GOOGLEFINANCE(A341,""high52"")-1)*100,1),"""")"),-39.3)</f>
        <v>-39.3</v>
      </c>
      <c r="X341" s="53">
        <f>IFERROR(__xludf.DUMMYFUNCTION("IFERROR(ROUND((B341-GOOGLEFINANCE(A341,""low52""))/(GOOGLEFINANCE(A341,""high52"")-GOOGLEFINANCE(A341,""low52""))*100,1),"""")"),3.1)</f>
        <v>3.1</v>
      </c>
      <c r="Y341" s="53" t="str">
        <f t="shared" si="13"/>
        <v>MID</v>
      </c>
      <c r="Z341" s="53">
        <f>IFERROR(__xludf.DUMMYFUNCTION("IFERROR(ROUND(((B341 / INDEX(GOOGLEFINANCE(TRIM(A341), ""price"", TODAY()-34, TODAY()), 2, 2)) - (GOOGLEFINANCE(""NIFTY_50"") / INDEX(GOOGLEFINANCE(""NIFTY_50"", ""price"", TODAY()-34, TODAY()), 2, 2))) * 100, 2), ""Check History"")"),-4.41)</f>
        <v>-4.41</v>
      </c>
      <c r="AA341" s="53" t="str">
        <f t="shared" si="14"/>
        <v>WEAK RS</v>
      </c>
      <c r="AB341" s="53">
        <f>IFERROR(__xludf.DUMMYFUNCTION("IFERROR(LET(
  p, QUERY(GOOGLEFINANCE(TRIM(A341),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Loading"")"),46.7)</f>
        <v>46.7</v>
      </c>
      <c r="AC341" s="53" t="str">
        <f t="shared" si="15"/>
        <v>IDEAL ENTRY</v>
      </c>
      <c r="AD341" s="53" t="str">
        <f>IFERROR(__xludf.DUMMYFUNCTION("IFERROR(IF(GOOGLEFINANCE(A341,""eps"")&gt;0,""EPS+"",""EPS-""),"""")"),"EPS+")</f>
        <v>EPS+</v>
      </c>
      <c r="AE341" s="53">
        <f t="shared" si="16"/>
        <v>6</v>
      </c>
      <c r="AF341" s="53">
        <f>IFERROR(__xludf.DUMMYFUNCTION("IFERROR(N341+IF(S341&gt;=1.2,1,0)+IF(U341&gt;=1,1,0)+IF(Z341&gt;0,1,0)+IF(AND(W341&gt;=-20,W341&lt;=0),1,0)+IF(IFERROR(GOOGLEFINANCE(A341,""eps""),0)&gt;0,1,0),"""")"),4.0)</f>
        <v>4</v>
      </c>
      <c r="AG341" s="53" t="str">
        <f t="shared" si="17"/>
        <v>REVERSE TRADE</v>
      </c>
    </row>
    <row r="342" ht="15.75" customHeight="1">
      <c r="A342" s="55" t="s">
        <v>509</v>
      </c>
      <c r="B342" s="44">
        <f>IFERROR(__xludf.DUMMYFUNCTION("GOOGLEFINANCE(A342,""price"")"),1415.7)</f>
        <v>1415.7</v>
      </c>
      <c r="C342" s="45">
        <f>IFERROR(__xludf.DUMMYFUNCTION("AVERAGE(QUERY(SORT(GOOGLEFINANCE(A342,""price"",TODAY()-150,TODAY()),1,0),""select Col2 limit 50""))"),1298.402)</f>
        <v>1298.402</v>
      </c>
      <c r="D342" s="45">
        <f>IFERROR(__xludf.DUMMYFUNCTION("AVERAGE(QUERY(SORT(GOOGLEFINANCE(A342,""price"",TODAY()-300,TODAY()),1,0),""select Col2 limit 100""))"),1200.4730000000004)</f>
        <v>1200.473</v>
      </c>
      <c r="E342" s="45">
        <f>IFERROR(__xludf.DUMMYFUNCTION("AVERAGE(QUERY(SORT(GOOGLEFINANCE(A342,""price"",TODAY()-500,TODAY()),1,0),""select Col2 limit 200""))"),1097.06175)</f>
        <v>1097.06175</v>
      </c>
      <c r="F342" s="46" t="str">
        <f t="shared" si="1"/>
        <v>In Bull Run</v>
      </c>
      <c r="G342" s="47">
        <f t="shared" si="2"/>
        <v>29.04469598</v>
      </c>
      <c r="H342" s="48" t="str">
        <f t="shared" si="3"/>
        <v>Golden ✓</v>
      </c>
      <c r="I342" s="48">
        <f t="shared" si="4"/>
        <v>3</v>
      </c>
      <c r="J342" s="48">
        <f t="shared" si="5"/>
        <v>0</v>
      </c>
      <c r="K342" s="49" t="str">
        <f>IFERROR(__xludf.DUMMYFUNCTION("IFERROR(IF(A342="""",""ENTER STOCK"",LET(stock,A342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42" s="48">
        <f t="shared" si="6"/>
        <v>0</v>
      </c>
      <c r="M342" s="48">
        <f t="shared" si="7"/>
        <v>1</v>
      </c>
      <c r="N342" s="50">
        <f t="shared" si="8"/>
        <v>4</v>
      </c>
      <c r="P342" s="46" t="str">
        <f t="shared" si="9"/>
        <v>SKIP</v>
      </c>
      <c r="Q342" s="52"/>
      <c r="R342" s="53">
        <f t="shared" si="10"/>
        <v>15</v>
      </c>
      <c r="S342" s="53">
        <f>IFERROR(__xludf.DUMMYFUNCTION("IFERROR(ROUND(GOOGLEFINANCE(A342,""volume"")/GOOGLEFINANCE(A342,""volumeavg""),2),"""")"),0.9)</f>
        <v>0.9</v>
      </c>
      <c r="T342" s="53" t="str">
        <f t="shared" si="11"/>
        <v>LOW VOL</v>
      </c>
      <c r="U342" s="53">
        <f>IFERROR(__xludf.DUMMYFUNCTION("IFERROR(
  LET(
    sd, GOOGLEFINANCE(A342,""close"",TODAY()-100,TODAY()),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"""")"),0.43)</f>
        <v>0.43</v>
      </c>
      <c r="V342" s="53" t="str">
        <f t="shared" si="12"/>
        <v>SLOW</v>
      </c>
      <c r="W342" s="53">
        <f>IFERROR(__xludf.DUMMYFUNCTION("IFERROR(ROUND((B342/GOOGLEFINANCE(A342,""high52"")-1)*100,1),"""")"),-6.2)</f>
        <v>-6.2</v>
      </c>
      <c r="X342" s="53">
        <f>IFERROR(__xludf.DUMMYFUNCTION("IFERROR(ROUND((B342-GOOGLEFINANCE(A342,""low52""))/(GOOGLEFINANCE(A342,""high52"")-GOOGLEFINANCE(A342,""low52""))*100,1),"""")"),86.8)</f>
        <v>86.8</v>
      </c>
      <c r="Y342" s="53" t="str">
        <f t="shared" si="13"/>
        <v>UPPER</v>
      </c>
      <c r="Z342" s="53">
        <f>IFERROR(__xludf.DUMMYFUNCTION("IFERROR(ROUND(((B342 / INDEX(GOOGLEFINANCE(TRIM(A342), ""price"", TODAY()-34, TODAY()), 2, 2)) - (GOOGLEFINANCE(""NIFTY_50"") / INDEX(GOOGLEFINANCE(""NIFTY_50"", ""price"", TODAY()-34, TODAY()), 2, 2))) * 100, 2), ""Check History"")"),19.16)</f>
        <v>19.16</v>
      </c>
      <c r="AA342" s="53" t="str">
        <f t="shared" si="14"/>
        <v>STRONG RS</v>
      </c>
      <c r="AB342" s="53">
        <f>IFERROR(__xludf.DUMMYFUNCTION("IFERROR(LET(
  p, QUERY(GOOGLEFINANCE(TRIM(A342),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Loading"")"),51.0)</f>
        <v>51</v>
      </c>
      <c r="AC342" s="53" t="str">
        <f t="shared" si="15"/>
        <v>IDEAL ENTRY</v>
      </c>
      <c r="AD342" s="53" t="str">
        <f>IFERROR(__xludf.DUMMYFUNCTION("IFERROR(IF(GOOGLEFINANCE(A342,""eps"")&gt;0,""EPS+"",""EPS-""),"""")"),"EPS+")</f>
        <v>EPS+</v>
      </c>
      <c r="AE342" s="53">
        <f t="shared" si="16"/>
        <v>4</v>
      </c>
      <c r="AF342" s="53">
        <f>IFERROR(__xludf.DUMMYFUNCTION("IFERROR(N342+IF(S342&gt;=1.2,1,0)+IF(U342&gt;=1,1,0)+IF(Z342&gt;0,1,0)+IF(AND(W342&gt;=-20,W342&lt;=0),1,0)+IF(IFERROR(GOOGLEFINANCE(A342,""eps""),0)&gt;0,1,0),"""")"),7.0)</f>
        <v>7</v>
      </c>
      <c r="AG342" s="53" t="str">
        <f t="shared" si="17"/>
        <v>WATCH</v>
      </c>
    </row>
    <row r="343" ht="15.75" customHeight="1">
      <c r="A343" s="55" t="s">
        <v>510</v>
      </c>
      <c r="B343" s="44">
        <f>IFERROR(__xludf.DUMMYFUNCTION("GOOGLEFINANCE(A343,""price"")"),565.95)</f>
        <v>565.95</v>
      </c>
      <c r="C343" s="45">
        <f>IFERROR(__xludf.DUMMYFUNCTION("AVERAGE(QUERY(SORT(GOOGLEFINANCE(A343,""price"",TODAY()-150,TODAY()),1,0),""select Col2 limit 50""))"),563.9099999999999)</f>
        <v>563.91</v>
      </c>
      <c r="D343" s="45">
        <f>IFERROR(__xludf.DUMMYFUNCTION("AVERAGE(QUERY(SORT(GOOGLEFINANCE(A343,""price"",TODAY()-300,TODAY()),1,0),""select Col2 limit 100""))"),557.0464999999999)</f>
        <v>557.0465</v>
      </c>
      <c r="E343" s="45">
        <f>IFERROR(__xludf.DUMMYFUNCTION("AVERAGE(QUERY(SORT(GOOGLEFINANCE(A343,""price"",TODAY()-500,TODAY()),1,0),""select Col2 limit 200""))"),517.119)</f>
        <v>517.119</v>
      </c>
      <c r="F343" s="46" t="str">
        <f t="shared" si="1"/>
        <v>In Bull Run</v>
      </c>
      <c r="G343" s="47">
        <f t="shared" si="2"/>
        <v>9.442894189</v>
      </c>
      <c r="H343" s="48" t="str">
        <f t="shared" si="3"/>
        <v>Golden ✓</v>
      </c>
      <c r="I343" s="48">
        <f t="shared" si="4"/>
        <v>3</v>
      </c>
      <c r="J343" s="48">
        <f t="shared" si="5"/>
        <v>4</v>
      </c>
      <c r="K343" s="49" t="str">
        <f>IFERROR(__xludf.DUMMYFUNCTION("IFERROR(IF(A343="""",""ENTER STOCK"",LET(stock,A343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43" s="48">
        <f t="shared" si="6"/>
        <v>0</v>
      </c>
      <c r="M343" s="48">
        <f t="shared" si="7"/>
        <v>1</v>
      </c>
      <c r="N343" s="50">
        <f t="shared" si="8"/>
        <v>8</v>
      </c>
      <c r="P343" s="46" t="str">
        <f t="shared" si="9"/>
        <v>PRIME BUY</v>
      </c>
      <c r="Q343" s="52"/>
      <c r="R343" s="53">
        <f t="shared" si="10"/>
        <v>15</v>
      </c>
      <c r="S343" s="53">
        <f>IFERROR(__xludf.DUMMYFUNCTION("IFERROR(ROUND(GOOGLEFINANCE(A343,""volume"")/GOOGLEFINANCE(A343,""volumeavg""),2),"""")"),1.05)</f>
        <v>1.05</v>
      </c>
      <c r="T343" s="53" t="str">
        <f t="shared" si="11"/>
        <v>LOW VOL</v>
      </c>
      <c r="U343" s="53">
        <f>IFERROR(__xludf.DUMMYFUNCTION("IFERROR(
  LET(
    sd, GOOGLEFINANCE(A343,""close"",TODAY()-100,TODAY()),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"""")"),1.51)</f>
        <v>1.51</v>
      </c>
      <c r="V343" s="53" t="str">
        <f t="shared" si="12"/>
        <v>FAST</v>
      </c>
      <c r="W343" s="53">
        <f>IFERROR(__xludf.DUMMYFUNCTION("IFERROR(ROUND((B343/GOOGLEFINANCE(A343,""high52"")-1)*100,1),"""")"),-13.1)</f>
        <v>-13.1</v>
      </c>
      <c r="X343" s="53">
        <f>IFERROR(__xludf.DUMMYFUNCTION("IFERROR(ROUND((B343-GOOGLEFINANCE(A343,""low52""))/(GOOGLEFINANCE(A343,""high52"")-GOOGLEFINANCE(A343,""low52""))*100,1),"""")"),78.7)</f>
        <v>78.7</v>
      </c>
      <c r="Y343" s="53" t="str">
        <f t="shared" si="13"/>
        <v>UPPER</v>
      </c>
      <c r="Z343" s="53">
        <f>IFERROR(__xludf.DUMMYFUNCTION("IFERROR(ROUND(((B343 / INDEX(GOOGLEFINANCE(TRIM(A343), ""price"", TODAY()-34, TODAY()), 2, 2)) - (GOOGLEFINANCE(""NIFTY_50"") / INDEX(GOOGLEFINANCE(""NIFTY_50"", ""price"", TODAY()-34, TODAY()), 2, 2))) * 100, 2), ""Check History"")"),13.08)</f>
        <v>13.08</v>
      </c>
      <c r="AA343" s="53" t="str">
        <f t="shared" si="14"/>
        <v>STRONG RS</v>
      </c>
      <c r="AB343" s="53">
        <f>IFERROR(__xludf.DUMMYFUNCTION("IFERROR(LET(
  p, QUERY(GOOGLEFINANCE(TRIM(A343),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Loading"")"),52.5)</f>
        <v>52.5</v>
      </c>
      <c r="AC343" s="53" t="str">
        <f t="shared" si="15"/>
        <v>IDEAL ENTRY</v>
      </c>
      <c r="AD343" s="53" t="str">
        <f>IFERROR(__xludf.DUMMYFUNCTION("IFERROR(IF(GOOGLEFINANCE(A343,""eps"")&gt;0,""EPS+"",""EPS-""),"""")"),"EPS+")</f>
        <v>EPS+</v>
      </c>
      <c r="AE343" s="53">
        <f t="shared" si="16"/>
        <v>8</v>
      </c>
      <c r="AF343" s="53">
        <f>IFERROR(__xludf.DUMMYFUNCTION("IFERROR(N343+IF(S343&gt;=1.2,1,0)+IF(U343&gt;=1,1,0)+IF(Z343&gt;0,1,0)+IF(AND(W343&gt;=-20,W343&lt;=0),1,0)+IF(IFERROR(GOOGLEFINANCE(A343,""eps""),0)&gt;0,1,0),"""")"),12.0)</f>
        <v>12</v>
      </c>
      <c r="AG343" s="53" t="str">
        <f t="shared" si="17"/>
        <v>PRIME BUY [10-20d]</v>
      </c>
    </row>
    <row r="344" ht="15.75" customHeight="1">
      <c r="A344" s="55" t="s">
        <v>511</v>
      </c>
      <c r="B344" s="44">
        <f>IFERROR(__xludf.DUMMYFUNCTION("GOOGLEFINANCE(A344,""price"")"),538.25)</f>
        <v>538.25</v>
      </c>
      <c r="C344" s="45">
        <f>IFERROR(__xludf.DUMMYFUNCTION("AVERAGE(QUERY(SORT(GOOGLEFINANCE(A344,""price"",TODAY()-150,TODAY()),1,0),""select Col2 limit 50""))"),538.6380000000001)</f>
        <v>538.638</v>
      </c>
      <c r="D344" s="45">
        <f>IFERROR(__xludf.DUMMYFUNCTION("AVERAGE(QUERY(SORT(GOOGLEFINANCE(A344,""price"",TODAY()-300,TODAY()),1,0),""select Col2 limit 100""))"),543.8950000000001)</f>
        <v>543.895</v>
      </c>
      <c r="E344" s="45">
        <f>IFERROR(__xludf.DUMMYFUNCTION("AVERAGE(QUERY(SORT(GOOGLEFINANCE(A344,""price"",TODAY()-500,TODAY()),1,0),""select Col2 limit 200""))"),528.2857499999999)</f>
        <v>528.28575</v>
      </c>
      <c r="F344" s="46" t="str">
        <f t="shared" si="1"/>
        <v>Unconfirmed</v>
      </c>
      <c r="G344" s="47">
        <f t="shared" si="2"/>
        <v>1.88614779</v>
      </c>
      <c r="H344" s="48" t="str">
        <f t="shared" si="3"/>
        <v>Inverted ✗</v>
      </c>
      <c r="I344" s="48">
        <f t="shared" si="4"/>
        <v>0</v>
      </c>
      <c r="J344" s="48">
        <f t="shared" si="5"/>
        <v>2</v>
      </c>
      <c r="K344" s="49" t="str">
        <f>IFERROR(__xludf.DUMMYFUNCTION("IFERROR(IF(A344="""",""ENTER STOCK"",LET(stock,A344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44" s="48">
        <f t="shared" si="6"/>
        <v>0</v>
      </c>
      <c r="M344" s="48">
        <f t="shared" si="7"/>
        <v>1</v>
      </c>
      <c r="N344" s="50">
        <f t="shared" si="8"/>
        <v>3</v>
      </c>
      <c r="P344" s="46" t="str">
        <f t="shared" si="9"/>
        <v>WAIT</v>
      </c>
      <c r="Q344" s="52"/>
      <c r="R344" s="53">
        <f t="shared" si="10"/>
        <v>15</v>
      </c>
      <c r="S344" s="53">
        <f>IFERROR(__xludf.DUMMYFUNCTION("IFERROR(ROUND(GOOGLEFINANCE(A344,""volume"")/GOOGLEFINANCE(A344,""volumeavg""),2),"""")"),5.28)</f>
        <v>5.28</v>
      </c>
      <c r="T344" s="53" t="str">
        <f t="shared" si="11"/>
        <v>HIGH VOL</v>
      </c>
      <c r="U344" s="53">
        <f>IFERROR(__xludf.DUMMYFUNCTION("IFERROR(
  LET(
    sd, GOOGLEFINANCE(A344,""close"",TODAY()-100,TODAY()),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"""")"),1.11)</f>
        <v>1.11</v>
      </c>
      <c r="V344" s="53" t="str">
        <f t="shared" si="12"/>
        <v>MEDIUM</v>
      </c>
      <c r="W344" s="53">
        <f>IFERROR(__xludf.DUMMYFUNCTION("IFERROR(ROUND((B344/GOOGLEFINANCE(A344,""high52"")-1)*100,1),"""")"),-19.9)</f>
        <v>-19.9</v>
      </c>
      <c r="X344" s="53">
        <f>IFERROR(__xludf.DUMMYFUNCTION("IFERROR(ROUND((B344-GOOGLEFINANCE(A344,""low52""))/(GOOGLEFINANCE(A344,""high52"")-GOOGLEFINANCE(A344,""low52""))*100,1),"""")"),49.7)</f>
        <v>49.7</v>
      </c>
      <c r="Y344" s="53" t="str">
        <f t="shared" si="13"/>
        <v>UPPER</v>
      </c>
      <c r="Z344" s="53">
        <f>IFERROR(__xludf.DUMMYFUNCTION("IFERROR(ROUND(((B344 / INDEX(GOOGLEFINANCE(TRIM(A344), ""price"", TODAY()-34, TODAY()), 2, 2)) - (GOOGLEFINANCE(""NIFTY_50"") / INDEX(GOOGLEFINANCE(""NIFTY_50"", ""price"", TODAY()-34, TODAY()), 2, 2))) * 100, 2), ""Check History"")"),7.47)</f>
        <v>7.47</v>
      </c>
      <c r="AA344" s="53" t="str">
        <f t="shared" si="14"/>
        <v>STRONG RS</v>
      </c>
      <c r="AB344" s="53">
        <f>IFERROR(__xludf.DUMMYFUNCTION("IFERROR(LET(
  p, QUERY(GOOGLEFINANCE(TRIM(A344),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Loading"")"),42.0)</f>
        <v>42</v>
      </c>
      <c r="AC344" s="53" t="str">
        <f t="shared" si="15"/>
        <v>WEAK MOM</v>
      </c>
      <c r="AD344" s="53" t="str">
        <f>IFERROR(__xludf.DUMMYFUNCTION("IFERROR(IF(GOOGLEFINANCE(A344,""eps"")&gt;0,""EPS+"",""EPS-""),"""")"),"EPS+")</f>
        <v>EPS+</v>
      </c>
      <c r="AE344" s="53">
        <f t="shared" si="16"/>
        <v>7</v>
      </c>
      <c r="AF344" s="53">
        <f>IFERROR(__xludf.DUMMYFUNCTION("IFERROR(N344+IF(S344&gt;=1.2,1,0)+IF(U344&gt;=1,1,0)+IF(Z344&gt;0,1,0)+IF(AND(W344&gt;=-20,W344&lt;=0),1,0)+IF(IFERROR(GOOGLEFINANCE(A344,""eps""),0)&gt;0,1,0),"""")"),8.0)</f>
        <v>8</v>
      </c>
      <c r="AG344" s="53" t="str">
        <f t="shared" si="17"/>
        <v>WAIT</v>
      </c>
    </row>
    <row r="345" ht="15.75" customHeight="1">
      <c r="A345" s="55" t="s">
        <v>512</v>
      </c>
      <c r="B345" s="44">
        <f>IFERROR(__xludf.DUMMYFUNCTION("GOOGLEFINANCE(A345,""price"")"),614.3)</f>
        <v>614.3</v>
      </c>
      <c r="C345" s="45">
        <f>IFERROR(__xludf.DUMMYFUNCTION("AVERAGE(QUERY(SORT(GOOGLEFINANCE(A345,""price"",TODAY()-150,TODAY()),1,0),""select Col2 limit 50""))"),715.1339999999999)</f>
        <v>715.134</v>
      </c>
      <c r="D345" s="45">
        <f>IFERROR(__xludf.DUMMYFUNCTION("AVERAGE(QUERY(SORT(GOOGLEFINANCE(A345,""price"",TODAY()-300,TODAY()),1,0),""select Col2 limit 100""))"),807.7184999999997)</f>
        <v>807.7185</v>
      </c>
      <c r="E345" s="45">
        <f>IFERROR(__xludf.DUMMYFUNCTION("AVERAGE(QUERY(SORT(GOOGLEFINANCE(A345,""price"",TODAY()-500,TODAY()),1,0),""select Col2 limit 200""))"),775.9544999999998)</f>
        <v>775.9545</v>
      </c>
      <c r="F345" s="46" t="str">
        <f t="shared" si="1"/>
        <v>In Bear Run</v>
      </c>
      <c r="G345" s="47">
        <f t="shared" si="2"/>
        <v>-20.83298699</v>
      </c>
      <c r="H345" s="48" t="str">
        <f t="shared" si="3"/>
        <v>Inverted ✗</v>
      </c>
      <c r="I345" s="48">
        <f t="shared" si="4"/>
        <v>0</v>
      </c>
      <c r="J345" s="48">
        <f t="shared" si="5"/>
        <v>0</v>
      </c>
      <c r="K345" s="49" t="str">
        <f>IFERROR(__xludf.DUMMYFUNCTION("IFERROR(IF(A345="""",""ENTER STOCK"",LET(stock,A345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45" s="48">
        <f t="shared" si="6"/>
        <v>0</v>
      </c>
      <c r="M345" s="48">
        <f t="shared" si="7"/>
        <v>1</v>
      </c>
      <c r="N345" s="50">
        <f t="shared" si="8"/>
        <v>1</v>
      </c>
      <c r="P345" s="46" t="str">
        <f t="shared" si="9"/>
        <v>REVERSE TRADE</v>
      </c>
      <c r="Q345" s="52"/>
      <c r="R345" s="53">
        <f t="shared" si="10"/>
        <v>15</v>
      </c>
      <c r="S345" s="53">
        <f>IFERROR(__xludf.DUMMYFUNCTION("IFERROR(ROUND(GOOGLEFINANCE(A345,""volume"")/GOOGLEFINANCE(A345,""volumeavg""),2),"""")"),1.46)</f>
        <v>1.46</v>
      </c>
      <c r="T345" s="53" t="str">
        <f t="shared" si="11"/>
        <v>OK VOL</v>
      </c>
      <c r="U345" s="53">
        <f>IFERROR(__xludf.DUMMYFUNCTION("IFERROR(
  LET(
    sd, GOOGLEFINANCE(A345,""close"",TODAY()-100,TODAY()),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"""")"),1.5)</f>
        <v>1.5</v>
      </c>
      <c r="V345" s="53" t="str">
        <f t="shared" si="12"/>
        <v>FAST</v>
      </c>
      <c r="W345" s="53">
        <f>IFERROR(__xludf.DUMMYFUNCTION("IFERROR(ROUND((B345/GOOGLEFINANCE(A345,""high52"")-1)*100,1),"""")"),-45.2)</f>
        <v>-45.2</v>
      </c>
      <c r="X345" s="53">
        <f>IFERROR(__xludf.DUMMYFUNCTION("IFERROR(ROUND((B345-GOOGLEFINANCE(A345,""low52""))/(GOOGLEFINANCE(A345,""high52"")-GOOGLEFINANCE(A345,""low52""))*100,1),"""")"),25.5)</f>
        <v>25.5</v>
      </c>
      <c r="Y345" s="53" t="str">
        <f t="shared" si="13"/>
        <v>DEEP RECOVERY</v>
      </c>
      <c r="Z345" s="53">
        <f>IFERROR(__xludf.DUMMYFUNCTION("IFERROR(ROUND(((B345 / INDEX(GOOGLEFINANCE(TRIM(A345), ""price"", TODAY()-34, TODAY()), 2, 2)) - (GOOGLEFINANCE(""NIFTY_50"") / INDEX(GOOGLEFINANCE(""NIFTY_50"", ""price"", TODAY()-34, TODAY()), 2, 2))) * 100, 2), ""Check History"")"),-0.15)</f>
        <v>-0.15</v>
      </c>
      <c r="AA345" s="53" t="str">
        <f t="shared" si="14"/>
        <v>WEAK RS</v>
      </c>
      <c r="AB345" s="53">
        <f>IFERROR(__xludf.DUMMYFUNCTION("IFERROR(LET(
  p, QUERY(GOOGLEFINANCE(TRIM(A345),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Loading"")"),50.5)</f>
        <v>50.5</v>
      </c>
      <c r="AC345" s="53" t="str">
        <f t="shared" si="15"/>
        <v>IDEAL ENTRY</v>
      </c>
      <c r="AD345" s="53" t="str">
        <f>IFERROR(__xludf.DUMMYFUNCTION("IFERROR(IF(GOOGLEFINANCE(A345,""eps"")&gt;0,""EPS+"",""EPS-""),"""")"),"EPS+")</f>
        <v>EPS+</v>
      </c>
      <c r="AE345" s="53">
        <f t="shared" si="16"/>
        <v>5</v>
      </c>
      <c r="AF345" s="53">
        <f>IFERROR(__xludf.DUMMYFUNCTION("IFERROR(N345+IF(S345&gt;=1.2,1,0)+IF(U345&gt;=1,1,0)+IF(Z345&gt;0,1,0)+IF(AND(W345&gt;=-20,W345&lt;=0),1,0)+IF(IFERROR(GOOGLEFINANCE(A345,""eps""),0)&gt;0,1,0),"""")"),4.0)</f>
        <v>4</v>
      </c>
      <c r="AG345" s="53" t="str">
        <f t="shared" si="17"/>
        <v>REVERSE TRADE</v>
      </c>
    </row>
    <row r="346" ht="15.75" customHeight="1">
      <c r="A346" s="55" t="s">
        <v>513</v>
      </c>
      <c r="B346" s="44">
        <f>IFERROR(__xludf.DUMMYFUNCTION("GOOGLEFINANCE(A346,""price"")"),67.84)</f>
        <v>67.84</v>
      </c>
      <c r="C346" s="45">
        <f>IFERROR(__xludf.DUMMYFUNCTION("AVERAGE(QUERY(SORT(GOOGLEFINANCE(A346,""price"",TODAY()-150,TODAY()),1,0),""select Col2 limit 50""))"),68.9104)</f>
        <v>68.9104</v>
      </c>
      <c r="D346" s="45">
        <f>IFERROR(__xludf.DUMMYFUNCTION("AVERAGE(QUERY(SORT(GOOGLEFINANCE(A346,""price"",TODAY()-300,TODAY()),1,0),""select Col2 limit 100""))"),69.26629999999999)</f>
        <v>69.2663</v>
      </c>
      <c r="E346" s="45">
        <f>IFERROR(__xludf.DUMMYFUNCTION("AVERAGE(QUERY(SORT(GOOGLEFINANCE(A346,""price"",TODAY()-500,TODAY()),1,0),""select Col2 limit 200""))"),73.40319999999998)</f>
        <v>73.4032</v>
      </c>
      <c r="F346" s="46" t="str">
        <f t="shared" si="1"/>
        <v>In Bear Run</v>
      </c>
      <c r="G346" s="47">
        <f t="shared" si="2"/>
        <v>-7.578961135</v>
      </c>
      <c r="H346" s="48" t="str">
        <f t="shared" si="3"/>
        <v>Inverted ✗</v>
      </c>
      <c r="I346" s="48">
        <f t="shared" si="4"/>
        <v>0</v>
      </c>
      <c r="J346" s="48">
        <f t="shared" si="5"/>
        <v>0</v>
      </c>
      <c r="K346" s="49" t="str">
        <f>IFERROR(__xludf.DUMMYFUNCTION("IFERROR(IF(A346="""",""ENTER STOCK"",LET(stock,A346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46" s="48">
        <f t="shared" si="6"/>
        <v>0</v>
      </c>
      <c r="M346" s="48">
        <f t="shared" si="7"/>
        <v>1</v>
      </c>
      <c r="N346" s="50">
        <f t="shared" si="8"/>
        <v>1</v>
      </c>
      <c r="P346" s="46" t="str">
        <f t="shared" si="9"/>
        <v>REVERSE TRADE</v>
      </c>
      <c r="Q346" s="52"/>
      <c r="R346" s="53">
        <f t="shared" si="10"/>
        <v>15</v>
      </c>
      <c r="S346" s="53">
        <f>IFERROR(__xludf.DUMMYFUNCTION("IFERROR(ROUND(GOOGLEFINANCE(A346,""volume"")/GOOGLEFINANCE(A346,""volumeavg""),2),"""")"),0.96)</f>
        <v>0.96</v>
      </c>
      <c r="T346" s="53" t="str">
        <f t="shared" si="11"/>
        <v>LOW VOL</v>
      </c>
      <c r="U346" s="53">
        <f>IFERROR(__xludf.DUMMYFUNCTION("IFERROR(
  LET(
    sd, GOOGLEFINANCE(A346,""close"",TODAY()-100,TODAY()),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"""")"),0.48)</f>
        <v>0.48</v>
      </c>
      <c r="V346" s="53" t="str">
        <f t="shared" si="12"/>
        <v>SLOW</v>
      </c>
      <c r="W346" s="53">
        <f>IFERROR(__xludf.DUMMYFUNCTION("IFERROR(ROUND((B346/GOOGLEFINANCE(A346,""high52"")-1)*100,1),"""")"),-27.8)</f>
        <v>-27.8</v>
      </c>
      <c r="X346" s="53">
        <f>IFERROR(__xludf.DUMMYFUNCTION("IFERROR(ROUND((B346-GOOGLEFINANCE(A346,""low52""))/(GOOGLEFINANCE(A346,""high52"")-GOOGLEFINANCE(A346,""low52""))*100,1),"""")"),23.5)</f>
        <v>23.5</v>
      </c>
      <c r="Y346" s="53" t="str">
        <f t="shared" si="13"/>
        <v>MID</v>
      </c>
      <c r="Z346" s="53">
        <f>IFERROR(__xludf.DUMMYFUNCTION("IFERROR(ROUND(((B346 / INDEX(GOOGLEFINANCE(TRIM(A346), ""price"", TODAY()-34, TODAY()), 2, 2)) - (GOOGLEFINANCE(""NIFTY_50"") / INDEX(GOOGLEFINANCE(""NIFTY_50"", ""price"", TODAY()-34, TODAY()), 2, 2))) * 100, 2), ""Check History"")"),9.92)</f>
        <v>9.92</v>
      </c>
      <c r="AA346" s="53" t="str">
        <f t="shared" si="14"/>
        <v>STRONG RS</v>
      </c>
      <c r="AB346" s="53">
        <f>IFERROR(__xludf.DUMMYFUNCTION("IFERROR(LET(
  p, QUERY(GOOGLEFINANCE(TRIM(A346),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Loading"")"),41.8)</f>
        <v>41.8</v>
      </c>
      <c r="AC346" s="53" t="str">
        <f t="shared" si="15"/>
        <v>WEAK MOM</v>
      </c>
      <c r="AD346" s="53" t="str">
        <f>IFERROR(__xludf.DUMMYFUNCTION("IFERROR(IF(GOOGLEFINANCE(A346,""eps"")&gt;0,""EPS+"",""EPS-""),"""")"),"EPS+")</f>
        <v>EPS+</v>
      </c>
      <c r="AE346" s="53">
        <f t="shared" si="16"/>
        <v>2</v>
      </c>
      <c r="AF346" s="53">
        <f>IFERROR(__xludf.DUMMYFUNCTION("IFERROR(N346+IF(S346&gt;=1.2,1,0)+IF(U346&gt;=1,1,0)+IF(Z346&gt;0,1,0)+IF(AND(W346&gt;=-20,W346&lt;=0),1,0)+IF(IFERROR(GOOGLEFINANCE(A346,""eps""),0)&gt;0,1,0),"""")"),3.0)</f>
        <v>3</v>
      </c>
      <c r="AG346" s="53" t="str">
        <f t="shared" si="17"/>
        <v>REVERSE TRADE</v>
      </c>
    </row>
    <row r="347" ht="15.75" customHeight="1">
      <c r="A347" s="55" t="s">
        <v>514</v>
      </c>
      <c r="B347" s="44">
        <f>IFERROR(__xludf.DUMMYFUNCTION("GOOGLEFINANCE(A347,""price"")"),362.0)</f>
        <v>362</v>
      </c>
      <c r="C347" s="45">
        <f>IFERROR(__xludf.DUMMYFUNCTION("AVERAGE(QUERY(SORT(GOOGLEFINANCE(A347,""price"",TODAY()-150,TODAY()),1,0),""select Col2 limit 50""))"),388.1119999999999)</f>
        <v>388.112</v>
      </c>
      <c r="D347" s="45">
        <f>IFERROR(__xludf.DUMMYFUNCTION("AVERAGE(QUERY(SORT(GOOGLEFINANCE(A347,""price"",TODAY()-300,TODAY()),1,0),""select Col2 limit 100""))"),437.2919999999999)</f>
        <v>437.292</v>
      </c>
      <c r="E347" s="45">
        <f>IFERROR(__xludf.DUMMYFUNCTION("AVERAGE(QUERY(SORT(GOOGLEFINANCE(A347,""price"",TODAY()-500,TODAY()),1,0),""select Col2 limit 200""))"),509.22225)</f>
        <v>509.22225</v>
      </c>
      <c r="F347" s="46" t="str">
        <f t="shared" si="1"/>
        <v>In Bear Run</v>
      </c>
      <c r="G347" s="47">
        <f t="shared" si="2"/>
        <v>-28.91119742</v>
      </c>
      <c r="H347" s="48" t="str">
        <f t="shared" si="3"/>
        <v>Inverted ✗</v>
      </c>
      <c r="I347" s="48">
        <f t="shared" si="4"/>
        <v>0</v>
      </c>
      <c r="J347" s="48">
        <f t="shared" si="5"/>
        <v>0</v>
      </c>
      <c r="K347" s="49" t="str">
        <f>IFERROR(__xludf.DUMMYFUNCTION("IFERROR(IF(A347="""",""ENTER STOCK"",LET(stock,A347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47" s="48">
        <f t="shared" si="6"/>
        <v>0</v>
      </c>
      <c r="M347" s="48">
        <f t="shared" si="7"/>
        <v>1</v>
      </c>
      <c r="N347" s="50">
        <f t="shared" si="8"/>
        <v>1</v>
      </c>
      <c r="P347" s="46" t="str">
        <f t="shared" si="9"/>
        <v>REVERSE TRADE</v>
      </c>
      <c r="Q347" s="52"/>
      <c r="R347" s="53">
        <f t="shared" si="10"/>
        <v>15</v>
      </c>
      <c r="S347" s="53">
        <f>IFERROR(__xludf.DUMMYFUNCTION("IFERROR(ROUND(GOOGLEFINANCE(A347,""volume"")/GOOGLEFINANCE(A347,""volumeavg""),2),"""")"),0.27)</f>
        <v>0.27</v>
      </c>
      <c r="T347" s="53" t="str">
        <f t="shared" si="11"/>
        <v>LOW VOL</v>
      </c>
      <c r="U347" s="53">
        <f>IFERROR(__xludf.DUMMYFUNCTION("IFERROR(
  LET(
    sd, GOOGLEFINANCE(A347,""close"",TODAY()-100,TODAY()),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"""")"),1.29)</f>
        <v>1.29</v>
      </c>
      <c r="V347" s="53" t="str">
        <f t="shared" si="12"/>
        <v>FAST</v>
      </c>
      <c r="W347" s="53">
        <f>IFERROR(__xludf.DUMMYFUNCTION("IFERROR(ROUND((B347/GOOGLEFINANCE(A347,""high52"")-1)*100,1),"""")"),-46.4)</f>
        <v>-46.4</v>
      </c>
      <c r="X347" s="53">
        <f>IFERROR(__xludf.DUMMYFUNCTION("IFERROR(ROUND((B347-GOOGLEFINANCE(A347,""low52""))/(GOOGLEFINANCE(A347,""high52"")-GOOGLEFINANCE(A347,""low52""))*100,1),"""")"),9.2)</f>
        <v>9.2</v>
      </c>
      <c r="Y347" s="53" t="str">
        <f t="shared" si="13"/>
        <v>DEEP RECOVERY</v>
      </c>
      <c r="Z347" s="53">
        <f>IFERROR(__xludf.DUMMYFUNCTION("IFERROR(ROUND(((B347 / INDEX(GOOGLEFINANCE(TRIM(A347), ""price"", TODAY()-34, TODAY()), 2, 2)) - (GOOGLEFINANCE(""NIFTY_50"") / INDEX(GOOGLEFINANCE(""NIFTY_50"", ""price"", TODAY()-34, TODAY()), 2, 2))) * 100, 2), ""Check History"")"),11.95)</f>
        <v>11.95</v>
      </c>
      <c r="AA347" s="53" t="str">
        <f t="shared" si="14"/>
        <v>STRONG RS</v>
      </c>
      <c r="AB347" s="53">
        <f>IFERROR(__xludf.DUMMYFUNCTION("IFERROR(LET(
  p, QUERY(GOOGLEFINANCE(TRIM(A347),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Loading"")"),61.5)</f>
        <v>61.5</v>
      </c>
      <c r="AC347" s="53" t="str">
        <f t="shared" si="15"/>
        <v>IDEAL ENTRY</v>
      </c>
      <c r="AD347" s="53" t="str">
        <f>IFERROR(__xludf.DUMMYFUNCTION("IFERROR(IF(GOOGLEFINANCE(A347,""eps"")&gt;0,""EPS+"",""EPS-""),"""")"),"EPS+")</f>
        <v>EPS+</v>
      </c>
      <c r="AE347" s="53">
        <f t="shared" si="16"/>
        <v>5</v>
      </c>
      <c r="AF347" s="53">
        <f>IFERROR(__xludf.DUMMYFUNCTION("IFERROR(N347+IF(S347&gt;=1.2,1,0)+IF(U347&gt;=1,1,0)+IF(Z347&gt;0,1,0)+IF(AND(W347&gt;=-20,W347&lt;=0),1,0)+IF(IFERROR(GOOGLEFINANCE(A347,""eps""),0)&gt;0,1,0),"""")"),4.0)</f>
        <v>4</v>
      </c>
      <c r="AG347" s="53" t="str">
        <f t="shared" si="17"/>
        <v>REVERSE TRADE</v>
      </c>
    </row>
    <row r="348" ht="15.75" customHeight="1">
      <c r="A348" s="55" t="s">
        <v>515</v>
      </c>
      <c r="B348" s="44">
        <f>IFERROR(__xludf.DUMMYFUNCTION("GOOGLEFINANCE(A348,""price"")"),443.55)</f>
        <v>443.55</v>
      </c>
      <c r="C348" s="45">
        <f>IFERROR(__xludf.DUMMYFUNCTION("AVERAGE(QUERY(SORT(GOOGLEFINANCE(A348,""price"",TODAY()-150,TODAY()),1,0),""select Col2 limit 50""))"),458.16400000000016)</f>
        <v>458.164</v>
      </c>
      <c r="D348" s="45">
        <f>IFERROR(__xludf.DUMMYFUNCTION("AVERAGE(QUERY(SORT(GOOGLEFINANCE(A348,""price"",TODAY()-300,TODAY()),1,0),""select Col2 limit 100""))"),461.07700000000034)</f>
        <v>461.077</v>
      </c>
      <c r="E348" s="45">
        <f>IFERROR(__xludf.DUMMYFUNCTION("AVERAGE(QUERY(SORT(GOOGLEFINANCE(A348,""price"",TODAY()-500,TODAY()),1,0),""select Col2 limit 200""))"),466.83375000000007)</f>
        <v>466.83375</v>
      </c>
      <c r="F348" s="46" t="str">
        <f t="shared" si="1"/>
        <v>In Bear Run</v>
      </c>
      <c r="G348" s="47">
        <f t="shared" si="2"/>
        <v>-4.987589265</v>
      </c>
      <c r="H348" s="48" t="str">
        <f t="shared" si="3"/>
        <v>Inverted ✗</v>
      </c>
      <c r="I348" s="48">
        <f t="shared" si="4"/>
        <v>0</v>
      </c>
      <c r="J348" s="48">
        <f t="shared" si="5"/>
        <v>0</v>
      </c>
      <c r="K348" s="49" t="str">
        <f>IFERROR(__xludf.DUMMYFUNCTION("IFERROR(IF(A348="""",""ENTER STOCK"",LET(stock,A348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48" s="48">
        <f t="shared" si="6"/>
        <v>0</v>
      </c>
      <c r="M348" s="48">
        <f t="shared" si="7"/>
        <v>1</v>
      </c>
      <c r="N348" s="50">
        <f t="shared" si="8"/>
        <v>1</v>
      </c>
      <c r="P348" s="46" t="str">
        <f t="shared" si="9"/>
        <v>REVERSE TRADE</v>
      </c>
      <c r="Q348" s="52"/>
      <c r="R348" s="53">
        <f t="shared" si="10"/>
        <v>15</v>
      </c>
      <c r="S348" s="53">
        <f>IFERROR(__xludf.DUMMYFUNCTION("IFERROR(ROUND(GOOGLEFINANCE(A348,""volume"")/GOOGLEFINANCE(A348,""volumeavg""),2),"""")"),2.61)</f>
        <v>2.61</v>
      </c>
      <c r="T348" s="53" t="str">
        <f t="shared" si="11"/>
        <v>HIGH VOL</v>
      </c>
      <c r="U348" s="53">
        <f>IFERROR(__xludf.DUMMYFUNCTION("IFERROR(
  LET(
    sd, GOOGLEFINANCE(A348,""close"",TODAY()-100,TODAY()),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"""")"),1.08)</f>
        <v>1.08</v>
      </c>
      <c r="V348" s="53" t="str">
        <f t="shared" si="12"/>
        <v>MEDIUM</v>
      </c>
      <c r="W348" s="53">
        <f>IFERROR(__xludf.DUMMYFUNCTION("IFERROR(ROUND((B348/GOOGLEFINANCE(A348,""high52"")-1)*100,1),"""")"),-17.0)</f>
        <v>-17</v>
      </c>
      <c r="X348" s="53">
        <f>IFERROR(__xludf.DUMMYFUNCTION("IFERROR(ROUND((B348-GOOGLEFINANCE(A348,""low52""))/(GOOGLEFINANCE(A348,""high52"")-GOOGLEFINANCE(A348,""low52""))*100,1),"""")"),46.2)</f>
        <v>46.2</v>
      </c>
      <c r="Y348" s="53" t="str">
        <f t="shared" si="13"/>
        <v>UPPER</v>
      </c>
      <c r="Z348" s="53">
        <f>IFERROR(__xludf.DUMMYFUNCTION("IFERROR(ROUND(((B348 / INDEX(GOOGLEFINANCE(TRIM(A348), ""price"", TODAY()-34, TODAY()), 2, 2)) - (GOOGLEFINANCE(""NIFTY_50"") / INDEX(GOOGLEFINANCE(""NIFTY_50"", ""price"", TODAY()-34, TODAY()), 2, 2))) * 100, 2), ""Check History"")"),3.02)</f>
        <v>3.02</v>
      </c>
      <c r="AA348" s="53" t="str">
        <f t="shared" si="14"/>
        <v>MILD RS</v>
      </c>
      <c r="AB348" s="53">
        <f>IFERROR(__xludf.DUMMYFUNCTION("IFERROR(LET(
  p, QUERY(GOOGLEFINANCE(TRIM(A348),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Loading"")"),50.7)</f>
        <v>50.7</v>
      </c>
      <c r="AC348" s="53" t="str">
        <f t="shared" si="15"/>
        <v>IDEAL ENTRY</v>
      </c>
      <c r="AD348" s="53" t="str">
        <f>IFERROR(__xludf.DUMMYFUNCTION("IFERROR(IF(GOOGLEFINANCE(A348,""eps"")&gt;0,""EPS+"",""EPS-""),"""")"),"EPS+")</f>
        <v>EPS+</v>
      </c>
      <c r="AE348" s="53">
        <f t="shared" si="16"/>
        <v>6</v>
      </c>
      <c r="AF348" s="53">
        <f>IFERROR(__xludf.DUMMYFUNCTION("IFERROR(N348+IF(S348&gt;=1.2,1,0)+IF(U348&gt;=1,1,0)+IF(Z348&gt;0,1,0)+IF(AND(W348&gt;=-20,W348&lt;=0),1,0)+IF(IFERROR(GOOGLEFINANCE(A348,""eps""),0)&gt;0,1,0),"""")"),6.0)</f>
        <v>6</v>
      </c>
      <c r="AG348" s="53" t="str">
        <f t="shared" si="17"/>
        <v>REVERSE TRADE</v>
      </c>
    </row>
    <row r="349" ht="15.75" customHeight="1">
      <c r="A349" s="55" t="s">
        <v>516</v>
      </c>
      <c r="B349" s="44">
        <f>IFERROR(__xludf.DUMMYFUNCTION("GOOGLEFINANCE(A349,""price"")"),453.0)</f>
        <v>453</v>
      </c>
      <c r="C349" s="45">
        <f>IFERROR(__xludf.DUMMYFUNCTION("AVERAGE(QUERY(SORT(GOOGLEFINANCE(A349,""price"",TODAY()-150,TODAY()),1,0),""select Col2 limit 50""))"),557.34)</f>
        <v>557.34</v>
      </c>
      <c r="D349" s="45">
        <f>IFERROR(__xludf.DUMMYFUNCTION("AVERAGE(QUERY(SORT(GOOGLEFINANCE(A349,""price"",TODAY()-300,TODAY()),1,0),""select Col2 limit 100""))"),477.5460000000002)</f>
        <v>477.546</v>
      </c>
      <c r="E349" s="45">
        <f>IFERROR(__xludf.DUMMYFUNCTION("AVERAGE(QUERY(SORT(GOOGLEFINANCE(A349,""price"",TODAY()-500,TODAY()),1,0),""select Col2 limit 200""))"),378.1032000000004)</f>
        <v>378.1032</v>
      </c>
      <c r="F349" s="46" t="str">
        <f t="shared" si="1"/>
        <v>Unconfirmed</v>
      </c>
      <c r="G349" s="47">
        <f t="shared" si="2"/>
        <v>19.8085602</v>
      </c>
      <c r="H349" s="48" t="str">
        <f t="shared" si="3"/>
        <v>Golden ✓</v>
      </c>
      <c r="I349" s="48">
        <f t="shared" si="4"/>
        <v>3</v>
      </c>
      <c r="J349" s="48">
        <f t="shared" si="5"/>
        <v>0</v>
      </c>
      <c r="K349" s="49" t="str">
        <f>IFERROR(__xludf.DUMMYFUNCTION("IFERROR(IF(A349="""",""ENTER STOCK"",LET(stock,A349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49" s="48">
        <f t="shared" si="6"/>
        <v>0</v>
      </c>
      <c r="M349" s="48">
        <f t="shared" si="7"/>
        <v>1</v>
      </c>
      <c r="N349" s="50">
        <f t="shared" si="8"/>
        <v>4</v>
      </c>
      <c r="P349" s="46" t="str">
        <f t="shared" si="9"/>
        <v>WAIT</v>
      </c>
      <c r="Q349" s="52"/>
      <c r="R349" s="53">
        <f t="shared" si="10"/>
        <v>15</v>
      </c>
      <c r="S349" s="53">
        <f>IFERROR(__xludf.DUMMYFUNCTION("IFERROR(ROUND(GOOGLEFINANCE(A349,""volume"")/GOOGLEFINANCE(A349,""volumeavg""),2),"""")"),1.32)</f>
        <v>1.32</v>
      </c>
      <c r="T349" s="53" t="str">
        <f t="shared" si="11"/>
        <v>OK VOL</v>
      </c>
      <c r="U349" s="53">
        <f>IFERROR(__xludf.DUMMYFUNCTION("IFERROR(
  LET(
    sd, GOOGLEFINANCE(A349,""close"",TODAY()-100,TODAY()),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"""")"),1.85)</f>
        <v>1.85</v>
      </c>
      <c r="V349" s="53" t="str">
        <f t="shared" si="12"/>
        <v>FAST</v>
      </c>
      <c r="W349" s="53">
        <f>IFERROR(__xludf.DUMMYFUNCTION("IFERROR(ROUND((B349/GOOGLEFINANCE(A349,""high52"")-1)*100,1),"""")"),-40.4)</f>
        <v>-40.4</v>
      </c>
      <c r="X349" s="53">
        <f>IFERROR(__xludf.DUMMYFUNCTION("IFERROR(ROUND((B349-GOOGLEFINANCE(A349,""low52""))/(GOOGLEFINANCE(A349,""high52"")-GOOGLEFINANCE(A349,""low52""))*100,1),"""")"),46.7)</f>
        <v>46.7</v>
      </c>
      <c r="Y349" s="53" t="str">
        <f t="shared" si="13"/>
        <v>DEEP RECOVERY</v>
      </c>
      <c r="Z349" s="53">
        <f>IFERROR(__xludf.DUMMYFUNCTION("IFERROR(ROUND(((B349 / INDEX(GOOGLEFINANCE(TRIM(A349), ""price"", TODAY()-34, TODAY()), 2, 2)) - (GOOGLEFINANCE(""NIFTY_50"") / INDEX(GOOGLEFINANCE(""NIFTY_50"", ""price"", TODAY()-34, TODAY()), 2, 2))) * 100, 2), ""Check History"")"),-7.44)</f>
        <v>-7.44</v>
      </c>
      <c r="AA349" s="53" t="str">
        <f t="shared" si="14"/>
        <v>WEAK RS</v>
      </c>
      <c r="AB349" s="53">
        <f>IFERROR(__xludf.DUMMYFUNCTION("IFERROR(LET(
  p, QUERY(GOOGLEFINANCE(TRIM(A349),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Loading"")"),40.0)</f>
        <v>40</v>
      </c>
      <c r="AC349" s="53" t="str">
        <f t="shared" si="15"/>
        <v>WEAK MOM</v>
      </c>
      <c r="AD349" s="53" t="str">
        <f>IFERROR(__xludf.DUMMYFUNCTION("IFERROR(IF(GOOGLEFINANCE(A349,""eps"")&gt;0,""EPS+"",""EPS-""),"""")"),"EPS+")</f>
        <v>EPS+</v>
      </c>
      <c r="AE349" s="53">
        <f t="shared" si="16"/>
        <v>5</v>
      </c>
      <c r="AF349" s="53">
        <f>IFERROR(__xludf.DUMMYFUNCTION("IFERROR(N349+IF(S349&gt;=1.2,1,0)+IF(U349&gt;=1,1,0)+IF(Z349&gt;0,1,0)+IF(AND(W349&gt;=-20,W349&lt;=0),1,0)+IF(IFERROR(GOOGLEFINANCE(A349,""eps""),0)&gt;0,1,0),"""")"),7.0)</f>
        <v>7</v>
      </c>
      <c r="AG349" s="53" t="str">
        <f t="shared" si="17"/>
        <v>WAIT</v>
      </c>
    </row>
    <row r="350" ht="15.75" customHeight="1">
      <c r="A350" s="55" t="s">
        <v>517</v>
      </c>
      <c r="B350" s="44">
        <f>IFERROR(__xludf.DUMMYFUNCTION("GOOGLEFINANCE(A350,""price"")"),298.4)</f>
        <v>298.4</v>
      </c>
      <c r="C350" s="45">
        <f>IFERROR(__xludf.DUMMYFUNCTION("AVERAGE(QUERY(SORT(GOOGLEFINANCE(A350,""price"",TODAY()-150,TODAY()),1,0),""select Col2 limit 50""))"),287.6050000000001)</f>
        <v>287.605</v>
      </c>
      <c r="D350" s="45">
        <f>IFERROR(__xludf.DUMMYFUNCTION("AVERAGE(QUERY(SORT(GOOGLEFINANCE(A350,""price"",TODAY()-300,TODAY()),1,0),""select Col2 limit 100""))"),283.85400000000004)</f>
        <v>283.854</v>
      </c>
      <c r="E350" s="45">
        <f>IFERROR(__xludf.DUMMYFUNCTION("AVERAGE(QUERY(SORT(GOOGLEFINANCE(A350,""price"",TODAY()-500,TODAY()),1,0),""select Col2 limit 200""))"),287.51175)</f>
        <v>287.51175</v>
      </c>
      <c r="F350" s="46" t="str">
        <f t="shared" si="1"/>
        <v>In Bull Run</v>
      </c>
      <c r="G350" s="47">
        <f t="shared" si="2"/>
        <v>3.787062616</v>
      </c>
      <c r="H350" s="48" t="str">
        <f t="shared" si="3"/>
        <v>Inverted ✗</v>
      </c>
      <c r="I350" s="48">
        <f t="shared" si="4"/>
        <v>0</v>
      </c>
      <c r="J350" s="48">
        <f t="shared" si="5"/>
        <v>4</v>
      </c>
      <c r="K350" s="49" t="str">
        <f>IFERROR(__xludf.DUMMYFUNCTION("IFERROR(IF(A350="""",""ENTER STOCK"",LET(stock,A350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50" s="48">
        <f t="shared" si="6"/>
        <v>0</v>
      </c>
      <c r="M350" s="48">
        <f t="shared" si="7"/>
        <v>1</v>
      </c>
      <c r="N350" s="50">
        <f t="shared" si="8"/>
        <v>5</v>
      </c>
      <c r="P350" s="46" t="str">
        <f t="shared" si="9"/>
        <v>WATCH</v>
      </c>
      <c r="Q350" s="52"/>
      <c r="R350" s="53">
        <f t="shared" si="10"/>
        <v>15</v>
      </c>
      <c r="S350" s="53">
        <f>IFERROR(__xludf.DUMMYFUNCTION("IFERROR(ROUND(GOOGLEFINANCE(A350,""volume"")/GOOGLEFINANCE(A350,""volumeavg""),2),"""")"),0.92)</f>
        <v>0.92</v>
      </c>
      <c r="T350" s="53" t="str">
        <f t="shared" si="11"/>
        <v>LOW VOL</v>
      </c>
      <c r="U350" s="53">
        <f>IFERROR(__xludf.DUMMYFUNCTION("IFERROR(
  LET(
    sd, GOOGLEFINANCE(A350,""close"",TODAY()-100,TODAY()),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"""")"),0.09)</f>
        <v>0.09</v>
      </c>
      <c r="V350" s="53" t="str">
        <f t="shared" si="12"/>
        <v>SLOW</v>
      </c>
      <c r="W350" s="53">
        <f>IFERROR(__xludf.DUMMYFUNCTION("IFERROR(ROUND((B350/GOOGLEFINANCE(A350,""high52"")-1)*100,1),"""")"),-10.7)</f>
        <v>-10.7</v>
      </c>
      <c r="X350" s="53">
        <f>IFERROR(__xludf.DUMMYFUNCTION("IFERROR(ROUND((B350-GOOGLEFINANCE(A350,""low52""))/(GOOGLEFINANCE(A350,""high52"")-GOOGLEFINANCE(A350,""low52""))*100,1),"""")"),70.6)</f>
        <v>70.6</v>
      </c>
      <c r="Y350" s="53" t="str">
        <f t="shared" si="13"/>
        <v>UPPER</v>
      </c>
      <c r="Z350" s="53">
        <f>IFERROR(__xludf.DUMMYFUNCTION("IFERROR(ROUND(((B350 / INDEX(GOOGLEFINANCE(TRIM(A350), ""price"", TODAY()-34, TODAY()), 2, 2)) - (GOOGLEFINANCE(""NIFTY_50"") / INDEX(GOOGLEFINANCE(""NIFTY_50"", ""price"", TODAY()-34, TODAY()), 2, 2))) * 100, 2), ""Check History"")"),9.79)</f>
        <v>9.79</v>
      </c>
      <c r="AA350" s="53" t="str">
        <f t="shared" si="14"/>
        <v>STRONG RS</v>
      </c>
      <c r="AB350" s="53">
        <f>IFERROR(__xludf.DUMMYFUNCTION("IFERROR(LET(
  p, QUERY(GOOGLEFINANCE(TRIM(A350),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Loading"")"),52.7)</f>
        <v>52.7</v>
      </c>
      <c r="AC350" s="53" t="str">
        <f t="shared" si="15"/>
        <v>IDEAL ENTRY</v>
      </c>
      <c r="AD350" s="53" t="str">
        <f>IFERROR(__xludf.DUMMYFUNCTION("IFERROR(IF(GOOGLEFINANCE(A350,""eps"")&gt;0,""EPS+"",""EPS-""),"""")"),"EPS+")</f>
        <v>EPS+</v>
      </c>
      <c r="AE350" s="53">
        <f t="shared" si="16"/>
        <v>3</v>
      </c>
      <c r="AF350" s="53">
        <f>IFERROR(__xludf.DUMMYFUNCTION("IFERROR(N350+IF(S350&gt;=1.2,1,0)+IF(U350&gt;=1,1,0)+IF(Z350&gt;0,1,0)+IF(AND(W350&gt;=-20,W350&lt;=0),1,0)+IF(IFERROR(GOOGLEFINANCE(A350,""eps""),0)&gt;0,1,0),"""")"),8.0)</f>
        <v>8</v>
      </c>
      <c r="AG350" s="53" t="str">
        <f t="shared" si="17"/>
        <v>BUY</v>
      </c>
    </row>
    <row r="351" ht="15.75" customHeight="1">
      <c r="A351" s="55" t="s">
        <v>518</v>
      </c>
      <c r="B351" s="44">
        <f>IFERROR(__xludf.DUMMYFUNCTION("GOOGLEFINANCE(A351,""price"")"),48.08)</f>
        <v>48.08</v>
      </c>
      <c r="C351" s="45">
        <f>IFERROR(__xludf.DUMMYFUNCTION("AVERAGE(QUERY(SORT(GOOGLEFINANCE(A351,""price"",TODAY()-150,TODAY()),1,0),""select Col2 limit 50""))"),57.371399999999994)</f>
        <v>57.3714</v>
      </c>
      <c r="D351" s="45">
        <f>IFERROR(__xludf.DUMMYFUNCTION("AVERAGE(QUERY(SORT(GOOGLEFINANCE(A351,""price"",TODAY()-300,TODAY()),1,0),""select Col2 limit 100""))"),54.57869999999999)</f>
        <v>54.5787</v>
      </c>
      <c r="E351" s="45">
        <f>IFERROR(__xludf.DUMMYFUNCTION("AVERAGE(QUERY(SORT(GOOGLEFINANCE(A351,""price"",TODAY()-500,TODAY()),1,0),""select Col2 limit 200""))"),56.13304999999998)</f>
        <v>56.13305</v>
      </c>
      <c r="F351" s="46" t="str">
        <f t="shared" si="1"/>
        <v>In Bear Run</v>
      </c>
      <c r="G351" s="47">
        <f t="shared" si="2"/>
        <v>-14.34636101</v>
      </c>
      <c r="H351" s="48" t="str">
        <f t="shared" si="3"/>
        <v>Inverted ✗</v>
      </c>
      <c r="I351" s="48">
        <f t="shared" si="4"/>
        <v>0</v>
      </c>
      <c r="J351" s="48">
        <f t="shared" si="5"/>
        <v>0</v>
      </c>
      <c r="K351" s="49" t="str">
        <f>IFERROR(__xludf.DUMMYFUNCTION("IFERROR(IF(A351="""",""ENTER STOCK"",LET(stock,A351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51" s="48">
        <f t="shared" si="6"/>
        <v>0</v>
      </c>
      <c r="M351" s="48">
        <f t="shared" si="7"/>
        <v>1</v>
      </c>
      <c r="N351" s="50">
        <f t="shared" si="8"/>
        <v>1</v>
      </c>
      <c r="P351" s="46" t="str">
        <f t="shared" si="9"/>
        <v>REVERSE TRADE</v>
      </c>
      <c r="Q351" s="52"/>
      <c r="R351" s="53">
        <f t="shared" si="10"/>
        <v>15</v>
      </c>
      <c r="S351" s="53">
        <f>IFERROR(__xludf.DUMMYFUNCTION("IFERROR(ROUND(GOOGLEFINANCE(A351,""volume"")/GOOGLEFINANCE(A351,""volumeavg""),2),"""")"),0.81)</f>
        <v>0.81</v>
      </c>
      <c r="T351" s="53" t="str">
        <f t="shared" si="11"/>
        <v>LOW VOL</v>
      </c>
      <c r="U351" s="53">
        <f>IFERROR(__xludf.DUMMYFUNCTION("IFERROR(
  LET(
    sd, GOOGLEFINANCE(A351,""close"",TODAY()-100,TODAY()),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"""")"),1.43)</f>
        <v>1.43</v>
      </c>
      <c r="V351" s="53" t="str">
        <f t="shared" si="12"/>
        <v>FAST</v>
      </c>
      <c r="W351" s="53">
        <f>IFERROR(__xludf.DUMMYFUNCTION("IFERROR(ROUND((B351/GOOGLEFINANCE(A351,""high52"")-1)*100,1),"""")"),-35.5)</f>
        <v>-35.5</v>
      </c>
      <c r="X351" s="53">
        <f>IFERROR(__xludf.DUMMYFUNCTION("IFERROR(ROUND((B351-GOOGLEFINANCE(A351,""low52""))/(GOOGLEFINANCE(A351,""high52"")-GOOGLEFINANCE(A351,""low52""))*100,1),"""")"),31.0)</f>
        <v>31</v>
      </c>
      <c r="Y351" s="53" t="str">
        <f t="shared" si="13"/>
        <v>MID</v>
      </c>
      <c r="Z351" s="53">
        <f>IFERROR(__xludf.DUMMYFUNCTION("IFERROR(ROUND(((B351 / INDEX(GOOGLEFINANCE(TRIM(A351), ""price"", TODAY()-34, TODAY()), 2, 2)) - (GOOGLEFINANCE(""NIFTY_50"") / INDEX(GOOGLEFINANCE(""NIFTY_50"", ""price"", TODAY()-34, TODAY()), 2, 2))) * 100, 2), ""Check History"")"),-5.95)</f>
        <v>-5.95</v>
      </c>
      <c r="AA351" s="53" t="str">
        <f t="shared" si="14"/>
        <v>WEAK RS</v>
      </c>
      <c r="AB351" s="53">
        <f>IFERROR(__xludf.DUMMYFUNCTION("IFERROR(LET(
  p, QUERY(GOOGLEFINANCE(TRIM(A351),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Loading"")"),43.9)</f>
        <v>43.9</v>
      </c>
      <c r="AC351" s="53" t="str">
        <f t="shared" si="15"/>
        <v>WEAK MOM</v>
      </c>
      <c r="AD351" s="53" t="str">
        <f>IFERROR(__xludf.DUMMYFUNCTION("IFERROR(IF(GOOGLEFINANCE(A351,""eps"")&gt;0,""EPS+"",""EPS-""),"""")"),"EPS+")</f>
        <v>EPS+</v>
      </c>
      <c r="AE351" s="53">
        <f t="shared" si="16"/>
        <v>3</v>
      </c>
      <c r="AF351" s="53">
        <f>IFERROR(__xludf.DUMMYFUNCTION("IFERROR(N351+IF(S351&gt;=1.2,1,0)+IF(U351&gt;=1,1,0)+IF(Z351&gt;0,1,0)+IF(AND(W351&gt;=-20,W351&lt;=0),1,0)+IF(IFERROR(GOOGLEFINANCE(A351,""eps""),0)&gt;0,1,0),"""")"),3.0)</f>
        <v>3</v>
      </c>
      <c r="AG351" s="53" t="str">
        <f t="shared" si="17"/>
        <v>REVERSE TRADE</v>
      </c>
    </row>
    <row r="352" ht="15.75" customHeight="1">
      <c r="A352" s="55" t="s">
        <v>519</v>
      </c>
      <c r="B352" s="44">
        <f>IFERROR(__xludf.DUMMYFUNCTION("GOOGLEFINANCE(A352,""price"")"),427.1)</f>
        <v>427.1</v>
      </c>
      <c r="C352" s="45">
        <f>IFERROR(__xludf.DUMMYFUNCTION("AVERAGE(QUERY(SORT(GOOGLEFINANCE(A352,""price"",TODAY()-150,TODAY()),1,0),""select Col2 limit 50""))"),514.3069999999999)</f>
        <v>514.307</v>
      </c>
      <c r="D352" s="45">
        <f>IFERROR(__xludf.DUMMYFUNCTION("AVERAGE(QUERY(SORT(GOOGLEFINANCE(A352,""price"",TODAY()-300,TODAY()),1,0),""select Col2 limit 100""))"),545.279)</f>
        <v>545.279</v>
      </c>
      <c r="E352" s="45">
        <f>IFERROR(__xludf.DUMMYFUNCTION("AVERAGE(QUERY(SORT(GOOGLEFINANCE(A352,""price"",TODAY()-500,TODAY()),1,0),""select Col2 limit 200""))"),509.9782500000001)</f>
        <v>509.97825</v>
      </c>
      <c r="F352" s="46" t="str">
        <f t="shared" si="1"/>
        <v>In Bear Run</v>
      </c>
      <c r="G352" s="47">
        <f t="shared" si="2"/>
        <v>-16.25133033</v>
      </c>
      <c r="H352" s="48" t="str">
        <f t="shared" si="3"/>
        <v>Inverted ✗</v>
      </c>
      <c r="I352" s="48">
        <f t="shared" si="4"/>
        <v>0</v>
      </c>
      <c r="J352" s="48">
        <f t="shared" si="5"/>
        <v>0</v>
      </c>
      <c r="K352" s="49" t="str">
        <f>IFERROR(__xludf.DUMMYFUNCTION("IFERROR(IF(A352="""",""ENTER STOCK"",LET(stock,A352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52" s="48">
        <f t="shared" si="6"/>
        <v>0</v>
      </c>
      <c r="M352" s="48">
        <f t="shared" si="7"/>
        <v>1</v>
      </c>
      <c r="N352" s="50">
        <f t="shared" si="8"/>
        <v>1</v>
      </c>
      <c r="P352" s="46" t="str">
        <f t="shared" si="9"/>
        <v>REVERSE TRADE</v>
      </c>
      <c r="Q352" s="52"/>
      <c r="R352" s="53">
        <f t="shared" si="10"/>
        <v>15</v>
      </c>
      <c r="S352" s="53">
        <f>IFERROR(__xludf.DUMMYFUNCTION("IFERROR(ROUND(GOOGLEFINANCE(A352,""volume"")/GOOGLEFINANCE(A352,""volumeavg""),2),"""")"),1.62)</f>
        <v>1.62</v>
      </c>
      <c r="T352" s="53" t="str">
        <f t="shared" si="11"/>
        <v>HIGH VOL</v>
      </c>
      <c r="U352" s="53">
        <f>IFERROR(__xludf.DUMMYFUNCTION("IFERROR(
  LET(
    sd, GOOGLEFINANCE(A352,""close"",TODAY()-100,TODAY()),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"""")"),0.29)</f>
        <v>0.29</v>
      </c>
      <c r="V352" s="53" t="str">
        <f t="shared" si="12"/>
        <v>SLOW</v>
      </c>
      <c r="W352" s="53">
        <f>IFERROR(__xludf.DUMMYFUNCTION("IFERROR(ROUND((B352/GOOGLEFINANCE(A352,""high52"")-1)*100,1),"""")"),-36.7)</f>
        <v>-36.7</v>
      </c>
      <c r="X352" s="53">
        <f>IFERROR(__xludf.DUMMYFUNCTION("IFERROR(ROUND((B352-GOOGLEFINANCE(A352,""low52""))/(GOOGLEFINANCE(A352,""high52"")-GOOGLEFINANCE(A352,""low52""))*100,1),"""")"),32.8)</f>
        <v>32.8</v>
      </c>
      <c r="Y352" s="53" t="str">
        <f t="shared" si="13"/>
        <v>MID</v>
      </c>
      <c r="Z352" s="53">
        <f>IFERROR(__xludf.DUMMYFUNCTION("IFERROR(ROUND(((B352 / INDEX(GOOGLEFINANCE(TRIM(A352), ""price"", TODAY()-34, TODAY()), 2, 2)) - (GOOGLEFINANCE(""NIFTY_50"") / INDEX(GOOGLEFINANCE(""NIFTY_50"", ""price"", TODAY()-34, TODAY()), 2, 2))) * 100, 2), ""Check History"")"),-2.83)</f>
        <v>-2.83</v>
      </c>
      <c r="AA352" s="53" t="str">
        <f t="shared" si="14"/>
        <v>WEAK RS</v>
      </c>
      <c r="AB352" s="53">
        <f>IFERROR(__xludf.DUMMYFUNCTION("IFERROR(LET(
  p, QUERY(GOOGLEFINANCE(TRIM(A352),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Loading"")"),50.5)</f>
        <v>50.5</v>
      </c>
      <c r="AC352" s="53" t="str">
        <f t="shared" si="15"/>
        <v>IDEAL ENTRY</v>
      </c>
      <c r="AD352" s="53" t="str">
        <f>IFERROR(__xludf.DUMMYFUNCTION("IFERROR(IF(GOOGLEFINANCE(A352,""eps"")&gt;0,""EPS+"",""EPS-""),"""")"),"EPS+")</f>
        <v>EPS+</v>
      </c>
      <c r="AE352" s="53">
        <f t="shared" si="16"/>
        <v>3</v>
      </c>
      <c r="AF352" s="53">
        <f>IFERROR(__xludf.DUMMYFUNCTION("IFERROR(N352+IF(S352&gt;=1.2,1,0)+IF(U352&gt;=1,1,0)+IF(Z352&gt;0,1,0)+IF(AND(W352&gt;=-20,W352&lt;=0),1,0)+IF(IFERROR(GOOGLEFINANCE(A352,""eps""),0)&gt;0,1,0),"""")"),3.0)</f>
        <v>3</v>
      </c>
      <c r="AG352" s="53" t="str">
        <f t="shared" si="17"/>
        <v>REVERSE TRADE</v>
      </c>
    </row>
    <row r="353" ht="15.75" customHeight="1">
      <c r="A353" s="55" t="s">
        <v>520</v>
      </c>
      <c r="B353" s="44">
        <f>IFERROR(__xludf.DUMMYFUNCTION("GOOGLEFINANCE(A353,""price"")"),1177.8)</f>
        <v>1177.8</v>
      </c>
      <c r="C353" s="45">
        <f>IFERROR(__xludf.DUMMYFUNCTION("AVERAGE(QUERY(SORT(GOOGLEFINANCE(A353,""price"",TODAY()-150,TODAY()),1,0),""select Col2 limit 50""))"),1148.2259999999997)</f>
        <v>1148.226</v>
      </c>
      <c r="D353" s="45">
        <f>IFERROR(__xludf.DUMMYFUNCTION("AVERAGE(QUERY(SORT(GOOGLEFINANCE(A353,""price"",TODAY()-300,TODAY()),1,0),""select Col2 limit 100""))"),1151.3769999999997)</f>
        <v>1151.377</v>
      </c>
      <c r="E353" s="45">
        <f>IFERROR(__xludf.DUMMYFUNCTION("AVERAGE(QUERY(SORT(GOOGLEFINANCE(A353,""price"",TODAY()-500,TODAY()),1,0),""select Col2 limit 200""))"),1170.0980000000006)</f>
        <v>1170.098</v>
      </c>
      <c r="F353" s="46" t="str">
        <f t="shared" si="1"/>
        <v>In Bull Run</v>
      </c>
      <c r="G353" s="47">
        <f t="shared" si="2"/>
        <v>0.658235464</v>
      </c>
      <c r="H353" s="48" t="str">
        <f t="shared" si="3"/>
        <v>Inverted ✗</v>
      </c>
      <c r="I353" s="48">
        <f t="shared" si="4"/>
        <v>0</v>
      </c>
      <c r="J353" s="48">
        <f t="shared" si="5"/>
        <v>2</v>
      </c>
      <c r="K353" s="49" t="str">
        <f>IFERROR(__xludf.DUMMYFUNCTION("IFERROR(IF(A353="""",""ENTER STOCK"",LET(stock,A353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53" s="48">
        <f t="shared" si="6"/>
        <v>0</v>
      </c>
      <c r="M353" s="48">
        <f t="shared" si="7"/>
        <v>1</v>
      </c>
      <c r="N353" s="50">
        <f t="shared" si="8"/>
        <v>3</v>
      </c>
      <c r="P353" s="46" t="str">
        <f t="shared" si="9"/>
        <v>SKIP</v>
      </c>
      <c r="Q353" s="52"/>
      <c r="R353" s="53">
        <f t="shared" si="10"/>
        <v>15</v>
      </c>
      <c r="S353" s="53">
        <f>IFERROR(__xludf.DUMMYFUNCTION("IFERROR(ROUND(GOOGLEFINANCE(A353,""volume"")/GOOGLEFINANCE(A353,""volumeavg""),2),"""")"),3.21)</f>
        <v>3.21</v>
      </c>
      <c r="T353" s="53" t="str">
        <f t="shared" si="11"/>
        <v>HIGH VOL</v>
      </c>
      <c r="U353" s="53">
        <f>IFERROR(__xludf.DUMMYFUNCTION("IFERROR(
  LET(
    sd, GOOGLEFINANCE(A353,""close"",TODAY()-100,TODAY()),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"""")"),0.19)</f>
        <v>0.19</v>
      </c>
      <c r="V353" s="53" t="str">
        <f t="shared" si="12"/>
        <v>SLOW</v>
      </c>
      <c r="W353" s="53">
        <f>IFERROR(__xludf.DUMMYFUNCTION("IFERROR(ROUND((B353/GOOGLEFINANCE(A353,""high52"")-1)*100,1),"""")"),-8.6)</f>
        <v>-8.6</v>
      </c>
      <c r="X353" s="53">
        <f>IFERROR(__xludf.DUMMYFUNCTION("IFERROR(ROUND((B353-GOOGLEFINANCE(A353,""low52""))/(GOOGLEFINANCE(A353,""high52"")-GOOGLEFINANCE(A353,""low52""))*100,1),"""")"),72.2)</f>
        <v>72.2</v>
      </c>
      <c r="Y353" s="53" t="str">
        <f t="shared" si="13"/>
        <v>UPPER</v>
      </c>
      <c r="Z353" s="53">
        <f>IFERROR(__xludf.DUMMYFUNCTION("IFERROR(ROUND(((B353 / INDEX(GOOGLEFINANCE(TRIM(A353), ""price"", TODAY()-34, TODAY()), 2, 2)) - (GOOGLEFINANCE(""NIFTY_50"") / INDEX(GOOGLEFINANCE(""NIFTY_50"", ""price"", TODAY()-34, TODAY()), 2, 2))) * 100, 2), ""Check History"")"),14.12)</f>
        <v>14.12</v>
      </c>
      <c r="AA353" s="53" t="str">
        <f t="shared" si="14"/>
        <v>STRONG RS</v>
      </c>
      <c r="AB353" s="53">
        <f>IFERROR(__xludf.DUMMYFUNCTION("IFERROR(LET(
  p, QUERY(GOOGLEFINANCE(TRIM(A353),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Loading"")"),45.2)</f>
        <v>45.2</v>
      </c>
      <c r="AC353" s="53" t="str">
        <f t="shared" si="15"/>
        <v>IDEAL ENTRY</v>
      </c>
      <c r="AD353" s="53" t="str">
        <f>IFERROR(__xludf.DUMMYFUNCTION("IFERROR(IF(GOOGLEFINANCE(A353,""eps"")&gt;0,""EPS+"",""EPS-""),"""")"),"EPS+")</f>
        <v>EPS+</v>
      </c>
      <c r="AE353" s="53">
        <f t="shared" si="16"/>
        <v>6</v>
      </c>
      <c r="AF353" s="53">
        <f>IFERROR(__xludf.DUMMYFUNCTION("IFERROR(N353+IF(S353&gt;=1.2,1,0)+IF(U353&gt;=1,1,0)+IF(Z353&gt;0,1,0)+IF(AND(W353&gt;=-20,W353&lt;=0),1,0)+IF(IFERROR(GOOGLEFINANCE(A353,""eps""),0)&gt;0,1,0),"""")"),7.0)</f>
        <v>7</v>
      </c>
      <c r="AG353" s="53" t="str">
        <f t="shared" si="17"/>
        <v>WATCH</v>
      </c>
    </row>
    <row r="354" ht="15.75" customHeight="1">
      <c r="A354" s="55" t="s">
        <v>521</v>
      </c>
      <c r="B354" s="44">
        <f>IFERROR(__xludf.DUMMYFUNCTION("GOOGLEFINANCE(A354,""price"")"),115.19)</f>
        <v>115.19</v>
      </c>
      <c r="C354" s="45">
        <f>IFERROR(__xludf.DUMMYFUNCTION("AVERAGE(QUERY(SORT(GOOGLEFINANCE(A354,""price"",TODAY()-150,TODAY()),1,0),""select Col2 limit 50""))"),145.00780000000003)</f>
        <v>145.0078</v>
      </c>
      <c r="D354" s="45">
        <f>IFERROR(__xludf.DUMMYFUNCTION("AVERAGE(QUERY(SORT(GOOGLEFINANCE(A354,""price"",TODAY()-300,TODAY()),1,0),""select Col2 limit 100""))"),154.2152)</f>
        <v>154.2152</v>
      </c>
      <c r="E354" s="45">
        <f>IFERROR(__xludf.DUMMYFUNCTION("AVERAGE(QUERY(SORT(GOOGLEFINANCE(A354,""price"",TODAY()-500,TODAY()),1,0),""select Col2 limit 200""))"),167.65544999999992)</f>
        <v>167.65545</v>
      </c>
      <c r="F354" s="46" t="str">
        <f t="shared" si="1"/>
        <v>In Bear Run</v>
      </c>
      <c r="G354" s="47">
        <f t="shared" si="2"/>
        <v>-31.29361437</v>
      </c>
      <c r="H354" s="48" t="str">
        <f t="shared" si="3"/>
        <v>Inverted ✗</v>
      </c>
      <c r="I354" s="48">
        <f t="shared" si="4"/>
        <v>0</v>
      </c>
      <c r="J354" s="48">
        <f t="shared" si="5"/>
        <v>0</v>
      </c>
      <c r="K354" s="49" t="str">
        <f>IFERROR(__xludf.DUMMYFUNCTION("IFERROR(IF(A354="""",""ENTER STOCK"",LET(stock,A354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54" s="48">
        <f t="shared" si="6"/>
        <v>0</v>
      </c>
      <c r="M354" s="48">
        <f t="shared" si="7"/>
        <v>1</v>
      </c>
      <c r="N354" s="50">
        <f t="shared" si="8"/>
        <v>1</v>
      </c>
      <c r="P354" s="46" t="str">
        <f t="shared" si="9"/>
        <v>REVERSE TRADE</v>
      </c>
      <c r="Q354" s="52"/>
      <c r="R354" s="53">
        <f t="shared" si="10"/>
        <v>15</v>
      </c>
      <c r="S354" s="53">
        <f>IFERROR(__xludf.DUMMYFUNCTION("IFERROR(ROUND(GOOGLEFINANCE(A354,""volume"")/GOOGLEFINANCE(A354,""volumeavg""),2),"""")"),1.07)</f>
        <v>1.07</v>
      </c>
      <c r="T354" s="53" t="str">
        <f t="shared" si="11"/>
        <v>LOW VOL</v>
      </c>
      <c r="U354" s="53">
        <f>IFERROR(__xludf.DUMMYFUNCTION("IFERROR(
  LET(
    sd, GOOGLEFINANCE(A354,""close"",TODAY()-100,TODAY()),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"""")"),1.57)</f>
        <v>1.57</v>
      </c>
      <c r="V354" s="53" t="str">
        <f t="shared" si="12"/>
        <v>FAST</v>
      </c>
      <c r="W354" s="53">
        <f>IFERROR(__xludf.DUMMYFUNCTION("IFERROR(ROUND((B354/GOOGLEFINANCE(A354,""high52"")-1)*100,1),"""")"),-48.9)</f>
        <v>-48.9</v>
      </c>
      <c r="X354" s="53">
        <f>IFERROR(__xludf.DUMMYFUNCTION("IFERROR(ROUND((B354-GOOGLEFINANCE(A354,""low52""))/(GOOGLEFINANCE(A354,""high52"")-GOOGLEFINANCE(A354,""low52""))*100,1),"""")"),0.6)</f>
        <v>0.6</v>
      </c>
      <c r="Y354" s="53" t="str">
        <f t="shared" si="13"/>
        <v>DEEP RECOVERY</v>
      </c>
      <c r="Z354" s="53">
        <f>IFERROR(__xludf.DUMMYFUNCTION("IFERROR(ROUND(((B354 / INDEX(GOOGLEFINANCE(TRIM(A354), ""price"", TODAY()-34, TODAY()), 2, 2)) - (GOOGLEFINANCE(""NIFTY_50"") / INDEX(GOOGLEFINANCE(""NIFTY_50"", ""price"", TODAY()-34, TODAY()), 2, 2))) * 100, 2), ""Check History"")"),-10.02)</f>
        <v>-10.02</v>
      </c>
      <c r="AA354" s="53" t="str">
        <f t="shared" si="14"/>
        <v>WEAK RS</v>
      </c>
      <c r="AB354" s="53">
        <f>IFERROR(__xludf.DUMMYFUNCTION("IFERROR(LET(
  p, QUERY(GOOGLEFINANCE(TRIM(A354),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Loading"")"),39.9)</f>
        <v>39.9</v>
      </c>
      <c r="AC354" s="53" t="str">
        <f t="shared" si="15"/>
        <v>WEAK MOM</v>
      </c>
      <c r="AD354" s="53" t="str">
        <f>IFERROR(__xludf.DUMMYFUNCTION("IFERROR(IF(GOOGLEFINANCE(A354,""eps"")&gt;0,""EPS+"",""EPS-""),"""")"),"EPS+")</f>
        <v>EPS+</v>
      </c>
      <c r="AE354" s="53">
        <f t="shared" si="16"/>
        <v>4</v>
      </c>
      <c r="AF354" s="53">
        <f>IFERROR(__xludf.DUMMYFUNCTION("IFERROR(N354+IF(S354&gt;=1.2,1,0)+IF(U354&gt;=1,1,0)+IF(Z354&gt;0,1,0)+IF(AND(W354&gt;=-20,W354&lt;=0),1,0)+IF(IFERROR(GOOGLEFINANCE(A354,""eps""),0)&gt;0,1,0),"""")"),3.0)</f>
        <v>3</v>
      </c>
      <c r="AG354" s="53" t="str">
        <f t="shared" si="17"/>
        <v>REVERSE TRADE</v>
      </c>
    </row>
    <row r="355" ht="15.75" customHeight="1">
      <c r="A355" s="55" t="s">
        <v>522</v>
      </c>
      <c r="B355" s="44">
        <f>IFERROR(__xludf.DUMMYFUNCTION("GOOGLEFINANCE(A355,""price"")"),434.5)</f>
        <v>434.5</v>
      </c>
      <c r="C355" s="45">
        <f>IFERROR(__xludf.DUMMYFUNCTION("AVERAGE(QUERY(SORT(GOOGLEFINANCE(A355,""price"",TODAY()-150,TODAY()),1,0),""select Col2 limit 50""))"),470.8569999999998)</f>
        <v>470.857</v>
      </c>
      <c r="D355" s="45">
        <f>IFERROR(__xludf.DUMMYFUNCTION("AVERAGE(QUERY(SORT(GOOGLEFINANCE(A355,""price"",TODAY()-300,TODAY()),1,0),""select Col2 limit 100""))"),496.8180000000001)</f>
        <v>496.818</v>
      </c>
      <c r="E355" s="45">
        <f>IFERROR(__xludf.DUMMYFUNCTION("AVERAGE(QUERY(SORT(GOOGLEFINANCE(A355,""price"",TODAY()-500,TODAY()),1,0),""select Col2 limit 200""))"),531.451)</f>
        <v>531.451</v>
      </c>
      <c r="F355" s="46" t="str">
        <f t="shared" si="1"/>
        <v>In Bear Run</v>
      </c>
      <c r="G355" s="47">
        <f t="shared" si="2"/>
        <v>-18.24269782</v>
      </c>
      <c r="H355" s="48" t="str">
        <f t="shared" si="3"/>
        <v>Inverted ✗</v>
      </c>
      <c r="I355" s="48">
        <f t="shared" si="4"/>
        <v>0</v>
      </c>
      <c r="J355" s="48">
        <f t="shared" si="5"/>
        <v>0</v>
      </c>
      <c r="K355" s="49" t="str">
        <f>IFERROR(__xludf.DUMMYFUNCTION("IFERROR(IF(A355="""",""ENTER STOCK"",LET(stock,A355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55" s="48">
        <f t="shared" si="6"/>
        <v>0</v>
      </c>
      <c r="M355" s="48">
        <f t="shared" si="7"/>
        <v>1</v>
      </c>
      <c r="N355" s="50">
        <f t="shared" si="8"/>
        <v>1</v>
      </c>
      <c r="P355" s="46" t="str">
        <f t="shared" si="9"/>
        <v>REVERSE TRADE</v>
      </c>
      <c r="Q355" s="52"/>
      <c r="R355" s="53">
        <f t="shared" si="10"/>
        <v>15</v>
      </c>
      <c r="S355" s="53">
        <f>IFERROR(__xludf.DUMMYFUNCTION("IFERROR(ROUND(GOOGLEFINANCE(A355,""volume"")/GOOGLEFINANCE(A355,""volumeavg""),2),"""")"),2.87)</f>
        <v>2.87</v>
      </c>
      <c r="T355" s="53" t="str">
        <f t="shared" si="11"/>
        <v>HIGH VOL</v>
      </c>
      <c r="U355" s="53">
        <f>IFERROR(__xludf.DUMMYFUNCTION("IFERROR(
  LET(
    sd, GOOGLEFINANCE(A355,""close"",TODAY()-100,TODAY()),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"""")"),0.89)</f>
        <v>0.89</v>
      </c>
      <c r="V355" s="53" t="str">
        <f t="shared" si="12"/>
        <v>SLOW</v>
      </c>
      <c r="W355" s="53">
        <f>IFERROR(__xludf.DUMMYFUNCTION("IFERROR(ROUND((B355/GOOGLEFINANCE(A355,""high52"")-1)*100,1),"""")"),-31.3)</f>
        <v>-31.3</v>
      </c>
      <c r="X355" s="53">
        <f>IFERROR(__xludf.DUMMYFUNCTION("IFERROR(ROUND((B355-GOOGLEFINANCE(A355,""low52""))/(GOOGLEFINANCE(A355,""high52"")-GOOGLEFINANCE(A355,""low52""))*100,1),"""")"),9.4)</f>
        <v>9.4</v>
      </c>
      <c r="Y355" s="53" t="str">
        <f t="shared" si="13"/>
        <v>MID</v>
      </c>
      <c r="Z355" s="53">
        <f>IFERROR(__xludf.DUMMYFUNCTION("IFERROR(ROUND(((B355 / INDEX(GOOGLEFINANCE(TRIM(A355), ""price"", TODAY()-34, TODAY()), 2, 2)) - (GOOGLEFINANCE(""NIFTY_50"") / INDEX(GOOGLEFINANCE(""NIFTY_50"", ""price"", TODAY()-34, TODAY()), 2, 2))) * 100, 2), ""Check History"")"),2.72)</f>
        <v>2.72</v>
      </c>
      <c r="AA355" s="53" t="str">
        <f t="shared" si="14"/>
        <v>MILD RS</v>
      </c>
      <c r="AB355" s="53">
        <f>IFERROR(__xludf.DUMMYFUNCTION("IFERROR(LET(
  p, QUERY(GOOGLEFINANCE(TRIM(A355),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Loading"")"),58.6)</f>
        <v>58.6</v>
      </c>
      <c r="AC355" s="53" t="str">
        <f t="shared" si="15"/>
        <v>IDEAL ENTRY</v>
      </c>
      <c r="AD355" s="53" t="str">
        <f>IFERROR(__xludf.DUMMYFUNCTION("IFERROR(IF(GOOGLEFINANCE(A355,""eps"")&gt;0,""EPS+"",""EPS-""),"""")"),"EPS+")</f>
        <v>EPS+</v>
      </c>
      <c r="AE355" s="53">
        <f t="shared" si="16"/>
        <v>5</v>
      </c>
      <c r="AF355" s="53">
        <f>IFERROR(__xludf.DUMMYFUNCTION("IFERROR(N355+IF(S355&gt;=1.2,1,0)+IF(U355&gt;=1,1,0)+IF(Z355&gt;0,1,0)+IF(AND(W355&gt;=-20,W355&lt;=0),1,0)+IF(IFERROR(GOOGLEFINANCE(A355,""eps""),0)&gt;0,1,0),"""")"),4.0)</f>
        <v>4</v>
      </c>
      <c r="AG355" s="53" t="str">
        <f t="shared" si="17"/>
        <v>REVERSE TRADE</v>
      </c>
    </row>
    <row r="356" ht="15.75" customHeight="1">
      <c r="A356" s="55" t="s">
        <v>523</v>
      </c>
      <c r="B356" s="44">
        <f>IFERROR(__xludf.DUMMYFUNCTION("GOOGLEFINANCE(A356,""price"")"),342.75)</f>
        <v>342.75</v>
      </c>
      <c r="C356" s="45">
        <f>IFERROR(__xludf.DUMMYFUNCTION("AVERAGE(QUERY(SORT(GOOGLEFINANCE(A356,""price"",TODAY()-150,TODAY()),1,0),""select Col2 limit 50""))"),415.7530000000001)</f>
        <v>415.753</v>
      </c>
      <c r="D356" s="45">
        <f>IFERROR(__xludf.DUMMYFUNCTION("AVERAGE(QUERY(SORT(GOOGLEFINANCE(A356,""price"",TODAY()-300,TODAY()),1,0),""select Col2 limit 100""))"),417.32550000000003)</f>
        <v>417.3255</v>
      </c>
      <c r="E356" s="45">
        <f>IFERROR(__xludf.DUMMYFUNCTION("AVERAGE(QUERY(SORT(GOOGLEFINANCE(A356,""price"",TODAY()-500,TODAY()),1,0),""select Col2 limit 200""))"),393.5895)</f>
        <v>393.5895</v>
      </c>
      <c r="F356" s="46" t="str">
        <f t="shared" si="1"/>
        <v>In Bear Run</v>
      </c>
      <c r="G356" s="47">
        <f t="shared" si="2"/>
        <v>-12.91688422</v>
      </c>
      <c r="H356" s="48" t="str">
        <f t="shared" si="3"/>
        <v>Inverted ✗</v>
      </c>
      <c r="I356" s="48">
        <f t="shared" si="4"/>
        <v>0</v>
      </c>
      <c r="J356" s="48">
        <f t="shared" si="5"/>
        <v>0</v>
      </c>
      <c r="K356" s="49" t="str">
        <f>IFERROR(__xludf.DUMMYFUNCTION("IFERROR(IF(A356="""",""ENTER STOCK"",LET(stock,A356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56" s="48">
        <f t="shared" si="6"/>
        <v>0</v>
      </c>
      <c r="M356" s="48">
        <f t="shared" si="7"/>
        <v>1</v>
      </c>
      <c r="N356" s="50">
        <f t="shared" si="8"/>
        <v>1</v>
      </c>
      <c r="P356" s="46" t="str">
        <f t="shared" si="9"/>
        <v>REVERSE TRADE</v>
      </c>
      <c r="Q356" s="52"/>
      <c r="R356" s="53">
        <f t="shared" si="10"/>
        <v>15</v>
      </c>
      <c r="S356" s="53">
        <f>IFERROR(__xludf.DUMMYFUNCTION("IFERROR(ROUND(GOOGLEFINANCE(A356,""volume"")/GOOGLEFINANCE(A356,""volumeavg""),2),"""")"),0.92)</f>
        <v>0.92</v>
      </c>
      <c r="T356" s="53" t="str">
        <f t="shared" si="11"/>
        <v>LOW VOL</v>
      </c>
      <c r="U356" s="53">
        <f>IFERROR(__xludf.DUMMYFUNCTION("IFERROR(
  LET(
    sd, GOOGLEFINANCE(A356,""close"",TODAY()-100,TODAY()),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"""")"),1.1)</f>
        <v>1.1</v>
      </c>
      <c r="V356" s="53" t="str">
        <f t="shared" si="12"/>
        <v>MEDIUM</v>
      </c>
      <c r="W356" s="53">
        <f>IFERROR(__xludf.DUMMYFUNCTION("IFERROR(ROUND((B356/GOOGLEFINANCE(A356,""high52"")-1)*100,1),"""")"),-29.4)</f>
        <v>-29.4</v>
      </c>
      <c r="X356" s="53">
        <f>IFERROR(__xludf.DUMMYFUNCTION("IFERROR(ROUND((B356-GOOGLEFINANCE(A356,""low52""))/(GOOGLEFINANCE(A356,""high52"")-GOOGLEFINANCE(A356,""low52""))*100,1),"""")"),38.6)</f>
        <v>38.6</v>
      </c>
      <c r="Y356" s="53" t="str">
        <f t="shared" si="13"/>
        <v>MID</v>
      </c>
      <c r="Z356" s="53">
        <f>IFERROR(__xludf.DUMMYFUNCTION("IFERROR(ROUND(((B356 / INDEX(GOOGLEFINANCE(TRIM(A356), ""price"", TODAY()-34, TODAY()), 2, 2)) - (GOOGLEFINANCE(""NIFTY_50"") / INDEX(GOOGLEFINANCE(""NIFTY_50"", ""price"", TODAY()-34, TODAY()), 2, 2))) * 100, 2), ""Check History"")"),-7.33)</f>
        <v>-7.33</v>
      </c>
      <c r="AA356" s="53" t="str">
        <f t="shared" si="14"/>
        <v>WEAK RS</v>
      </c>
      <c r="AB356" s="53">
        <f>IFERROR(__xludf.DUMMYFUNCTION("IFERROR(LET(
  p, QUERY(GOOGLEFINANCE(TRIM(A356),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Loading"")"),36.6)</f>
        <v>36.6</v>
      </c>
      <c r="AC356" s="53" t="str">
        <f t="shared" si="15"/>
        <v>WEAK MOM</v>
      </c>
      <c r="AD356" s="53" t="str">
        <f>IFERROR(__xludf.DUMMYFUNCTION("IFERROR(IF(GOOGLEFINANCE(A356,""eps"")&gt;0,""EPS+"",""EPS-""),"""")"),"EPS-")</f>
        <v>EPS-</v>
      </c>
      <c r="AE356" s="53">
        <f t="shared" si="16"/>
        <v>2</v>
      </c>
      <c r="AF356" s="53">
        <f>IFERROR(__xludf.DUMMYFUNCTION("IFERROR(N356+IF(S356&gt;=1.2,1,0)+IF(U356&gt;=1,1,0)+IF(Z356&gt;0,1,0)+IF(AND(W356&gt;=-20,W356&lt;=0),1,0)+IF(IFERROR(GOOGLEFINANCE(A356,""eps""),0)&gt;0,1,0),"""")"),2.0)</f>
        <v>2</v>
      </c>
      <c r="AG356" s="53" t="str">
        <f t="shared" si="17"/>
        <v>REVERSE TRADE</v>
      </c>
    </row>
    <row r="357" ht="15.75" customHeight="1">
      <c r="A357" s="55" t="s">
        <v>524</v>
      </c>
      <c r="B357" s="44">
        <f>IFERROR(__xludf.DUMMYFUNCTION("GOOGLEFINANCE(A357,""price"")"),1961.2)</f>
        <v>1961.2</v>
      </c>
      <c r="C357" s="45">
        <f>IFERROR(__xludf.DUMMYFUNCTION("AVERAGE(QUERY(SORT(GOOGLEFINANCE(A357,""price"",TODAY()-150,TODAY()),1,0),""select Col2 limit 50""))"),2155.2740000000003)</f>
        <v>2155.274</v>
      </c>
      <c r="D357" s="45">
        <f>IFERROR(__xludf.DUMMYFUNCTION("AVERAGE(QUERY(SORT(GOOGLEFINANCE(A357,""price"",TODAY()-300,TODAY()),1,0),""select Col2 limit 100""))"),2228.1829999999995)</f>
        <v>2228.183</v>
      </c>
      <c r="E357" s="45">
        <f>IFERROR(__xludf.DUMMYFUNCTION("AVERAGE(QUERY(SORT(GOOGLEFINANCE(A357,""price"",TODAY()-500,TODAY()),1,0),""select Col2 limit 200""))"),2374.2604999999994)</f>
        <v>2374.2605</v>
      </c>
      <c r="F357" s="46" t="str">
        <f t="shared" si="1"/>
        <v>In Bear Run</v>
      </c>
      <c r="G357" s="47">
        <f t="shared" si="2"/>
        <v>-17.39743807</v>
      </c>
      <c r="H357" s="48" t="str">
        <f t="shared" si="3"/>
        <v>Inverted ✗</v>
      </c>
      <c r="I357" s="48">
        <f t="shared" si="4"/>
        <v>0</v>
      </c>
      <c r="J357" s="48">
        <f t="shared" si="5"/>
        <v>0</v>
      </c>
      <c r="K357" s="49" t="str">
        <f>IFERROR(__xludf.DUMMYFUNCTION("IFERROR(IF(A357="""",""ENTER STOCK"",LET(stock,A357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57" s="48">
        <f t="shared" si="6"/>
        <v>0</v>
      </c>
      <c r="M357" s="48">
        <f t="shared" si="7"/>
        <v>1</v>
      </c>
      <c r="N357" s="50">
        <f t="shared" si="8"/>
        <v>1</v>
      </c>
      <c r="P357" s="46" t="str">
        <f t="shared" si="9"/>
        <v>REVERSE TRADE</v>
      </c>
      <c r="Q357" s="52"/>
      <c r="R357" s="53">
        <f t="shared" si="10"/>
        <v>15</v>
      </c>
      <c r="S357" s="53">
        <f>IFERROR(__xludf.DUMMYFUNCTION("IFERROR(ROUND(GOOGLEFINANCE(A357,""volume"")/GOOGLEFINANCE(A357,""volumeavg""),2),"""")"),1.01)</f>
        <v>1.01</v>
      </c>
      <c r="T357" s="53" t="str">
        <f t="shared" si="11"/>
        <v>LOW VOL</v>
      </c>
      <c r="U357" s="53">
        <f>IFERROR(__xludf.DUMMYFUNCTION("IFERROR(
  LET(
    sd, GOOGLEFINANCE(A357,""close"",TODAY()-100,TODAY()),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"""")"),0.45)</f>
        <v>0.45</v>
      </c>
      <c r="V357" s="53" t="str">
        <f t="shared" si="12"/>
        <v>SLOW</v>
      </c>
      <c r="W357" s="53">
        <f>IFERROR(__xludf.DUMMYFUNCTION("IFERROR(ROUND((B357/GOOGLEFINANCE(A357,""high52"")-1)*100,1),"""")"),-29.9)</f>
        <v>-29.9</v>
      </c>
      <c r="X357" s="53">
        <f>IFERROR(__xludf.DUMMYFUNCTION("IFERROR(ROUND((B357-GOOGLEFINANCE(A357,""low52""))/(GOOGLEFINANCE(A357,""high52"")-GOOGLEFINANCE(A357,""low52""))*100,1),"""")"),6.8)</f>
        <v>6.8</v>
      </c>
      <c r="Y357" s="53" t="str">
        <f t="shared" si="13"/>
        <v>MID</v>
      </c>
      <c r="Z357" s="53">
        <f>IFERROR(__xludf.DUMMYFUNCTION("IFERROR(ROUND(((B357 / INDEX(GOOGLEFINANCE(TRIM(A357), ""price"", TODAY()-34, TODAY()), 2, 2)) - (GOOGLEFINANCE(""NIFTY_50"") / INDEX(GOOGLEFINANCE(""NIFTY_50"", ""price"", TODAY()-34, TODAY()), 2, 2))) * 100, 2), ""Check History"")"),0.79)</f>
        <v>0.79</v>
      </c>
      <c r="AA357" s="53" t="str">
        <f t="shared" si="14"/>
        <v>MILD RS</v>
      </c>
      <c r="AB357" s="53">
        <f>IFERROR(__xludf.DUMMYFUNCTION("IFERROR(LET(
  p, QUERY(GOOGLEFINANCE(TRIM(A357),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Loading"")"),38.8)</f>
        <v>38.8</v>
      </c>
      <c r="AC357" s="53" t="str">
        <f t="shared" si="15"/>
        <v>WEAK MOM</v>
      </c>
      <c r="AD357" s="53" t="str">
        <f>IFERROR(__xludf.DUMMYFUNCTION("IFERROR(IF(GOOGLEFINANCE(A357,""eps"")&gt;0,""EPS+"",""EPS-""),"""")"),"EPS+")</f>
        <v>EPS+</v>
      </c>
      <c r="AE357" s="53">
        <f t="shared" si="16"/>
        <v>2</v>
      </c>
      <c r="AF357" s="53">
        <f>IFERROR(__xludf.DUMMYFUNCTION("IFERROR(N357+IF(S357&gt;=1.2,1,0)+IF(U357&gt;=1,1,0)+IF(Z357&gt;0,1,0)+IF(AND(W357&gt;=-20,W357&lt;=0),1,0)+IF(IFERROR(GOOGLEFINANCE(A357,""eps""),0)&gt;0,1,0),"""")"),3.0)</f>
        <v>3</v>
      </c>
      <c r="AG357" s="53" t="str">
        <f t="shared" si="17"/>
        <v>REVERSE TRADE</v>
      </c>
    </row>
    <row r="358" ht="15.75" customHeight="1">
      <c r="A358" s="55" t="s">
        <v>525</v>
      </c>
      <c r="B358" s="44">
        <f>IFERROR(__xludf.DUMMYFUNCTION("GOOGLEFINANCE(A358,""price"")"),115.1)</f>
        <v>115.1</v>
      </c>
      <c r="C358" s="45">
        <f>IFERROR(__xludf.DUMMYFUNCTION("AVERAGE(QUERY(SORT(GOOGLEFINANCE(A358,""price"",TODAY()-150,TODAY()),1,0),""select Col2 limit 50""))"),125.1482)</f>
        <v>125.1482</v>
      </c>
      <c r="D358" s="45">
        <f>IFERROR(__xludf.DUMMYFUNCTION("AVERAGE(QUERY(SORT(GOOGLEFINANCE(A358,""price"",TODAY()-300,TODAY()),1,0),""select Col2 limit 100""))"),132.86870000000002)</f>
        <v>132.8687</v>
      </c>
      <c r="E358" s="45">
        <f>IFERROR(__xludf.DUMMYFUNCTION("AVERAGE(QUERY(SORT(GOOGLEFINANCE(A358,""price"",TODAY()-500,TODAY()),1,0),""select Col2 limit 200""))"),145.9245)</f>
        <v>145.9245</v>
      </c>
      <c r="F358" s="46" t="str">
        <f t="shared" si="1"/>
        <v>In Bear Run</v>
      </c>
      <c r="G358" s="47">
        <f t="shared" si="2"/>
        <v>-21.12359474</v>
      </c>
      <c r="H358" s="48" t="str">
        <f t="shared" si="3"/>
        <v>Inverted ✗</v>
      </c>
      <c r="I358" s="48">
        <f t="shared" si="4"/>
        <v>0</v>
      </c>
      <c r="J358" s="48">
        <f t="shared" si="5"/>
        <v>0</v>
      </c>
      <c r="K358" s="49" t="str">
        <f>IFERROR(__xludf.DUMMYFUNCTION("IFERROR(IF(A358="""",""ENTER STOCK"",LET(stock,A358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58" s="48">
        <f t="shared" si="6"/>
        <v>0</v>
      </c>
      <c r="M358" s="48">
        <f t="shared" si="7"/>
        <v>1</v>
      </c>
      <c r="N358" s="50">
        <f t="shared" si="8"/>
        <v>1</v>
      </c>
      <c r="P358" s="46" t="str">
        <f t="shared" si="9"/>
        <v>REVERSE TRADE</v>
      </c>
      <c r="Q358" s="52"/>
      <c r="R358" s="53">
        <f t="shared" si="10"/>
        <v>15</v>
      </c>
      <c r="S358" s="53">
        <f>IFERROR(__xludf.DUMMYFUNCTION("IFERROR(ROUND(GOOGLEFINANCE(A358,""volume"")/GOOGLEFINANCE(A358,""volumeavg""),2),"""")"),2.01)</f>
        <v>2.01</v>
      </c>
      <c r="T358" s="53" t="str">
        <f t="shared" si="11"/>
        <v>HIGH VOL</v>
      </c>
      <c r="U358" s="53">
        <f>IFERROR(__xludf.DUMMYFUNCTION("IFERROR(
  LET(
    sd, GOOGLEFINANCE(A358,""close"",TODAY()-100,TODAY()),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"""")"),0.56)</f>
        <v>0.56</v>
      </c>
      <c r="V358" s="53" t="str">
        <f t="shared" si="12"/>
        <v>SLOW</v>
      </c>
      <c r="W358" s="53">
        <f>IFERROR(__xludf.DUMMYFUNCTION("IFERROR(ROUND((B358/GOOGLEFINANCE(A358,""high52"")-1)*100,1),"""")"),-46.6)</f>
        <v>-46.6</v>
      </c>
      <c r="X358" s="53">
        <f>IFERROR(__xludf.DUMMYFUNCTION("IFERROR(ROUND((B358-GOOGLEFINANCE(A358,""low52""))/(GOOGLEFINANCE(A358,""high52"")-GOOGLEFINANCE(A358,""low52""))*100,1),"""")"),0.5)</f>
        <v>0.5</v>
      </c>
      <c r="Y358" s="53" t="str">
        <f t="shared" si="13"/>
        <v>DEEP RECOVERY</v>
      </c>
      <c r="Z358" s="53">
        <f>IFERROR(__xludf.DUMMYFUNCTION("IFERROR(ROUND(((B358 / INDEX(GOOGLEFINANCE(TRIM(A358), ""price"", TODAY()-34, TODAY()), 2, 2)) - (GOOGLEFINANCE(""NIFTY_50"") / INDEX(GOOGLEFINANCE(""NIFTY_50"", ""price"", TODAY()-34, TODAY()), 2, 2))) * 100, 2), ""Check History"")"),3.78)</f>
        <v>3.78</v>
      </c>
      <c r="AA358" s="53" t="str">
        <f t="shared" si="14"/>
        <v>MILD RS</v>
      </c>
      <c r="AB358" s="53">
        <f>IFERROR(__xludf.DUMMYFUNCTION("IFERROR(LET(
  p, QUERY(GOOGLEFINANCE(TRIM(A358),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Loading"")"),42.4)</f>
        <v>42.4</v>
      </c>
      <c r="AC358" s="53" t="str">
        <f t="shared" si="15"/>
        <v>WEAK MOM</v>
      </c>
      <c r="AD358" s="53" t="str">
        <f>IFERROR(__xludf.DUMMYFUNCTION("IFERROR(IF(GOOGLEFINANCE(A358,""eps"")&gt;0,""EPS+"",""EPS-""),"""")"),"EPS+")</f>
        <v>EPS+</v>
      </c>
      <c r="AE358" s="53">
        <f t="shared" si="16"/>
        <v>4</v>
      </c>
      <c r="AF358" s="53">
        <f>IFERROR(__xludf.DUMMYFUNCTION("IFERROR(N358+IF(S358&gt;=1.2,1,0)+IF(U358&gt;=1,1,0)+IF(Z358&gt;0,1,0)+IF(AND(W358&gt;=-20,W358&lt;=0),1,0)+IF(IFERROR(GOOGLEFINANCE(A358,""eps""),0)&gt;0,1,0),"""")"),4.0)</f>
        <v>4</v>
      </c>
      <c r="AG358" s="53" t="str">
        <f t="shared" si="17"/>
        <v>REVERSE TRADE</v>
      </c>
    </row>
    <row r="359" ht="15.75" customHeight="1">
      <c r="A359" s="55" t="s">
        <v>526</v>
      </c>
      <c r="B359" s="44">
        <f>IFERROR(__xludf.DUMMYFUNCTION("GOOGLEFINANCE(A359,""price"")"),597.95)</f>
        <v>597.95</v>
      </c>
      <c r="C359" s="45">
        <f>IFERROR(__xludf.DUMMYFUNCTION("AVERAGE(QUERY(SORT(GOOGLEFINANCE(A359,""price"",TODAY()-150,TODAY()),1,0),""select Col2 limit 50""))"),741.2850000000002)</f>
        <v>741.285</v>
      </c>
      <c r="D359" s="45">
        <f>IFERROR(__xludf.DUMMYFUNCTION("AVERAGE(QUERY(SORT(GOOGLEFINANCE(A359,""price"",TODAY()-300,TODAY()),1,0),""select Col2 limit 100""))"),895.2560000000001)</f>
        <v>895.256</v>
      </c>
      <c r="E359" s="45">
        <f>IFERROR(__xludf.DUMMYFUNCTION("AVERAGE(QUERY(SORT(GOOGLEFINANCE(A359,""price"",TODAY()-500,TODAY()),1,0),""select Col2 limit 200""))"),970.5312499999999)</f>
        <v>970.53125</v>
      </c>
      <c r="F359" s="46" t="str">
        <f t="shared" si="1"/>
        <v>In Bear Run</v>
      </c>
      <c r="G359" s="47">
        <f t="shared" si="2"/>
        <v>-38.38941301</v>
      </c>
      <c r="H359" s="48" t="str">
        <f t="shared" si="3"/>
        <v>Inverted ✗</v>
      </c>
      <c r="I359" s="48">
        <f t="shared" si="4"/>
        <v>0</v>
      </c>
      <c r="J359" s="48">
        <f t="shared" si="5"/>
        <v>0</v>
      </c>
      <c r="K359" s="49" t="str">
        <f>IFERROR(__xludf.DUMMYFUNCTION("IFERROR(IF(A359="""",""ENTER STOCK"",LET(stock,A359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59" s="48">
        <f t="shared" si="6"/>
        <v>0</v>
      </c>
      <c r="M359" s="48">
        <f t="shared" si="7"/>
        <v>1</v>
      </c>
      <c r="N359" s="50">
        <f t="shared" si="8"/>
        <v>1</v>
      </c>
      <c r="P359" s="46" t="str">
        <f t="shared" si="9"/>
        <v>REVERSE TRADE</v>
      </c>
      <c r="Q359" s="52"/>
      <c r="R359" s="53">
        <f t="shared" si="10"/>
        <v>15</v>
      </c>
      <c r="S359" s="53">
        <f>IFERROR(__xludf.DUMMYFUNCTION("IFERROR(ROUND(GOOGLEFINANCE(A359,""volume"")/GOOGLEFINANCE(A359,""volumeavg""),2),"""")"),1.09)</f>
        <v>1.09</v>
      </c>
      <c r="T359" s="53" t="str">
        <f t="shared" si="11"/>
        <v>LOW VOL</v>
      </c>
      <c r="U359" s="53">
        <f>IFERROR(__xludf.DUMMYFUNCTION("IFERROR(
  LET(
    sd, GOOGLEFINANCE(A359,""close"",TODAY()-100,TODAY()),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"""")"),0.88)</f>
        <v>0.88</v>
      </c>
      <c r="V359" s="53" t="str">
        <f t="shared" si="12"/>
        <v>SLOW</v>
      </c>
      <c r="W359" s="53">
        <f>IFERROR(__xludf.DUMMYFUNCTION("IFERROR(ROUND((B359/GOOGLEFINANCE(A359,""high52"")-1)*100,1),"""")"),-52.4)</f>
        <v>-52.4</v>
      </c>
      <c r="X359" s="53">
        <f>IFERROR(__xludf.DUMMYFUNCTION("IFERROR(ROUND((B359-GOOGLEFINANCE(A359,""low52""))/(GOOGLEFINANCE(A359,""high52"")-GOOGLEFINANCE(A359,""low52""))*100,1),"""")"),3.0)</f>
        <v>3</v>
      </c>
      <c r="Y359" s="53" t="str">
        <f t="shared" si="13"/>
        <v>DEEP RECOVERY</v>
      </c>
      <c r="Z359" s="53">
        <f>IFERROR(__xludf.DUMMYFUNCTION("IFERROR(ROUND(((B359 / INDEX(GOOGLEFINANCE(TRIM(A359), ""price"", TODAY()-34, TODAY()), 2, 2)) - (GOOGLEFINANCE(""NIFTY_50"") / INDEX(GOOGLEFINANCE(""NIFTY_50"", ""price"", TODAY()-34, TODAY()), 2, 2))) * 100, 2), ""Check History"")"),-2.04)</f>
        <v>-2.04</v>
      </c>
      <c r="AA359" s="53" t="str">
        <f t="shared" si="14"/>
        <v>WEAK RS</v>
      </c>
      <c r="AB359" s="53">
        <f>IFERROR(__xludf.DUMMYFUNCTION("IFERROR(LET(
  p, QUERY(GOOGLEFINANCE(TRIM(A359),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Loading"")"),44.8)</f>
        <v>44.8</v>
      </c>
      <c r="AC359" s="53" t="str">
        <f t="shared" si="15"/>
        <v>WEAK MOM</v>
      </c>
      <c r="AD359" s="53" t="str">
        <f>IFERROR(__xludf.DUMMYFUNCTION("IFERROR(IF(GOOGLEFINANCE(A359,""eps"")&gt;0,""EPS+"",""EPS-""),"""")"),"EPS+")</f>
        <v>EPS+</v>
      </c>
      <c r="AE359" s="53">
        <f t="shared" si="16"/>
        <v>2</v>
      </c>
      <c r="AF359" s="53">
        <f>IFERROR(__xludf.DUMMYFUNCTION("IFERROR(N359+IF(S359&gt;=1.2,1,0)+IF(U359&gt;=1,1,0)+IF(Z359&gt;0,1,0)+IF(AND(W359&gt;=-20,W359&lt;=0),1,0)+IF(IFERROR(GOOGLEFINANCE(A359,""eps""),0)&gt;0,1,0),"""")"),2.0)</f>
        <v>2</v>
      </c>
      <c r="AG359" s="53" t="str">
        <f t="shared" si="17"/>
        <v>REVERSE TRADE</v>
      </c>
    </row>
    <row r="360" ht="15.75" customHeight="1">
      <c r="A360" s="55" t="s">
        <v>527</v>
      </c>
      <c r="B360" s="44">
        <f>IFERROR(__xludf.DUMMYFUNCTION("GOOGLEFINANCE(A360,""price"")"),316.6)</f>
        <v>316.6</v>
      </c>
      <c r="C360" s="45">
        <f>IFERROR(__xludf.DUMMYFUNCTION("AVERAGE(QUERY(SORT(GOOGLEFINANCE(A360,""price"",TODAY()-150,TODAY()),1,0),""select Col2 limit 50""))"),322.43100000000004)</f>
        <v>322.431</v>
      </c>
      <c r="D360" s="45">
        <f>IFERROR(__xludf.DUMMYFUNCTION("AVERAGE(QUERY(SORT(GOOGLEFINANCE(A360,""price"",TODAY()-300,TODAY()),1,0),""select Col2 limit 100""))"),325.75)</f>
        <v>325.75</v>
      </c>
      <c r="E360" s="45">
        <f>IFERROR(__xludf.DUMMYFUNCTION("AVERAGE(QUERY(SORT(GOOGLEFINANCE(A360,""price"",TODAY()-500,TODAY()),1,0),""select Col2 limit 200""))"),344.90800000000013)</f>
        <v>344.908</v>
      </c>
      <c r="F360" s="46" t="str">
        <f t="shared" si="1"/>
        <v>In Bear Run</v>
      </c>
      <c r="G360" s="47">
        <f t="shared" si="2"/>
        <v>-8.207406033</v>
      </c>
      <c r="H360" s="48" t="str">
        <f t="shared" si="3"/>
        <v>Inverted ✗</v>
      </c>
      <c r="I360" s="48">
        <f t="shared" si="4"/>
        <v>0</v>
      </c>
      <c r="J360" s="48">
        <f t="shared" si="5"/>
        <v>0</v>
      </c>
      <c r="K360" s="49" t="str">
        <f>IFERROR(__xludf.DUMMYFUNCTION("IFERROR(IF(A360="""",""ENTER STOCK"",LET(stock,A360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60" s="48">
        <f t="shared" si="6"/>
        <v>0</v>
      </c>
      <c r="M360" s="48">
        <f t="shared" si="7"/>
        <v>1</v>
      </c>
      <c r="N360" s="50">
        <f t="shared" si="8"/>
        <v>1</v>
      </c>
      <c r="P360" s="46" t="str">
        <f t="shared" si="9"/>
        <v>REVERSE TRADE</v>
      </c>
      <c r="Q360" s="52"/>
      <c r="R360" s="53">
        <f t="shared" si="10"/>
        <v>15</v>
      </c>
      <c r="S360" s="53">
        <f>IFERROR(__xludf.DUMMYFUNCTION("IFERROR(ROUND(GOOGLEFINANCE(A360,""volume"")/GOOGLEFINANCE(A360,""volumeavg""),2),"""")"),1.22)</f>
        <v>1.22</v>
      </c>
      <c r="T360" s="53" t="str">
        <f t="shared" si="11"/>
        <v>OK VOL</v>
      </c>
      <c r="U360" s="53">
        <f>IFERROR(__xludf.DUMMYFUNCTION("IFERROR(
  LET(
    sd, GOOGLEFINANCE(A360,""close"",TODAY()-100,TODAY()),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"""")"),0.83)</f>
        <v>0.83</v>
      </c>
      <c r="V360" s="53" t="str">
        <f t="shared" si="12"/>
        <v>SLOW</v>
      </c>
      <c r="W360" s="53">
        <f>IFERROR(__xludf.DUMMYFUNCTION("IFERROR(ROUND((B360/GOOGLEFINANCE(A360,""high52"")-1)*100,1),"""")"),-28.4)</f>
        <v>-28.4</v>
      </c>
      <c r="X360" s="53">
        <f>IFERROR(__xludf.DUMMYFUNCTION("IFERROR(ROUND((B360-GOOGLEFINANCE(A360,""low52""))/(GOOGLEFINANCE(A360,""high52"")-GOOGLEFINANCE(A360,""low52""))*100,1),"""")"),19.1)</f>
        <v>19.1</v>
      </c>
      <c r="Y360" s="53" t="str">
        <f t="shared" si="13"/>
        <v>MID</v>
      </c>
      <c r="Z360" s="53">
        <f>IFERROR(__xludf.DUMMYFUNCTION("IFERROR(ROUND(((B360 / INDEX(GOOGLEFINANCE(TRIM(A360), ""price"", TODAY()-34, TODAY()), 2, 2)) - (GOOGLEFINANCE(""NIFTY_50"") / INDEX(GOOGLEFINANCE(""NIFTY_50"", ""price"", TODAY()-34, TODAY()), 2, 2))) * 100, 2), ""Check History"")"),8.11)</f>
        <v>8.11</v>
      </c>
      <c r="AA360" s="53" t="str">
        <f t="shared" si="14"/>
        <v>STRONG RS</v>
      </c>
      <c r="AB360" s="53">
        <f>IFERROR(__xludf.DUMMYFUNCTION("IFERROR(LET(
  p, QUERY(GOOGLEFINANCE(TRIM(A360),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Loading"")"),57.5)</f>
        <v>57.5</v>
      </c>
      <c r="AC360" s="53" t="str">
        <f t="shared" si="15"/>
        <v>IDEAL ENTRY</v>
      </c>
      <c r="AD360" s="53" t="str">
        <f>IFERROR(__xludf.DUMMYFUNCTION("IFERROR(IF(GOOGLEFINANCE(A360,""eps"")&gt;0,""EPS+"",""EPS-""),"""")"),"EPS+")</f>
        <v>EPS+</v>
      </c>
      <c r="AE360" s="53">
        <f t="shared" si="16"/>
        <v>5</v>
      </c>
      <c r="AF360" s="53">
        <f>IFERROR(__xludf.DUMMYFUNCTION("IFERROR(N360+IF(S360&gt;=1.2,1,0)+IF(U360&gt;=1,1,0)+IF(Z360&gt;0,1,0)+IF(AND(W360&gt;=-20,W360&lt;=0),1,0)+IF(IFERROR(GOOGLEFINANCE(A360,""eps""),0)&gt;0,1,0),"""")"),4.0)</f>
        <v>4</v>
      </c>
      <c r="AG360" s="53" t="str">
        <f t="shared" si="17"/>
        <v>REVERSE TRADE</v>
      </c>
    </row>
    <row r="361" ht="15.75" customHeight="1">
      <c r="A361" s="55" t="s">
        <v>528</v>
      </c>
      <c r="B361" s="44">
        <f>IFERROR(__xludf.DUMMYFUNCTION("GOOGLEFINANCE(A361,""price"")"),1331.5)</f>
        <v>1331.5</v>
      </c>
      <c r="C361" s="45">
        <f>IFERROR(__xludf.DUMMYFUNCTION("AVERAGE(QUERY(SORT(GOOGLEFINANCE(A361,""price"",TODAY()-150,TODAY()),1,0),""select Col2 limit 50""))"),1511.52)</f>
        <v>1511.52</v>
      </c>
      <c r="D361" s="45">
        <f>IFERROR(__xludf.DUMMYFUNCTION("AVERAGE(QUERY(SORT(GOOGLEFINANCE(A361,""price"",TODAY()-300,TODAY()),1,0),""select Col2 limit 100""))"),1585.1200000000006)</f>
        <v>1585.12</v>
      </c>
      <c r="E361" s="45">
        <f>IFERROR(__xludf.DUMMYFUNCTION("AVERAGE(QUERY(SORT(GOOGLEFINANCE(A361,""price"",TODAY()-500,TODAY()),1,0),""select Col2 limit 200""))"),1581.0060000000014)</f>
        <v>1581.006</v>
      </c>
      <c r="F361" s="46" t="str">
        <f t="shared" si="1"/>
        <v>In Bear Run</v>
      </c>
      <c r="G361" s="47">
        <f t="shared" si="2"/>
        <v>-15.78147079</v>
      </c>
      <c r="H361" s="48" t="str">
        <f t="shared" si="3"/>
        <v>Inverted ✗</v>
      </c>
      <c r="I361" s="48">
        <f t="shared" si="4"/>
        <v>0</v>
      </c>
      <c r="J361" s="48">
        <f t="shared" si="5"/>
        <v>0</v>
      </c>
      <c r="K361" s="49" t="str">
        <f>IFERROR(__xludf.DUMMYFUNCTION("IFERROR(IF(A361="""",""ENTER STOCK"",LET(stock,A361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61" s="48">
        <f t="shared" si="6"/>
        <v>0</v>
      </c>
      <c r="M361" s="48">
        <f t="shared" si="7"/>
        <v>1</v>
      </c>
      <c r="N361" s="50">
        <f t="shared" si="8"/>
        <v>1</v>
      </c>
      <c r="P361" s="46" t="str">
        <f t="shared" si="9"/>
        <v>REVERSE TRADE</v>
      </c>
      <c r="Q361" s="52"/>
      <c r="R361" s="53">
        <f t="shared" si="10"/>
        <v>15</v>
      </c>
      <c r="S361" s="53">
        <f>IFERROR(__xludf.DUMMYFUNCTION("IFERROR(ROUND(GOOGLEFINANCE(A361,""volume"")/GOOGLEFINANCE(A361,""volumeavg""),2),"""")"),1.33)</f>
        <v>1.33</v>
      </c>
      <c r="T361" s="53" t="str">
        <f t="shared" si="11"/>
        <v>OK VOL</v>
      </c>
      <c r="U361" s="53">
        <f>IFERROR(__xludf.DUMMYFUNCTION("IFERROR(
  LET(
    sd, GOOGLEFINANCE(A361,""close"",TODAY()-100,TODAY()),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"""")"),0.6)</f>
        <v>0.6</v>
      </c>
      <c r="V361" s="53" t="str">
        <f t="shared" si="12"/>
        <v>SLOW</v>
      </c>
      <c r="W361" s="53">
        <f>IFERROR(__xludf.DUMMYFUNCTION("IFERROR(ROUND((B361/GOOGLEFINANCE(A361,""high52"")-1)*100,1),"""")"),-29.0)</f>
        <v>-29</v>
      </c>
      <c r="X361" s="53">
        <f>IFERROR(__xludf.DUMMYFUNCTION("IFERROR(ROUND((B361-GOOGLEFINANCE(A361,""low52""))/(GOOGLEFINANCE(A361,""high52"")-GOOGLEFINANCE(A361,""low52""))*100,1),"""")"),14.8)</f>
        <v>14.8</v>
      </c>
      <c r="Y361" s="53" t="str">
        <f t="shared" si="13"/>
        <v>MID</v>
      </c>
      <c r="Z361" s="53">
        <f>IFERROR(__xludf.DUMMYFUNCTION("IFERROR(ROUND(((B361 / INDEX(GOOGLEFINANCE(TRIM(A361), ""price"", TODAY()-34, TODAY()), 2, 2)) - (GOOGLEFINANCE(""NIFTY_50"") / INDEX(GOOGLEFINANCE(""NIFTY_50"", ""price"", TODAY()-34, TODAY()), 2, 2))) * 100, 2), ""Check History"")"),3.61)</f>
        <v>3.61</v>
      </c>
      <c r="AA361" s="53" t="str">
        <f t="shared" si="14"/>
        <v>MILD RS</v>
      </c>
      <c r="AB361" s="53">
        <f>IFERROR(__xludf.DUMMYFUNCTION("IFERROR(LET(
  p, QUERY(GOOGLEFINANCE(TRIM(A361),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Loading"")"),66.8)</f>
        <v>66.8</v>
      </c>
      <c r="AC361" s="53" t="str">
        <f t="shared" si="15"/>
        <v>IDEAL ENTRY</v>
      </c>
      <c r="AD361" s="53" t="str">
        <f>IFERROR(__xludf.DUMMYFUNCTION("IFERROR(IF(GOOGLEFINANCE(A361,""eps"")&gt;0,""EPS+"",""EPS-""),"""")"),"EPS+")</f>
        <v>EPS+</v>
      </c>
      <c r="AE361" s="53">
        <f t="shared" si="16"/>
        <v>4</v>
      </c>
      <c r="AF361" s="53">
        <f>IFERROR(__xludf.DUMMYFUNCTION("IFERROR(N361+IF(S361&gt;=1.2,1,0)+IF(U361&gt;=1,1,0)+IF(Z361&gt;0,1,0)+IF(AND(W361&gt;=-20,W361&lt;=0),1,0)+IF(IFERROR(GOOGLEFINANCE(A361,""eps""),0)&gt;0,1,0),"""")"),4.0)</f>
        <v>4</v>
      </c>
      <c r="AG361" s="53" t="str">
        <f t="shared" si="17"/>
        <v>REVERSE TRADE</v>
      </c>
    </row>
    <row r="362" ht="15.75" customHeight="1">
      <c r="A362" s="55" t="s">
        <v>529</v>
      </c>
      <c r="B362" s="44">
        <f>IFERROR(__xludf.DUMMYFUNCTION("GOOGLEFINANCE(A362,""price"")"),2065.0)</f>
        <v>2065</v>
      </c>
      <c r="C362" s="45">
        <f>IFERROR(__xludf.DUMMYFUNCTION("AVERAGE(QUERY(SORT(GOOGLEFINANCE(A362,""price"",TODAY()-150,TODAY()),1,0),""select Col2 limit 50""))"),1990.8440000000007)</f>
        <v>1990.844</v>
      </c>
      <c r="D362" s="45">
        <f>IFERROR(__xludf.DUMMYFUNCTION("AVERAGE(QUERY(SORT(GOOGLEFINANCE(A362,""price"",TODAY()-300,TODAY()),1,0),""select Col2 limit 100""))"),1896.1539999999995)</f>
        <v>1896.154</v>
      </c>
      <c r="E362" s="45">
        <f>IFERROR(__xludf.DUMMYFUNCTION("AVERAGE(QUERY(SORT(GOOGLEFINANCE(A362,""price"",TODAY()-500,TODAY()),1,0),""select Col2 limit 200""))"),1798.1529999999993)</f>
        <v>1798.153</v>
      </c>
      <c r="F362" s="46" t="str">
        <f t="shared" si="1"/>
        <v>In Bull Run</v>
      </c>
      <c r="G362" s="47">
        <f t="shared" si="2"/>
        <v>14.84006088</v>
      </c>
      <c r="H362" s="48" t="str">
        <f t="shared" si="3"/>
        <v>Golden ✓</v>
      </c>
      <c r="I362" s="48">
        <f t="shared" si="4"/>
        <v>3</v>
      </c>
      <c r="J362" s="48">
        <f t="shared" si="5"/>
        <v>0</v>
      </c>
      <c r="K362" s="49" t="str">
        <f>IFERROR(__xludf.DUMMYFUNCTION("IFERROR(IF(A362="""",""ENTER STOCK"",LET(stock,A362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FOUND"")"),"Short History")</f>
        <v>Short History</v>
      </c>
      <c r="L362" s="48">
        <f t="shared" si="6"/>
        <v>0</v>
      </c>
      <c r="M362" s="48">
        <f t="shared" si="7"/>
        <v>1</v>
      </c>
      <c r="N362" s="50">
        <f t="shared" si="8"/>
        <v>4</v>
      </c>
      <c r="P362" s="46" t="str">
        <f t="shared" si="9"/>
        <v>SKIP</v>
      </c>
      <c r="Q362" s="52"/>
      <c r="R362" s="53">
        <f t="shared" si="10"/>
        <v>15</v>
      </c>
      <c r="S362" s="53">
        <f>IFERROR(__xludf.DUMMYFUNCTION("IFERROR(ROUND(GOOGLEFINANCE(A362,""volume"")/GOOGLEFINANCE(A362,""volumeavg""),2),"""")"),0.88)</f>
        <v>0.88</v>
      </c>
      <c r="T362" s="53" t="str">
        <f t="shared" si="11"/>
        <v>LOW VOL</v>
      </c>
      <c r="U362" s="53">
        <f>IFERROR(__xludf.DUMMYFUNCTION("IFERROR(
  LET(
    sd, GOOGLEFINANCE(A362,""close"",TODAY()-100,TODAY()),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"""")"),0.59)</f>
        <v>0.59</v>
      </c>
      <c r="V362" s="53" t="str">
        <f t="shared" si="12"/>
        <v>SLOW</v>
      </c>
      <c r="W362" s="53">
        <f>IFERROR(__xludf.DUMMYFUNCTION("IFERROR(ROUND((B362/GOOGLEFINANCE(A362,""high52"")-1)*100,1),"""")"),-5.9)</f>
        <v>-5.9</v>
      </c>
      <c r="X362" s="53">
        <f>IFERROR(__xludf.DUMMYFUNCTION("IFERROR(ROUND((B362-GOOGLEFINANCE(A362,""low52""))/(GOOGLEFINANCE(A362,""high52"")-GOOGLEFINANCE(A362,""low52""))*100,1),"""")"),83.9)</f>
        <v>83.9</v>
      </c>
      <c r="Y362" s="53" t="str">
        <f t="shared" si="13"/>
        <v>UPPER</v>
      </c>
      <c r="Z362" s="53">
        <f>IFERROR(__xludf.DUMMYFUNCTION("IFERROR(ROUND(((B362 / INDEX(GOOGLEFINANCE(TRIM(A362), ""price"", TODAY()-34, TODAY()), 2, 2)) - (GOOGLEFINANCE(""NIFTY_50"") / INDEX(GOOGLEFINANCE(""NIFTY_50"", ""price"", TODAY()-34, TODAY()), 2, 2))) * 100, 2), ""Check History"")"),11.91)</f>
        <v>11.91</v>
      </c>
      <c r="AA362" s="53" t="str">
        <f t="shared" si="14"/>
        <v>STRONG RS</v>
      </c>
      <c r="AB362" s="53">
        <f>IFERROR(__xludf.DUMMYFUNCTION("IFERROR(LET(
  p, QUERY(GOOGLEFINANCE(TRIM(A362),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Loading"")"),41.8)</f>
        <v>41.8</v>
      </c>
      <c r="AC362" s="53" t="str">
        <f t="shared" si="15"/>
        <v>WEAK MOM</v>
      </c>
      <c r="AD362" s="53" t="str">
        <f>IFERROR(__xludf.DUMMYFUNCTION("IFERROR(IF(GOOGLEFINANCE(A362,""eps"")&gt;0,""EPS+"",""EPS-""),"""")"),"EPS+")</f>
        <v>EPS+</v>
      </c>
      <c r="AE362" s="53">
        <f t="shared" si="16"/>
        <v>4</v>
      </c>
      <c r="AF362" s="53">
        <f>IFERROR(__xludf.DUMMYFUNCTION("IFERROR(N362+IF(S362&gt;=1.2,1,0)+IF(U362&gt;=1,1,0)+IF(Z362&gt;0,1,0)+IF(AND(W362&gt;=-20,W362&lt;=0),1,0)+IF(IFERROR(GOOGLEFINANCE(A362,""eps""),0)&gt;0,1,0),"""")"),7.0)</f>
        <v>7</v>
      </c>
      <c r="AG362" s="53" t="str">
        <f t="shared" si="17"/>
        <v>WATCH</v>
      </c>
    </row>
    <row r="363" ht="15.75" customHeight="1">
      <c r="A363" s="55" t="s">
        <v>530</v>
      </c>
      <c r="B363" s="44">
        <f>IFERROR(__xludf.DUMMYFUNCTION("GOOGLEFINANCE(A363,""price"")"),516.0)</f>
        <v>516</v>
      </c>
      <c r="C363" s="45">
        <f>IFERROR(__xludf.DUMMYFUNCTION("AVERAGE(QUERY(SORT(GOOGLEFINANCE(A363,""price"",TODAY()-150,TODAY()),1,0),""select Col2 limit 50""))"),556.294)</f>
        <v>556.294</v>
      </c>
      <c r="D363" s="45">
        <f>IFERROR(__xludf.DUMMYFUNCTION("AVERAGE(QUERY(SORT(GOOGLEFINANCE(A363,""price"",TODAY()-300,TODAY()),1,0),""select Col2 limit 100""))"),584.1024999999998)</f>
        <v>584.1025</v>
      </c>
      <c r="E363" s="45">
        <f>IFERROR(__xludf.DUMMYFUNCTION("AVERAGE(QUERY(SORT(GOOGLEFINANCE(A363,""price"",TODAY()-500,TODAY()),1,0),""select Col2 limit 200""))"),619.7822499999999)</f>
        <v>619.78225</v>
      </c>
      <c r="F363" s="46" t="str">
        <f t="shared" si="1"/>
        <v>In Bear Run</v>
      </c>
      <c r="G363" s="47">
        <f t="shared" si="2"/>
        <v>-16.74495357</v>
      </c>
      <c r="H363" s="48" t="str">
        <f t="shared" si="3"/>
        <v>Inverted ✗</v>
      </c>
      <c r="I363" s="48">
        <f t="shared" si="4"/>
        <v>0</v>
      </c>
      <c r="J363" s="48">
        <f t="shared" si="5"/>
        <v>0</v>
      </c>
      <c r="K363" s="49" t="str">
        <f>IFERROR(__xludf.DUMMYFUNCTION("IFERROR(IF(A363="""",""ENTER STOCK"",LET(stock,A363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63" s="48">
        <f t="shared" si="6"/>
        <v>0</v>
      </c>
      <c r="M363" s="48">
        <f t="shared" si="7"/>
        <v>1</v>
      </c>
      <c r="N363" s="50">
        <f t="shared" si="8"/>
        <v>1</v>
      </c>
      <c r="P363" s="46" t="str">
        <f t="shared" si="9"/>
        <v>REVERSE TRADE</v>
      </c>
      <c r="Q363" s="52"/>
      <c r="R363" s="53">
        <f t="shared" si="10"/>
        <v>15</v>
      </c>
      <c r="S363" s="53">
        <f>IFERROR(__xludf.DUMMYFUNCTION("IFERROR(ROUND(GOOGLEFINANCE(A363,""volume"")/GOOGLEFINANCE(A363,""volumeavg""),2),"""")"),0.23)</f>
        <v>0.23</v>
      </c>
      <c r="T363" s="53" t="str">
        <f t="shared" si="11"/>
        <v>LOW VOL</v>
      </c>
      <c r="U363" s="53">
        <f>IFERROR(__xludf.DUMMYFUNCTION("IFERROR(
  LET(
    sd, GOOGLEFINANCE(A363,""close"",TODAY()-100,TODAY()),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"""")"),2.12)</f>
        <v>2.12</v>
      </c>
      <c r="V363" s="53" t="str">
        <f t="shared" si="12"/>
        <v>FAST</v>
      </c>
      <c r="W363" s="53">
        <f>IFERROR(__xludf.DUMMYFUNCTION("IFERROR(ROUND((B363/GOOGLEFINANCE(A363,""high52"")-1)*100,1),"""")"),-34.7)</f>
        <v>-34.7</v>
      </c>
      <c r="X363" s="53">
        <f>IFERROR(__xludf.DUMMYFUNCTION("IFERROR(ROUND((B363-GOOGLEFINANCE(A363,""low52""))/(GOOGLEFINANCE(A363,""high52"")-GOOGLEFINANCE(A363,""low52""))*100,1),"""")"),12.5)</f>
        <v>12.5</v>
      </c>
      <c r="Y363" s="53" t="str">
        <f t="shared" si="13"/>
        <v>MID</v>
      </c>
      <c r="Z363" s="53">
        <f>IFERROR(__xludf.DUMMYFUNCTION("IFERROR(ROUND(((B363 / INDEX(GOOGLEFINANCE(TRIM(A363), ""price"", TODAY()-34, TODAY()), 2, 2)) - (GOOGLEFINANCE(""NIFTY_50"") / INDEX(GOOGLEFINANCE(""NIFTY_50"", ""price"", TODAY()-34, TODAY()), 2, 2))) * 100, 2), ""Check History"")"),4.89)</f>
        <v>4.89</v>
      </c>
      <c r="AA363" s="53" t="str">
        <f t="shared" si="14"/>
        <v>MILD RS</v>
      </c>
      <c r="AB363" s="53">
        <f>IFERROR(__xludf.DUMMYFUNCTION("IFERROR(LET(
  p, QUERY(GOOGLEFINANCE(TRIM(A363),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Loading"")"),50.9)</f>
        <v>50.9</v>
      </c>
      <c r="AC363" s="53" t="str">
        <f t="shared" si="15"/>
        <v>IDEAL ENTRY</v>
      </c>
      <c r="AD363" s="53" t="str">
        <f>IFERROR(__xludf.DUMMYFUNCTION("IFERROR(IF(GOOGLEFINANCE(A363,""eps"")&gt;0,""EPS+"",""EPS-""),"""")"),"EPS+")</f>
        <v>EPS+</v>
      </c>
      <c r="AE363" s="53">
        <f t="shared" si="16"/>
        <v>4</v>
      </c>
      <c r="AF363" s="53">
        <f>IFERROR(__xludf.DUMMYFUNCTION("IFERROR(N363+IF(S363&gt;=1.2,1,0)+IF(U363&gt;=1,1,0)+IF(Z363&gt;0,1,0)+IF(AND(W363&gt;=-20,W363&lt;=0),1,0)+IF(IFERROR(GOOGLEFINANCE(A363,""eps""),0)&gt;0,1,0),"""")"),4.0)</f>
        <v>4</v>
      </c>
      <c r="AG363" s="53" t="str">
        <f t="shared" si="17"/>
        <v>REVERSE TRADE</v>
      </c>
    </row>
    <row r="364" ht="15.75" customHeight="1">
      <c r="A364" s="55" t="s">
        <v>531</v>
      </c>
      <c r="B364" s="44">
        <f>IFERROR(__xludf.DUMMYFUNCTION("GOOGLEFINANCE(A364,""price"")"),380.55)</f>
        <v>380.55</v>
      </c>
      <c r="C364" s="45">
        <f>IFERROR(__xludf.DUMMYFUNCTION("AVERAGE(QUERY(SORT(GOOGLEFINANCE(A364,""price"",TODAY()-150,TODAY()),1,0),""select Col2 limit 50""))"),493.54500000000013)</f>
        <v>493.545</v>
      </c>
      <c r="D364" s="45">
        <f>IFERROR(__xludf.DUMMYFUNCTION("AVERAGE(QUERY(SORT(GOOGLEFINANCE(A364,""price"",TODAY()-300,TODAY()),1,0),""select Col2 limit 100""))"),482.7765000000001)</f>
        <v>482.7765</v>
      </c>
      <c r="E364" s="45">
        <f>IFERROR(__xludf.DUMMYFUNCTION("AVERAGE(QUERY(SORT(GOOGLEFINANCE(A364,""price"",TODAY()-500,TODAY()),1,0),""select Col2 limit 200""))"),422.1990000000002)</f>
        <v>422.199</v>
      </c>
      <c r="F364" s="46" t="str">
        <f t="shared" si="1"/>
        <v>In Bear Run</v>
      </c>
      <c r="G364" s="47">
        <f t="shared" si="2"/>
        <v>-9.864779405</v>
      </c>
      <c r="H364" s="48" t="str">
        <f t="shared" si="3"/>
        <v>Golden ✓</v>
      </c>
      <c r="I364" s="48">
        <f t="shared" si="4"/>
        <v>3</v>
      </c>
      <c r="J364" s="48">
        <f t="shared" si="5"/>
        <v>0</v>
      </c>
      <c r="K364" s="49" t="str">
        <f>IFERROR(__xludf.DUMMYFUNCTION("IFERROR(IF(A364="""",""ENTER STOCK"",LET(stock,A364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64" s="48">
        <f t="shared" si="6"/>
        <v>0</v>
      </c>
      <c r="M364" s="48">
        <f t="shared" si="7"/>
        <v>1</v>
      </c>
      <c r="N364" s="50">
        <f t="shared" si="8"/>
        <v>4</v>
      </c>
      <c r="P364" s="46" t="str">
        <f t="shared" si="9"/>
        <v>REVERSE TRADE</v>
      </c>
      <c r="Q364" s="52"/>
      <c r="R364" s="53">
        <f t="shared" si="10"/>
        <v>15</v>
      </c>
      <c r="S364" s="53">
        <f>IFERROR(__xludf.DUMMYFUNCTION("IFERROR(ROUND(GOOGLEFINANCE(A364,""volume"")/GOOGLEFINANCE(A364,""volumeavg""),2),"""")"),0.82)</f>
        <v>0.82</v>
      </c>
      <c r="T364" s="53" t="str">
        <f t="shared" si="11"/>
        <v>LOW VOL</v>
      </c>
      <c r="U364" s="53">
        <f>IFERROR(__xludf.DUMMYFUNCTION("IFERROR(
  LET(
    sd, GOOGLEFINANCE(A364,""close"",TODAY()-100,TODAY()),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"""")"),1.59)</f>
        <v>1.59</v>
      </c>
      <c r="V364" s="53" t="str">
        <f t="shared" si="12"/>
        <v>FAST</v>
      </c>
      <c r="W364" s="53">
        <f>IFERROR(__xludf.DUMMYFUNCTION("IFERROR(ROUND((B364/GOOGLEFINANCE(A364,""high52"")-1)*100,1),"""")"),-37.8)</f>
        <v>-37.8</v>
      </c>
      <c r="X364" s="53">
        <f>IFERROR(__xludf.DUMMYFUNCTION("IFERROR(ROUND((B364-GOOGLEFINANCE(A364,""low52""))/(GOOGLEFINANCE(A364,""high52"")-GOOGLEFINANCE(A364,""low52""))*100,1),"""")"),37.1)</f>
        <v>37.1</v>
      </c>
      <c r="Y364" s="53" t="str">
        <f t="shared" si="13"/>
        <v>MID</v>
      </c>
      <c r="Z364" s="53">
        <f>IFERROR(__xludf.DUMMYFUNCTION("IFERROR(ROUND(((B364 / INDEX(GOOGLEFINANCE(TRIM(A364), ""price"", TODAY()-34, TODAY()), 2, 2)) - (GOOGLEFINANCE(""NIFTY_50"") / INDEX(GOOGLEFINANCE(""NIFTY_50"", ""price"", TODAY()-34, TODAY()), 2, 2))) * 100, 2), ""Check History"")"),-16.67)</f>
        <v>-16.67</v>
      </c>
      <c r="AA364" s="53" t="str">
        <f t="shared" si="14"/>
        <v>WEAK RS</v>
      </c>
      <c r="AB364" s="53">
        <f>IFERROR(__xludf.DUMMYFUNCTION("IFERROR(LET(
  p, QUERY(GOOGLEFINANCE(TRIM(A364),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Loading"")"),37.5)</f>
        <v>37.5</v>
      </c>
      <c r="AC364" s="53" t="str">
        <f t="shared" si="15"/>
        <v>WEAK MOM</v>
      </c>
      <c r="AD364" s="53" t="str">
        <f>IFERROR(__xludf.DUMMYFUNCTION("IFERROR(IF(GOOGLEFINANCE(A364,""eps"")&gt;0,""EPS+"",""EPS-""),"""")"),"EPS+")</f>
        <v>EPS+</v>
      </c>
      <c r="AE364" s="53">
        <f t="shared" si="16"/>
        <v>3</v>
      </c>
      <c r="AF364" s="53">
        <f>IFERROR(__xludf.DUMMYFUNCTION("IFERROR(N364+IF(S364&gt;=1.2,1,0)+IF(U364&gt;=1,1,0)+IF(Z364&gt;0,1,0)+IF(AND(W364&gt;=-20,W364&lt;=0),1,0)+IF(IFERROR(GOOGLEFINANCE(A364,""eps""),0)&gt;0,1,0),"""")"),6.0)</f>
        <v>6</v>
      </c>
      <c r="AG364" s="53" t="str">
        <f t="shared" si="17"/>
        <v>REVERSE TRADE</v>
      </c>
    </row>
    <row r="365" ht="15.75" customHeight="1">
      <c r="A365" s="55" t="s">
        <v>532</v>
      </c>
      <c r="B365" s="44">
        <f>IFERROR(__xludf.DUMMYFUNCTION("GOOGLEFINANCE(A365,""price"")"),113.77)</f>
        <v>113.77</v>
      </c>
      <c r="C365" s="45">
        <f>IFERROR(__xludf.DUMMYFUNCTION("AVERAGE(QUERY(SORT(GOOGLEFINANCE(A365,""price"",TODAY()-150,TODAY()),1,0),""select Col2 limit 50""))"),128.1844)</f>
        <v>128.1844</v>
      </c>
      <c r="D365" s="45">
        <f>IFERROR(__xludf.DUMMYFUNCTION("AVERAGE(QUERY(SORT(GOOGLEFINANCE(A365,""price"",TODAY()-300,TODAY()),1,0),""select Col2 limit 100""))"),137.3126)</f>
        <v>137.3126</v>
      </c>
      <c r="E365" s="45">
        <f>IFERROR(__xludf.DUMMYFUNCTION("AVERAGE(QUERY(SORT(GOOGLEFINANCE(A365,""price"",TODAY()-500,TODAY()),1,0),""select Col2 limit 200""))"),153.04965000000007)</f>
        <v>153.04965</v>
      </c>
      <c r="F365" s="46" t="str">
        <f t="shared" si="1"/>
        <v>In Bear Run</v>
      </c>
      <c r="G365" s="47">
        <f t="shared" si="2"/>
        <v>-25.66464543</v>
      </c>
      <c r="H365" s="48" t="str">
        <f t="shared" si="3"/>
        <v>Inverted ✗</v>
      </c>
      <c r="I365" s="48">
        <f t="shared" si="4"/>
        <v>0</v>
      </c>
      <c r="J365" s="48">
        <f t="shared" si="5"/>
        <v>0</v>
      </c>
      <c r="K365" s="49" t="str">
        <f>IFERROR(__xludf.DUMMYFUNCTION("IFERROR(IF(A365="""",""ENTER STOCK"",LET(stock,A365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65" s="48">
        <f t="shared" si="6"/>
        <v>0</v>
      </c>
      <c r="M365" s="48">
        <f t="shared" si="7"/>
        <v>1</v>
      </c>
      <c r="N365" s="50">
        <f t="shared" si="8"/>
        <v>1</v>
      </c>
      <c r="P365" s="46" t="str">
        <f t="shared" si="9"/>
        <v>REVERSE TRADE</v>
      </c>
      <c r="Q365" s="52"/>
      <c r="R365" s="53">
        <f t="shared" si="10"/>
        <v>15</v>
      </c>
      <c r="S365" s="53">
        <f>IFERROR(__xludf.DUMMYFUNCTION("IFERROR(ROUND(GOOGLEFINANCE(A365,""volume"")/GOOGLEFINANCE(A365,""volumeavg""),2),"""")"),1.4)</f>
        <v>1.4</v>
      </c>
      <c r="T365" s="53" t="str">
        <f t="shared" si="11"/>
        <v>OK VOL</v>
      </c>
      <c r="U365" s="53">
        <f>IFERROR(__xludf.DUMMYFUNCTION("IFERROR(
  LET(
    sd, GOOGLEFINANCE(A365,""close"",TODAY()-100,TODAY()),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"""")"),1.97)</f>
        <v>1.97</v>
      </c>
      <c r="V365" s="53" t="str">
        <f t="shared" si="12"/>
        <v>FAST</v>
      </c>
      <c r="W365" s="53">
        <f>IFERROR(__xludf.DUMMYFUNCTION("IFERROR(ROUND((B365/GOOGLEFINANCE(A365,""high52"")-1)*100,1),"""")"),-43.1)</f>
        <v>-43.1</v>
      </c>
      <c r="X365" s="53">
        <f>IFERROR(__xludf.DUMMYFUNCTION("IFERROR(ROUND((B365-GOOGLEFINANCE(A365,""low52""))/(GOOGLEFINANCE(A365,""high52"")-GOOGLEFINANCE(A365,""low52""))*100,1),"""")"),28.1)</f>
        <v>28.1</v>
      </c>
      <c r="Y365" s="53" t="str">
        <f t="shared" si="13"/>
        <v>DEEP RECOVERY</v>
      </c>
      <c r="Z365" s="53">
        <f>IFERROR(__xludf.DUMMYFUNCTION("IFERROR(ROUND(((B365 / INDEX(GOOGLEFINANCE(TRIM(A365), ""price"", TODAY()-34, TODAY()), 2, 2)) - (GOOGLEFINANCE(""NIFTY_50"") / INDEX(GOOGLEFINANCE(""NIFTY_50"", ""price"", TODAY()-34, TODAY()), 2, 2))) * 100, 2), ""Check History"")"),-2.22)</f>
        <v>-2.22</v>
      </c>
      <c r="AA365" s="53" t="str">
        <f t="shared" si="14"/>
        <v>WEAK RS</v>
      </c>
      <c r="AB365" s="53">
        <f>IFERROR(__xludf.DUMMYFUNCTION("IFERROR(LET(
  p, QUERY(GOOGLEFINANCE(TRIM(A365),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Loading"")"),33.8)</f>
        <v>33.8</v>
      </c>
      <c r="AC365" s="53" t="str">
        <f t="shared" si="15"/>
        <v>WEAK MOM</v>
      </c>
      <c r="AD365" s="53" t="str">
        <f>IFERROR(__xludf.DUMMYFUNCTION("IFERROR(IF(GOOGLEFINANCE(A365,""eps"")&gt;0,""EPS+"",""EPS-""),"""")"),"EPS+")</f>
        <v>EPS+</v>
      </c>
      <c r="AE365" s="53">
        <f t="shared" si="16"/>
        <v>5</v>
      </c>
      <c r="AF365" s="53">
        <f>IFERROR(__xludf.DUMMYFUNCTION("IFERROR(N365+IF(S365&gt;=1.2,1,0)+IF(U365&gt;=1,1,0)+IF(Z365&gt;0,1,0)+IF(AND(W365&gt;=-20,W365&lt;=0),1,0)+IF(IFERROR(GOOGLEFINANCE(A365,""eps""),0)&gt;0,1,0),"""")"),4.0)</f>
        <v>4</v>
      </c>
      <c r="AG365" s="53" t="str">
        <f t="shared" si="17"/>
        <v>REVERSE TRADE</v>
      </c>
    </row>
    <row r="366" ht="15.75" customHeight="1">
      <c r="A366" s="55" t="s">
        <v>533</v>
      </c>
      <c r="B366" s="44">
        <f>IFERROR(__xludf.DUMMYFUNCTION("GOOGLEFINANCE(A366,""price"")"),109.8)</f>
        <v>109.8</v>
      </c>
      <c r="C366" s="45">
        <f>IFERROR(__xludf.DUMMYFUNCTION("AVERAGE(QUERY(SORT(GOOGLEFINANCE(A366,""price"",TODAY()-150,TODAY()),1,0),""select Col2 limit 50""))"),119.32219999999995)</f>
        <v>119.3222</v>
      </c>
      <c r="D366" s="45">
        <f>IFERROR(__xludf.DUMMYFUNCTION("AVERAGE(QUERY(SORT(GOOGLEFINANCE(A366,""price"",TODAY()-300,TODAY()),1,0),""select Col2 limit 100""))"),119.81569999999998)</f>
        <v>119.8157</v>
      </c>
      <c r="E366" s="45">
        <f>IFERROR(__xludf.DUMMYFUNCTION("AVERAGE(QUERY(SORT(GOOGLEFINANCE(A366,""price"",TODAY()-500,TODAY()),1,0),""select Col2 limit 200""))"),128.39901960784314)</f>
        <v>128.3990196</v>
      </c>
      <c r="F366" s="46" t="str">
        <f t="shared" si="1"/>
        <v>In Bear Run</v>
      </c>
      <c r="G366" s="47">
        <f t="shared" si="2"/>
        <v>-14.48532837</v>
      </c>
      <c r="H366" s="48" t="str">
        <f t="shared" si="3"/>
        <v>Inverted ✗</v>
      </c>
      <c r="I366" s="48">
        <f t="shared" si="4"/>
        <v>0</v>
      </c>
      <c r="J366" s="48">
        <f t="shared" si="5"/>
        <v>0</v>
      </c>
      <c r="K366" s="49" t="str">
        <f>IFERROR(__xludf.DUMMYFUNCTION("IFERROR(IF(A366="""",""ENTER STOCK"",LET(stock,A366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66" s="48">
        <f t="shared" si="6"/>
        <v>0</v>
      </c>
      <c r="M366" s="48">
        <f t="shared" si="7"/>
        <v>1</v>
      </c>
      <c r="N366" s="50">
        <f t="shared" si="8"/>
        <v>1</v>
      </c>
      <c r="P366" s="46" t="str">
        <f t="shared" si="9"/>
        <v>REVERSE TRADE</v>
      </c>
      <c r="Q366" s="52"/>
      <c r="R366" s="53">
        <f t="shared" si="10"/>
        <v>15</v>
      </c>
      <c r="S366" s="53">
        <f>IFERROR(__xludf.DUMMYFUNCTION("IFERROR(ROUND(GOOGLEFINANCE(A366,""volume"")/GOOGLEFINANCE(A366,""volumeavg""),2),"""")"),0.77)</f>
        <v>0.77</v>
      </c>
      <c r="T366" s="53" t="str">
        <f t="shared" si="11"/>
        <v>LOW VOL</v>
      </c>
      <c r="U366" s="53">
        <f>IFERROR(__xludf.DUMMYFUNCTION("IFERROR(
  LET(
    sd, GOOGLEFINANCE(A366,""close"",TODAY()-100,TODAY()),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"""")"),1.03)</f>
        <v>1.03</v>
      </c>
      <c r="V366" s="53" t="str">
        <f t="shared" si="12"/>
        <v>MEDIUM</v>
      </c>
      <c r="W366" s="53">
        <f>IFERROR(__xludf.DUMMYFUNCTION("IFERROR(ROUND((B366/GOOGLEFINANCE(A366,""high52"")-1)*100,1),"""")"),-32.3)</f>
        <v>-32.3</v>
      </c>
      <c r="X366" s="53">
        <f>IFERROR(__xludf.DUMMYFUNCTION("IFERROR(ROUND((B366-GOOGLEFINANCE(A366,""low52""))/(GOOGLEFINANCE(A366,""high52"")-GOOGLEFINANCE(A366,""low52""))*100,1),"""")"),5.7)</f>
        <v>5.7</v>
      </c>
      <c r="Y366" s="53" t="str">
        <f t="shared" si="13"/>
        <v>MID</v>
      </c>
      <c r="Z366" s="53">
        <f>IFERROR(__xludf.DUMMYFUNCTION("IFERROR(ROUND(((B366 / INDEX(GOOGLEFINANCE(TRIM(A366), ""price"", TODAY()-34, TODAY()), 2, 2)) - (GOOGLEFINANCE(""NIFTY_50"") / INDEX(GOOGLEFINANCE(""NIFTY_50"", ""price"", TODAY()-34, TODAY()), 2, 2))) * 100, 2), ""Check History"")"),-1.7)</f>
        <v>-1.7</v>
      </c>
      <c r="AA366" s="53" t="str">
        <f t="shared" si="14"/>
        <v>WEAK RS</v>
      </c>
      <c r="AB366" s="53">
        <f>IFERROR(__xludf.DUMMYFUNCTION("IFERROR(LET(
  p, QUERY(GOOGLEFINANCE(TRIM(A366),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Loading"")"),36.4)</f>
        <v>36.4</v>
      </c>
      <c r="AC366" s="53" t="str">
        <f t="shared" si="15"/>
        <v>WEAK MOM</v>
      </c>
      <c r="AD366" s="53" t="str">
        <f>IFERROR(__xludf.DUMMYFUNCTION("IFERROR(IF(GOOGLEFINANCE(A366,""eps"")&gt;0,""EPS+"",""EPS-""),"""")"),"EPS-")</f>
        <v>EPS-</v>
      </c>
      <c r="AE366" s="53">
        <f t="shared" si="16"/>
        <v>2</v>
      </c>
      <c r="AF366" s="53">
        <f>IFERROR(__xludf.DUMMYFUNCTION("IFERROR(N366+IF(S366&gt;=1.2,1,0)+IF(U366&gt;=1,1,0)+IF(Z366&gt;0,1,0)+IF(AND(W366&gt;=-20,W366&lt;=0),1,0)+IF(IFERROR(GOOGLEFINANCE(A366,""eps""),0)&gt;0,1,0),"""")"),2.0)</f>
        <v>2</v>
      </c>
      <c r="AG366" s="53" t="str">
        <f t="shared" si="17"/>
        <v>REVERSE TRADE</v>
      </c>
    </row>
    <row r="367" ht="15.75" customHeight="1">
      <c r="A367" s="55" t="s">
        <v>534</v>
      </c>
      <c r="B367" s="44">
        <f>IFERROR(__xludf.DUMMYFUNCTION("GOOGLEFINANCE(A367,""price"")"),110.1)</f>
        <v>110.1</v>
      </c>
      <c r="C367" s="45">
        <f>IFERROR(__xludf.DUMMYFUNCTION("AVERAGE(QUERY(SORT(GOOGLEFINANCE(A367,""price"",TODAY()-150,TODAY()),1,0),""select Col2 limit 50""))"),110.44560000000003)</f>
        <v>110.4456</v>
      </c>
      <c r="D367" s="45">
        <f>IFERROR(__xludf.DUMMYFUNCTION("AVERAGE(QUERY(SORT(GOOGLEFINANCE(A367,""price"",TODAY()-300,TODAY()),1,0),""select Col2 limit 100""))"),106.92530000000002)</f>
        <v>106.9253</v>
      </c>
      <c r="E367" s="45">
        <f>IFERROR(__xludf.DUMMYFUNCTION("AVERAGE(QUERY(SORT(GOOGLEFINANCE(A367,""price"",TODAY()-500,TODAY()),1,0),""select Col2 limit 200""))"),106.46619999999999)</f>
        <v>106.4662</v>
      </c>
      <c r="F367" s="46" t="str">
        <f t="shared" si="1"/>
        <v>Unconfirmed</v>
      </c>
      <c r="G367" s="47">
        <f t="shared" si="2"/>
        <v>3.413101999</v>
      </c>
      <c r="H367" s="48" t="str">
        <f t="shared" si="3"/>
        <v>Golden ✓</v>
      </c>
      <c r="I367" s="48">
        <f t="shared" si="4"/>
        <v>3</v>
      </c>
      <c r="J367" s="48">
        <f t="shared" si="5"/>
        <v>4</v>
      </c>
      <c r="K367" s="49" t="str">
        <f>IFERROR(__xludf.DUMMYFUNCTION("IFERROR(IF(A367="""",""ENTER STOCK"",LET(stock,A367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67" s="48">
        <f t="shared" si="6"/>
        <v>0</v>
      </c>
      <c r="M367" s="48">
        <f t="shared" si="7"/>
        <v>1</v>
      </c>
      <c r="N367" s="50">
        <f t="shared" si="8"/>
        <v>8</v>
      </c>
      <c r="P367" s="46" t="str">
        <f t="shared" si="9"/>
        <v>WAIT</v>
      </c>
      <c r="Q367" s="52"/>
      <c r="R367" s="53">
        <f t="shared" si="10"/>
        <v>15</v>
      </c>
      <c r="S367" s="53">
        <f>IFERROR(__xludf.DUMMYFUNCTION("IFERROR(ROUND(GOOGLEFINANCE(A367,""volume"")/GOOGLEFINANCE(A367,""volumeavg""),2),"""")"),0.48)</f>
        <v>0.48</v>
      </c>
      <c r="T367" s="53" t="str">
        <f t="shared" si="11"/>
        <v>LOW VOL</v>
      </c>
      <c r="U367" s="53">
        <f>IFERROR(__xludf.DUMMYFUNCTION("IFERROR(
  LET(
    sd, GOOGLEFINANCE(A367,""close"",TODAY()-100,TODAY()),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"""")"),1.71)</f>
        <v>1.71</v>
      </c>
      <c r="V367" s="53" t="str">
        <f t="shared" si="12"/>
        <v>FAST</v>
      </c>
      <c r="W367" s="53">
        <f>IFERROR(__xludf.DUMMYFUNCTION("IFERROR(ROUND((B367/GOOGLEFINANCE(A367,""high52"")-1)*100,1),"""")"),-14.3)</f>
        <v>-14.3</v>
      </c>
      <c r="X367" s="53">
        <f>IFERROR(__xludf.DUMMYFUNCTION("IFERROR(ROUND((B367-GOOGLEFINANCE(A367,""low52""))/(GOOGLEFINANCE(A367,""high52"")-GOOGLEFINANCE(A367,""low52""))*100,1),"""")"),55.4)</f>
        <v>55.4</v>
      </c>
      <c r="Y367" s="53" t="str">
        <f t="shared" si="13"/>
        <v>UPPER</v>
      </c>
      <c r="Z367" s="53">
        <f>IFERROR(__xludf.DUMMYFUNCTION("IFERROR(ROUND(((B367 / INDEX(GOOGLEFINANCE(TRIM(A367), ""price"", TODAY()-34, TODAY()), 2, 2)) - (GOOGLEFINANCE(""NIFTY_50"") / INDEX(GOOGLEFINANCE(""NIFTY_50"", ""price"", TODAY()-34, TODAY()), 2, 2))) * 100, 2), ""Check History"")"),12.21)</f>
        <v>12.21</v>
      </c>
      <c r="AA367" s="53" t="str">
        <f t="shared" si="14"/>
        <v>STRONG RS</v>
      </c>
      <c r="AB367" s="53">
        <f>IFERROR(__xludf.DUMMYFUNCTION("IFERROR(LET(
  p, QUERY(GOOGLEFINANCE(TRIM(A367),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Loading"")"),41.3)</f>
        <v>41.3</v>
      </c>
      <c r="AC367" s="53" t="str">
        <f t="shared" si="15"/>
        <v>WEAK MOM</v>
      </c>
      <c r="AD367" s="53" t="str">
        <f>IFERROR(__xludf.DUMMYFUNCTION("IFERROR(IF(GOOGLEFINANCE(A367,""eps"")&gt;0,""EPS+"",""EPS-""),"""")"),"EPS+")</f>
        <v>EPS+</v>
      </c>
      <c r="AE367" s="53">
        <f t="shared" si="16"/>
        <v>6</v>
      </c>
      <c r="AF367" s="53">
        <f>IFERROR(__xludf.DUMMYFUNCTION("IFERROR(N367+IF(S367&gt;=1.2,1,0)+IF(U367&gt;=1,1,0)+IF(Z367&gt;0,1,0)+IF(AND(W367&gt;=-20,W367&lt;=0),1,0)+IF(IFERROR(GOOGLEFINANCE(A367,""eps""),0)&gt;0,1,0),"""")"),12.0)</f>
        <v>12</v>
      </c>
      <c r="AG367" s="53" t="str">
        <f t="shared" si="17"/>
        <v>WAIT</v>
      </c>
    </row>
    <row r="368" ht="15.75" customHeight="1">
      <c r="A368" s="55" t="s">
        <v>535</v>
      </c>
      <c r="B368" s="44">
        <f>IFERROR(__xludf.DUMMYFUNCTION("GOOGLEFINANCE(A368,""price"")"),183.5)</f>
        <v>183.5</v>
      </c>
      <c r="C368" s="45">
        <f>IFERROR(__xludf.DUMMYFUNCTION("AVERAGE(QUERY(SORT(GOOGLEFINANCE(A368,""price"",TODAY()-150,TODAY()),1,0),""select Col2 limit 50""))"),183.47080000000003)</f>
        <v>183.4708</v>
      </c>
      <c r="D368" s="45">
        <f>IFERROR(__xludf.DUMMYFUNCTION("AVERAGE(QUERY(SORT(GOOGLEFINANCE(A368,""price"",TODAY()-300,TODAY()),1,0),""select Col2 limit 100""))"),174.53150000000002)</f>
        <v>174.5315</v>
      </c>
      <c r="E368" s="45">
        <f>IFERROR(__xludf.DUMMYFUNCTION("AVERAGE(QUERY(SORT(GOOGLEFINANCE(A368,""price"",TODAY()-500,TODAY()),1,0),""select Col2 limit 200""))"),193.79459999999995)</f>
        <v>193.7946</v>
      </c>
      <c r="F368" s="46" t="str">
        <f t="shared" si="1"/>
        <v>Unconfirmed</v>
      </c>
      <c r="G368" s="47">
        <f t="shared" si="2"/>
        <v>-5.31211912</v>
      </c>
      <c r="H368" s="48" t="str">
        <f t="shared" si="3"/>
        <v>Inverted ✗</v>
      </c>
      <c r="I368" s="48">
        <f t="shared" si="4"/>
        <v>0</v>
      </c>
      <c r="J368" s="48">
        <f t="shared" si="5"/>
        <v>0</v>
      </c>
      <c r="K368" s="49" t="str">
        <f>IFERROR(__xludf.DUMMYFUNCTION("IFERROR(IF(A368="""",""ENTER STOCK"",LET(stock,A368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68" s="48">
        <f t="shared" si="6"/>
        <v>0</v>
      </c>
      <c r="M368" s="48">
        <f t="shared" si="7"/>
        <v>1</v>
      </c>
      <c r="N368" s="50">
        <f t="shared" si="8"/>
        <v>1</v>
      </c>
      <c r="P368" s="46" t="str">
        <f t="shared" si="9"/>
        <v>WAIT</v>
      </c>
      <c r="Q368" s="52"/>
      <c r="R368" s="53">
        <f t="shared" si="10"/>
        <v>15</v>
      </c>
      <c r="S368" s="53">
        <f>IFERROR(__xludf.DUMMYFUNCTION("IFERROR(ROUND(GOOGLEFINANCE(A368,""volume"")/GOOGLEFINANCE(A368,""volumeavg""),2),"""")"),0.5)</f>
        <v>0.5</v>
      </c>
      <c r="T368" s="53" t="str">
        <f t="shared" si="11"/>
        <v>LOW VOL</v>
      </c>
      <c r="U368" s="53">
        <f>IFERROR(__xludf.DUMMYFUNCTION("IFERROR(
  LET(
    sd, GOOGLEFINANCE(A368,""close"",TODAY()-100,TODAY()),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"""")"),1.13)</f>
        <v>1.13</v>
      </c>
      <c r="V368" s="53" t="str">
        <f t="shared" si="12"/>
        <v>MEDIUM</v>
      </c>
      <c r="W368" s="53">
        <f>IFERROR(__xludf.DUMMYFUNCTION("IFERROR(ROUND((B368/GOOGLEFINANCE(A368,""high52"")-1)*100,1),"""")"),-34.0)</f>
        <v>-34</v>
      </c>
      <c r="X368" s="53">
        <f>IFERROR(__xludf.DUMMYFUNCTION("IFERROR(ROUND((B368-GOOGLEFINANCE(A368,""low52""))/(GOOGLEFINANCE(A368,""high52"")-GOOGLEFINANCE(A368,""low52""))*100,1),"""")"),24.4)</f>
        <v>24.4</v>
      </c>
      <c r="Y368" s="53" t="str">
        <f t="shared" si="13"/>
        <v>MID</v>
      </c>
      <c r="Z368" s="53">
        <f>IFERROR(__xludf.DUMMYFUNCTION("IFERROR(ROUND(((B368 / INDEX(GOOGLEFINANCE(TRIM(A368), ""price"", TODAY()-34, TODAY()), 2, 2)) - (GOOGLEFINANCE(""NIFTY_50"") / INDEX(GOOGLEFINANCE(""NIFTY_50"", ""price"", TODAY()-34, TODAY()), 2, 2))) * 100, 2), ""Check History"")"),16.61)</f>
        <v>16.61</v>
      </c>
      <c r="AA368" s="53" t="str">
        <f t="shared" si="14"/>
        <v>STRONG RS</v>
      </c>
      <c r="AB368" s="53">
        <f>IFERROR(__xludf.DUMMYFUNCTION("IFERROR(LET(
  p, QUERY(GOOGLEFINANCE(TRIM(A368),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Loading"")"),53.4)</f>
        <v>53.4</v>
      </c>
      <c r="AC368" s="53" t="str">
        <f t="shared" si="15"/>
        <v>IDEAL ENTRY</v>
      </c>
      <c r="AD368" s="53" t="str">
        <f>IFERROR(__xludf.DUMMYFUNCTION("IFERROR(IF(GOOGLEFINANCE(A368,""eps"")&gt;0,""EPS+"",""EPS-""),"""")"),"EPS+")</f>
        <v>EPS+</v>
      </c>
      <c r="AE368" s="53">
        <f t="shared" si="16"/>
        <v>4</v>
      </c>
      <c r="AF368" s="53">
        <f>IFERROR(__xludf.DUMMYFUNCTION("IFERROR(N368+IF(S368&gt;=1.2,1,0)+IF(U368&gt;=1,1,0)+IF(Z368&gt;0,1,0)+IF(AND(W368&gt;=-20,W368&lt;=0),1,0)+IF(IFERROR(GOOGLEFINANCE(A368,""eps""),0)&gt;0,1,0),"""")"),4.0)</f>
        <v>4</v>
      </c>
      <c r="AG368" s="53" t="str">
        <f t="shared" si="17"/>
        <v>WAIT</v>
      </c>
    </row>
    <row r="369" ht="15.75" customHeight="1">
      <c r="A369" s="55" t="s">
        <v>536</v>
      </c>
      <c r="B369" s="44">
        <f>IFERROR(__xludf.DUMMYFUNCTION("GOOGLEFINANCE(A369,""price"")"),544.1)</f>
        <v>544.1</v>
      </c>
      <c r="C369" s="45">
        <f>IFERROR(__xludf.DUMMYFUNCTION("AVERAGE(QUERY(SORT(GOOGLEFINANCE(A369,""price"",TODAY()-150,TODAY()),1,0),""select Col2 limit 50""))"),610.04)</f>
        <v>610.04</v>
      </c>
      <c r="D369" s="45">
        <f>IFERROR(__xludf.DUMMYFUNCTION("AVERAGE(QUERY(SORT(GOOGLEFINANCE(A369,""price"",TODAY()-300,TODAY()),1,0),""select Col2 limit 100""))"),654.585)</f>
        <v>654.585</v>
      </c>
      <c r="E369" s="45">
        <f>IFERROR(__xludf.DUMMYFUNCTION("AVERAGE(QUERY(SORT(GOOGLEFINANCE(A369,""price"",TODAY()-500,TODAY()),1,0),""select Col2 limit 200""))"),690.6952499999996)</f>
        <v>690.69525</v>
      </c>
      <c r="F369" s="46" t="str">
        <f t="shared" si="1"/>
        <v>In Bear Run</v>
      </c>
      <c r="G369" s="47">
        <f t="shared" si="2"/>
        <v>-21.22430261</v>
      </c>
      <c r="H369" s="48" t="str">
        <f t="shared" si="3"/>
        <v>Inverted ✗</v>
      </c>
      <c r="I369" s="48">
        <f t="shared" si="4"/>
        <v>0</v>
      </c>
      <c r="J369" s="48">
        <f t="shared" si="5"/>
        <v>0</v>
      </c>
      <c r="K369" s="49" t="str">
        <f>IFERROR(__xludf.DUMMYFUNCTION("IFERROR(IF(A369="""",""ENTER STOCK"",LET(stock,A369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69" s="48">
        <f t="shared" si="6"/>
        <v>0</v>
      </c>
      <c r="M369" s="48">
        <f t="shared" si="7"/>
        <v>1</v>
      </c>
      <c r="N369" s="50">
        <f t="shared" si="8"/>
        <v>1</v>
      </c>
      <c r="P369" s="46" t="str">
        <f t="shared" si="9"/>
        <v>REVERSE TRADE</v>
      </c>
      <c r="Q369" s="52"/>
      <c r="R369" s="53">
        <f t="shared" si="10"/>
        <v>15</v>
      </c>
      <c r="S369" s="53">
        <f>IFERROR(__xludf.DUMMYFUNCTION("IFERROR(ROUND(GOOGLEFINANCE(A369,""volume"")/GOOGLEFINANCE(A369,""volumeavg""),2),"""")"),1.13)</f>
        <v>1.13</v>
      </c>
      <c r="T369" s="53" t="str">
        <f t="shared" si="11"/>
        <v>LOW VOL</v>
      </c>
      <c r="U369" s="53">
        <f>IFERROR(__xludf.DUMMYFUNCTION("IFERROR(
  LET(
    sd, GOOGLEFINANCE(A369,""close"",TODAY()-100,TODAY()),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"""")"),1.48)</f>
        <v>1.48</v>
      </c>
      <c r="V369" s="53" t="str">
        <f t="shared" si="12"/>
        <v>FAST</v>
      </c>
      <c r="W369" s="53">
        <f>IFERROR(__xludf.DUMMYFUNCTION("IFERROR(ROUND((B369/GOOGLEFINANCE(A369,""high52"")-1)*100,1),"""")"),-36.1)</f>
        <v>-36.1</v>
      </c>
      <c r="X369" s="53">
        <f>IFERROR(__xludf.DUMMYFUNCTION("IFERROR(ROUND((B369-GOOGLEFINANCE(A369,""low52""))/(GOOGLEFINANCE(A369,""high52"")-GOOGLEFINANCE(A369,""low52""))*100,1),"""")"),2.8)</f>
        <v>2.8</v>
      </c>
      <c r="Y369" s="53" t="str">
        <f t="shared" si="13"/>
        <v>MID</v>
      </c>
      <c r="Z369" s="53">
        <f>IFERROR(__xludf.DUMMYFUNCTION("IFERROR(ROUND(((B369 / INDEX(GOOGLEFINANCE(TRIM(A369), ""price"", TODAY()-34, TODAY()), 2, 2)) - (GOOGLEFINANCE(""NIFTY_50"") / INDEX(GOOGLEFINANCE(""NIFTY_50"", ""price"", TODAY()-34, TODAY()), 2, 2))) * 100, 2), ""Check History"")"),2.48)</f>
        <v>2.48</v>
      </c>
      <c r="AA369" s="53" t="str">
        <f t="shared" si="14"/>
        <v>MILD RS</v>
      </c>
      <c r="AB369" s="53">
        <f>IFERROR(__xludf.DUMMYFUNCTION("IFERROR(LET(
  p, QUERY(GOOGLEFINANCE(TRIM(A369),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Loading"")"),50.6)</f>
        <v>50.6</v>
      </c>
      <c r="AC369" s="53" t="str">
        <f t="shared" si="15"/>
        <v>IDEAL ENTRY</v>
      </c>
      <c r="AD369" s="53" t="str">
        <f>IFERROR(__xludf.DUMMYFUNCTION("IFERROR(IF(GOOGLEFINANCE(A369,""eps"")&gt;0,""EPS+"",""EPS-""),"""")"),"EPS+")</f>
        <v>EPS+</v>
      </c>
      <c r="AE369" s="53">
        <f t="shared" si="16"/>
        <v>5</v>
      </c>
      <c r="AF369" s="53">
        <f>IFERROR(__xludf.DUMMYFUNCTION("IFERROR(N369+IF(S369&gt;=1.2,1,0)+IF(U369&gt;=1,1,0)+IF(Z369&gt;0,1,0)+IF(AND(W369&gt;=-20,W369&lt;=0),1,0)+IF(IFERROR(GOOGLEFINANCE(A369,""eps""),0)&gt;0,1,0),"""")"),4.0)</f>
        <v>4</v>
      </c>
      <c r="AG369" s="53" t="str">
        <f t="shared" si="17"/>
        <v>REVERSE TRADE</v>
      </c>
    </row>
    <row r="370" ht="15.75" customHeight="1">
      <c r="A370" s="55" t="s">
        <v>537</v>
      </c>
      <c r="B370" s="44">
        <f>IFERROR(__xludf.DUMMYFUNCTION("GOOGLEFINANCE(A370,""price"")"),807.0)</f>
        <v>807</v>
      </c>
      <c r="C370" s="45">
        <f>IFERROR(__xludf.DUMMYFUNCTION("AVERAGE(QUERY(SORT(GOOGLEFINANCE(A370,""price"",TODAY()-150,TODAY()),1,0),""select Col2 limit 50""))"),899.0790000000001)</f>
        <v>899.079</v>
      </c>
      <c r="D370" s="45">
        <f>IFERROR(__xludf.DUMMYFUNCTION("AVERAGE(QUERY(SORT(GOOGLEFINANCE(A370,""price"",TODAY()-300,TODAY()),1,0),""select Col2 limit 100""))"),993.9585)</f>
        <v>993.9585</v>
      </c>
      <c r="E370" s="45">
        <f>IFERROR(__xludf.DUMMYFUNCTION("AVERAGE(QUERY(SORT(GOOGLEFINANCE(A370,""price"",TODAY()-500,TODAY()),1,0),""select Col2 limit 200""))"),1058.4397499999995)</f>
        <v>1058.43975</v>
      </c>
      <c r="F370" s="46" t="str">
        <f t="shared" si="1"/>
        <v>In Bear Run</v>
      </c>
      <c r="G370" s="47">
        <f t="shared" si="2"/>
        <v>-23.75569795</v>
      </c>
      <c r="H370" s="48" t="str">
        <f t="shared" si="3"/>
        <v>Inverted ✗</v>
      </c>
      <c r="I370" s="48">
        <f t="shared" si="4"/>
        <v>0</v>
      </c>
      <c r="J370" s="48">
        <f t="shared" si="5"/>
        <v>0</v>
      </c>
      <c r="K370" s="49" t="str">
        <f>IFERROR(__xludf.DUMMYFUNCTION("IFERROR(IF(A370="""",""ENTER STOCK"",LET(stock,A370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70" s="48">
        <f t="shared" si="6"/>
        <v>0</v>
      </c>
      <c r="M370" s="48">
        <f t="shared" si="7"/>
        <v>1</v>
      </c>
      <c r="N370" s="50">
        <f t="shared" si="8"/>
        <v>1</v>
      </c>
      <c r="P370" s="46" t="str">
        <f t="shared" si="9"/>
        <v>REVERSE TRADE</v>
      </c>
      <c r="Q370" s="52"/>
      <c r="R370" s="53">
        <f t="shared" si="10"/>
        <v>15</v>
      </c>
      <c r="S370" s="53">
        <f>IFERROR(__xludf.DUMMYFUNCTION("IFERROR(ROUND(GOOGLEFINANCE(A370,""volume"")/GOOGLEFINANCE(A370,""volumeavg""),2),"""")"),3.01)</f>
        <v>3.01</v>
      </c>
      <c r="T370" s="53" t="str">
        <f t="shared" si="11"/>
        <v>HIGH VOL</v>
      </c>
      <c r="U370" s="53">
        <f>IFERROR(__xludf.DUMMYFUNCTION("IFERROR(
  LET(
    sd, GOOGLEFINANCE(A370,""close"",TODAY()-100,TODAY()),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"""")"),0.73)</f>
        <v>0.73</v>
      </c>
      <c r="V370" s="53" t="str">
        <f t="shared" si="12"/>
        <v>SLOW</v>
      </c>
      <c r="W370" s="53">
        <f>IFERROR(__xludf.DUMMYFUNCTION("IFERROR(ROUND((B370/GOOGLEFINANCE(A370,""high52"")-1)*100,1),"""")"),-35.3)</f>
        <v>-35.3</v>
      </c>
      <c r="X370" s="53">
        <f>IFERROR(__xludf.DUMMYFUNCTION("IFERROR(ROUND((B370-GOOGLEFINANCE(A370,""low52""))/(GOOGLEFINANCE(A370,""high52"")-GOOGLEFINANCE(A370,""low52""))*100,1),"""")"),4.5)</f>
        <v>4.5</v>
      </c>
      <c r="Y370" s="53" t="str">
        <f t="shared" si="13"/>
        <v>MID</v>
      </c>
      <c r="Z370" s="53">
        <f>IFERROR(__xludf.DUMMYFUNCTION("IFERROR(ROUND(((B370 / INDEX(GOOGLEFINANCE(TRIM(A370), ""price"", TODAY()-34, TODAY()), 2, 2)) - (GOOGLEFINANCE(""NIFTY_50"") / INDEX(GOOGLEFINANCE(""NIFTY_50"", ""price"", TODAY()-34, TODAY()), 2, 2))) * 100, 2), ""Check History"")"),3.98)</f>
        <v>3.98</v>
      </c>
      <c r="AA370" s="53" t="str">
        <f t="shared" si="14"/>
        <v>MILD RS</v>
      </c>
      <c r="AB370" s="53">
        <f>IFERROR(__xludf.DUMMYFUNCTION("IFERROR(LET(
  p, QUERY(GOOGLEFINANCE(TRIM(A370),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Loading"")"),70.5)</f>
        <v>70.5</v>
      </c>
      <c r="AC370" s="53" t="str">
        <f t="shared" si="15"/>
        <v>OVERBOUGHT</v>
      </c>
      <c r="AD370" s="53" t="str">
        <f>IFERROR(__xludf.DUMMYFUNCTION("IFERROR(IF(GOOGLEFINANCE(A370,""eps"")&gt;0,""EPS+"",""EPS-""),"""")"),"EPS+")</f>
        <v>EPS+</v>
      </c>
      <c r="AE370" s="53">
        <f t="shared" si="16"/>
        <v>5</v>
      </c>
      <c r="AF370" s="53">
        <f>IFERROR(__xludf.DUMMYFUNCTION("IFERROR(N370+IF(S370&gt;=1.2,1,0)+IF(U370&gt;=1,1,0)+IF(Z370&gt;0,1,0)+IF(AND(W370&gt;=-20,W370&lt;=0),1,0)+IF(IFERROR(GOOGLEFINANCE(A370,""eps""),0)&gt;0,1,0),"""")"),4.0)</f>
        <v>4</v>
      </c>
      <c r="AG370" s="53" t="str">
        <f t="shared" si="17"/>
        <v>REVERSE TRADE</v>
      </c>
    </row>
    <row r="371" ht="15.75" customHeight="1">
      <c r="A371" s="55" t="s">
        <v>538</v>
      </c>
      <c r="B371" s="44">
        <f>IFERROR(__xludf.DUMMYFUNCTION("GOOGLEFINANCE(A371,""price"")"),237.3)</f>
        <v>237.3</v>
      </c>
      <c r="C371" s="45">
        <f>IFERROR(__xludf.DUMMYFUNCTION("AVERAGE(QUERY(SORT(GOOGLEFINANCE(A371,""price"",TODAY()-150,TODAY()),1,0),""select Col2 limit 50""))"),288.415)</f>
        <v>288.415</v>
      </c>
      <c r="D371" s="45">
        <f>IFERROR(__xludf.DUMMYFUNCTION("AVERAGE(QUERY(SORT(GOOGLEFINANCE(A371,""price"",TODAY()-300,TODAY()),1,0),""select Col2 limit 100""))"),293.6414999999999)</f>
        <v>293.6415</v>
      </c>
      <c r="E371" s="45">
        <f>IFERROR(__xludf.DUMMYFUNCTION("AVERAGE(QUERY(SORT(GOOGLEFINANCE(A371,""price"",TODAY()-500,TODAY()),1,0),""select Col2 limit 200""))"),320.46200000000005)</f>
        <v>320.462</v>
      </c>
      <c r="F371" s="46" t="str">
        <f t="shared" si="1"/>
        <v>In Bear Run</v>
      </c>
      <c r="G371" s="47">
        <f t="shared" si="2"/>
        <v>-25.95065874</v>
      </c>
      <c r="H371" s="48" t="str">
        <f t="shared" si="3"/>
        <v>Inverted ✗</v>
      </c>
      <c r="I371" s="48">
        <f t="shared" si="4"/>
        <v>0</v>
      </c>
      <c r="J371" s="48">
        <f t="shared" si="5"/>
        <v>0</v>
      </c>
      <c r="K371" s="49" t="str">
        <f>IFERROR(__xludf.DUMMYFUNCTION("IFERROR(IF(A371="""",""ENTER STOCK"",LET(stock,A371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71" s="48">
        <f t="shared" si="6"/>
        <v>0</v>
      </c>
      <c r="M371" s="48">
        <f t="shared" si="7"/>
        <v>1</v>
      </c>
      <c r="N371" s="50">
        <f t="shared" si="8"/>
        <v>1</v>
      </c>
      <c r="P371" s="46" t="str">
        <f t="shared" si="9"/>
        <v>REVERSE TRADE</v>
      </c>
      <c r="Q371" s="52"/>
      <c r="R371" s="53">
        <f t="shared" si="10"/>
        <v>15</v>
      </c>
      <c r="S371" s="53">
        <f>IFERROR(__xludf.DUMMYFUNCTION("IFERROR(ROUND(GOOGLEFINANCE(A371,""volume"")/GOOGLEFINANCE(A371,""volumeavg""),2),"""")"),0.83)</f>
        <v>0.83</v>
      </c>
      <c r="T371" s="53" t="str">
        <f t="shared" si="11"/>
        <v>LOW VOL</v>
      </c>
      <c r="U371" s="53">
        <f>IFERROR(__xludf.DUMMYFUNCTION("IFERROR(
  LET(
    sd, GOOGLEFINANCE(A371,""close"",TODAY()-100,TODAY()),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"""")"),1.31)</f>
        <v>1.31</v>
      </c>
      <c r="V371" s="53" t="str">
        <f t="shared" si="12"/>
        <v>FAST</v>
      </c>
      <c r="W371" s="53">
        <f>IFERROR(__xludf.DUMMYFUNCTION("IFERROR(ROUND((B371/GOOGLEFINANCE(A371,""high52"")-1)*100,1),"""")"),-48.1)</f>
        <v>-48.1</v>
      </c>
      <c r="X371" s="53">
        <f>IFERROR(__xludf.DUMMYFUNCTION("IFERROR(ROUND((B371-GOOGLEFINANCE(A371,""low52""))/(GOOGLEFINANCE(A371,""high52"")-GOOGLEFINANCE(A371,""low52""))*100,1),"""")"),0.7)</f>
        <v>0.7</v>
      </c>
      <c r="Y371" s="53" t="str">
        <f t="shared" si="13"/>
        <v>DEEP RECOVERY</v>
      </c>
      <c r="Z371" s="53">
        <f>IFERROR(__xludf.DUMMYFUNCTION("IFERROR(ROUND(((B371 / INDEX(GOOGLEFINANCE(TRIM(A371), ""price"", TODAY()-34, TODAY()), 2, 2)) - (GOOGLEFINANCE(""NIFTY_50"") / INDEX(GOOGLEFINANCE(""NIFTY_50"", ""price"", TODAY()-34, TODAY()), 2, 2))) * 100, 2), ""Check History"")"),-4.29)</f>
        <v>-4.29</v>
      </c>
      <c r="AA371" s="53" t="str">
        <f t="shared" si="14"/>
        <v>WEAK RS</v>
      </c>
      <c r="AB371" s="53">
        <f>IFERROR(__xludf.DUMMYFUNCTION("IFERROR(LET(
  p, QUERY(GOOGLEFINANCE(TRIM(A371),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Loading"")"),26.7)</f>
        <v>26.7</v>
      </c>
      <c r="AC371" s="53" t="str">
        <f t="shared" si="15"/>
        <v>WEAK MOM</v>
      </c>
      <c r="AD371" s="53" t="str">
        <f>IFERROR(__xludf.DUMMYFUNCTION("IFERROR(IF(GOOGLEFINANCE(A371,""eps"")&gt;0,""EPS+"",""EPS-""),"""")"),"")</f>
        <v/>
      </c>
      <c r="AE371" s="53">
        <f t="shared" si="16"/>
        <v>3</v>
      </c>
      <c r="AF371" s="53">
        <f>IFERROR(__xludf.DUMMYFUNCTION("IFERROR(N371+IF(S371&gt;=1.2,1,0)+IF(U371&gt;=1,1,0)+IF(Z371&gt;0,1,0)+IF(AND(W371&gt;=-20,W371&lt;=0),1,0)+IF(IFERROR(GOOGLEFINANCE(A371,""eps""),0)&gt;0,1,0),"""")"),2.0)</f>
        <v>2</v>
      </c>
      <c r="AG371" s="53" t="str">
        <f t="shared" si="17"/>
        <v>REVERSE TRADE</v>
      </c>
    </row>
    <row r="372" ht="15.75" customHeight="1">
      <c r="A372" s="55" t="s">
        <v>539</v>
      </c>
      <c r="B372" s="44">
        <f>IFERROR(__xludf.DUMMYFUNCTION("GOOGLEFINANCE(A372,""price"")"),198.1)</f>
        <v>198.1</v>
      </c>
      <c r="C372" s="45">
        <f>IFERROR(__xludf.DUMMYFUNCTION("AVERAGE(QUERY(SORT(GOOGLEFINANCE(A372,""price"",TODAY()-150,TODAY()),1,0),""select Col2 limit 50""))"),238.5014)</f>
        <v>238.5014</v>
      </c>
      <c r="D372" s="45">
        <f>IFERROR(__xludf.DUMMYFUNCTION("AVERAGE(QUERY(SORT(GOOGLEFINANCE(A372,""price"",TODAY()-300,TODAY()),1,0),""select Col2 limit 100""))"),265.3472)</f>
        <v>265.3472</v>
      </c>
      <c r="E372" s="45">
        <f>IFERROR(__xludf.DUMMYFUNCTION("AVERAGE(QUERY(SORT(GOOGLEFINANCE(A372,""price"",TODAY()-500,TODAY()),1,0),""select Col2 limit 200""))"),298.10484999999994)</f>
        <v>298.10485</v>
      </c>
      <c r="F372" s="46" t="str">
        <f t="shared" si="1"/>
        <v>In Bear Run</v>
      </c>
      <c r="G372" s="47">
        <f t="shared" si="2"/>
        <v>-33.54687118</v>
      </c>
      <c r="H372" s="48" t="str">
        <f t="shared" si="3"/>
        <v>Inverted ✗</v>
      </c>
      <c r="I372" s="48">
        <f t="shared" si="4"/>
        <v>0</v>
      </c>
      <c r="J372" s="48">
        <f t="shared" si="5"/>
        <v>0</v>
      </c>
      <c r="K372" s="49" t="str">
        <f>IFERROR(__xludf.DUMMYFUNCTION("IFERROR(IF(A372="""",""ENTER STOCK"",LET(stock,A372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72" s="48">
        <f t="shared" si="6"/>
        <v>0</v>
      </c>
      <c r="M372" s="48">
        <f t="shared" si="7"/>
        <v>1</v>
      </c>
      <c r="N372" s="50">
        <f t="shared" si="8"/>
        <v>1</v>
      </c>
      <c r="P372" s="46" t="str">
        <f t="shared" si="9"/>
        <v>REVERSE TRADE</v>
      </c>
      <c r="Q372" s="52"/>
      <c r="R372" s="53">
        <f t="shared" si="10"/>
        <v>15</v>
      </c>
      <c r="S372" s="53">
        <f>IFERROR(__xludf.DUMMYFUNCTION("IFERROR(ROUND(GOOGLEFINANCE(A372,""volume"")/GOOGLEFINANCE(A372,""volumeavg""),2),"""")"),1.15)</f>
        <v>1.15</v>
      </c>
      <c r="T372" s="53" t="str">
        <f t="shared" si="11"/>
        <v>LOW VOL</v>
      </c>
      <c r="U372" s="53">
        <f>IFERROR(__xludf.DUMMYFUNCTION("IFERROR(
  LET(
    sd, GOOGLEFINANCE(A372,""close"",TODAY()-100,TODAY()),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"""")"),1.19)</f>
        <v>1.19</v>
      </c>
      <c r="V372" s="53" t="str">
        <f t="shared" si="12"/>
        <v>MEDIUM</v>
      </c>
      <c r="W372" s="53">
        <f>IFERROR(__xludf.DUMMYFUNCTION("IFERROR(ROUND((B372/GOOGLEFINANCE(A372,""high52"")-1)*100,1),"""")"),-50.5)</f>
        <v>-50.5</v>
      </c>
      <c r="X372" s="53">
        <f>IFERROR(__xludf.DUMMYFUNCTION("IFERROR(ROUND((B372-GOOGLEFINANCE(A372,""low52""))/(GOOGLEFINANCE(A372,""high52"")-GOOGLEFINANCE(A372,""low52""))*100,1),"""")"),1.0)</f>
        <v>1</v>
      </c>
      <c r="Y372" s="53" t="str">
        <f t="shared" si="13"/>
        <v>DEEP RECOVERY</v>
      </c>
      <c r="Z372" s="53">
        <f>IFERROR(__xludf.DUMMYFUNCTION("IFERROR(ROUND(((B372 / INDEX(GOOGLEFINANCE(TRIM(A372), ""price"", TODAY()-34, TODAY()), 2, 2)) - (GOOGLEFINANCE(""NIFTY_50"") / INDEX(GOOGLEFINANCE(""NIFTY_50"", ""price"", TODAY()-34, TODAY()), 2, 2))) * 100, 2), ""Check History"")"),-10.38)</f>
        <v>-10.38</v>
      </c>
      <c r="AA372" s="53" t="str">
        <f t="shared" si="14"/>
        <v>WEAK RS</v>
      </c>
      <c r="AB372" s="53">
        <f>IFERROR(__xludf.DUMMYFUNCTION("IFERROR(LET(
  p, QUERY(GOOGLEFINANCE(TRIM(A372),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Loading"")"),42.8)</f>
        <v>42.8</v>
      </c>
      <c r="AC372" s="53" t="str">
        <f t="shared" si="15"/>
        <v>WEAK MOM</v>
      </c>
      <c r="AD372" s="53" t="str">
        <f>IFERROR(__xludf.DUMMYFUNCTION("IFERROR(IF(GOOGLEFINANCE(A372,""eps"")&gt;0,""EPS+"",""EPS-""),"""")"),"EPS+")</f>
        <v>EPS+</v>
      </c>
      <c r="AE372" s="53">
        <f t="shared" si="16"/>
        <v>3</v>
      </c>
      <c r="AF372" s="53">
        <f>IFERROR(__xludf.DUMMYFUNCTION("IFERROR(N372+IF(S372&gt;=1.2,1,0)+IF(U372&gt;=1,1,0)+IF(Z372&gt;0,1,0)+IF(AND(W372&gt;=-20,W372&lt;=0),1,0)+IF(IFERROR(GOOGLEFINANCE(A372,""eps""),0)&gt;0,1,0),"""")"),3.0)</f>
        <v>3</v>
      </c>
      <c r="AG372" s="53" t="str">
        <f t="shared" si="17"/>
        <v>REVERSE TRADE</v>
      </c>
    </row>
    <row r="373" ht="15.75" customHeight="1">
      <c r="A373" s="55" t="s">
        <v>540</v>
      </c>
      <c r="B373" s="44">
        <f>IFERROR(__xludf.DUMMYFUNCTION("GOOGLEFINANCE(A373,""price"")"),718.6)</f>
        <v>718.6</v>
      </c>
      <c r="C373" s="45">
        <f>IFERROR(__xludf.DUMMYFUNCTION("AVERAGE(QUERY(SORT(GOOGLEFINANCE(A373,""price"",TODAY()-150,TODAY()),1,0),""select Col2 limit 50""))"),809.2050000000002)</f>
        <v>809.205</v>
      </c>
      <c r="D373" s="45">
        <f>IFERROR(__xludf.DUMMYFUNCTION("AVERAGE(QUERY(SORT(GOOGLEFINANCE(A373,""price"",TODAY()-300,TODAY()),1,0),""select Col2 limit 100""))"),886.5764999999996)</f>
        <v>886.5765</v>
      </c>
      <c r="E373" s="45">
        <f>IFERROR(__xludf.DUMMYFUNCTION("AVERAGE(QUERY(SORT(GOOGLEFINANCE(A373,""price"",TODAY()-500,TODAY()),1,0),""select Col2 limit 200""))"),932.4722499999995)</f>
        <v>932.47225</v>
      </c>
      <c r="F373" s="46" t="str">
        <f t="shared" si="1"/>
        <v>In Bear Run</v>
      </c>
      <c r="G373" s="47">
        <f t="shared" si="2"/>
        <v>-22.93604448</v>
      </c>
      <c r="H373" s="48" t="str">
        <f t="shared" si="3"/>
        <v>Inverted ✗</v>
      </c>
      <c r="I373" s="48">
        <f t="shared" si="4"/>
        <v>0</v>
      </c>
      <c r="J373" s="48">
        <f t="shared" si="5"/>
        <v>0</v>
      </c>
      <c r="K373" s="49" t="str">
        <f>IFERROR(__xludf.DUMMYFUNCTION("IFERROR(IF(A373="""",""ENTER STOCK"",LET(stock,A373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73" s="48">
        <f t="shared" si="6"/>
        <v>0</v>
      </c>
      <c r="M373" s="48">
        <f t="shared" si="7"/>
        <v>1</v>
      </c>
      <c r="N373" s="50">
        <f t="shared" si="8"/>
        <v>1</v>
      </c>
      <c r="P373" s="46" t="str">
        <f t="shared" si="9"/>
        <v>REVERSE TRADE</v>
      </c>
      <c r="Q373" s="52"/>
      <c r="R373" s="53">
        <f t="shared" si="10"/>
        <v>15</v>
      </c>
      <c r="S373" s="53">
        <f>IFERROR(__xludf.DUMMYFUNCTION("IFERROR(ROUND(GOOGLEFINANCE(A373,""volume"")/GOOGLEFINANCE(A373,""volumeavg""),2),"""")"),0.43)</f>
        <v>0.43</v>
      </c>
      <c r="T373" s="53" t="str">
        <f t="shared" si="11"/>
        <v>LOW VOL</v>
      </c>
      <c r="U373" s="53">
        <f>IFERROR(__xludf.DUMMYFUNCTION("IFERROR(
  LET(
    sd, GOOGLEFINANCE(A373,""close"",TODAY()-100,TODAY()),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"""")"),1.72)</f>
        <v>1.72</v>
      </c>
      <c r="V373" s="53" t="str">
        <f t="shared" si="12"/>
        <v>FAST</v>
      </c>
      <c r="W373" s="53">
        <f>IFERROR(__xludf.DUMMYFUNCTION("IFERROR(ROUND((B373/GOOGLEFINANCE(A373,""high52"")-1)*100,1),"""")"),-46.0)</f>
        <v>-46</v>
      </c>
      <c r="X373" s="53">
        <f>IFERROR(__xludf.DUMMYFUNCTION("IFERROR(ROUND((B373-GOOGLEFINANCE(A373,""low52""))/(GOOGLEFINANCE(A373,""high52"")-GOOGLEFINANCE(A373,""low52""))*100,1),"""")"),5.0)</f>
        <v>5</v>
      </c>
      <c r="Y373" s="53" t="str">
        <f t="shared" si="13"/>
        <v>DEEP RECOVERY</v>
      </c>
      <c r="Z373" s="53">
        <f>IFERROR(__xludf.DUMMYFUNCTION("IFERROR(ROUND(((B373 / INDEX(GOOGLEFINANCE(TRIM(A373), ""price"", TODAY()-34, TODAY()), 2, 2)) - (GOOGLEFINANCE(""NIFTY_50"") / INDEX(GOOGLEFINANCE(""NIFTY_50"", ""price"", TODAY()-34, TODAY()), 2, 2))) * 100, 2), ""Check History"")"),-3.1)</f>
        <v>-3.1</v>
      </c>
      <c r="AA373" s="53" t="str">
        <f t="shared" si="14"/>
        <v>WEAK RS</v>
      </c>
      <c r="AB373" s="53">
        <f>IFERROR(__xludf.DUMMYFUNCTION("IFERROR(LET(
  p, QUERY(GOOGLEFINANCE(TRIM(A373),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Loading"")"),55.9)</f>
        <v>55.9</v>
      </c>
      <c r="AC373" s="53" t="str">
        <f t="shared" si="15"/>
        <v>IDEAL ENTRY</v>
      </c>
      <c r="AD373" s="53" t="str">
        <f>IFERROR(__xludf.DUMMYFUNCTION("IFERROR(IF(GOOGLEFINANCE(A373,""eps"")&gt;0,""EPS+"",""EPS-""),"""")"),"EPS+")</f>
        <v>EPS+</v>
      </c>
      <c r="AE373" s="53">
        <f t="shared" si="16"/>
        <v>3</v>
      </c>
      <c r="AF373" s="53">
        <f>IFERROR(__xludf.DUMMYFUNCTION("IFERROR(N373+IF(S373&gt;=1.2,1,0)+IF(U373&gt;=1,1,0)+IF(Z373&gt;0,1,0)+IF(AND(W373&gt;=-20,W373&lt;=0),1,0)+IF(IFERROR(GOOGLEFINANCE(A373,""eps""),0)&gt;0,1,0),"""")"),3.0)</f>
        <v>3</v>
      </c>
      <c r="AG373" s="53" t="str">
        <f t="shared" si="17"/>
        <v>REVERSE TRADE</v>
      </c>
    </row>
    <row r="374" ht="15.75" customHeight="1">
      <c r="A374" s="55" t="s">
        <v>541</v>
      </c>
      <c r="B374" s="44">
        <f>IFERROR(__xludf.DUMMYFUNCTION("GOOGLEFINANCE(A374,""price"")"),792.9)</f>
        <v>792.9</v>
      </c>
      <c r="C374" s="45">
        <f>IFERROR(__xludf.DUMMYFUNCTION("AVERAGE(QUERY(SORT(GOOGLEFINANCE(A374,""price"",TODAY()-150,TODAY()),1,0),""select Col2 limit 50""))"),737.5980000000003)</f>
        <v>737.598</v>
      </c>
      <c r="D374" s="45">
        <f>IFERROR(__xludf.DUMMYFUNCTION("AVERAGE(QUERY(SORT(GOOGLEFINANCE(A374,""price"",TODAY()-300,TODAY()),1,0),""select Col2 limit 100""))"),744.9825)</f>
        <v>744.9825</v>
      </c>
      <c r="E374" s="45">
        <f>IFERROR(__xludf.DUMMYFUNCTION("AVERAGE(QUERY(SORT(GOOGLEFINANCE(A374,""price"",TODAY()-500,TODAY()),1,0),""select Col2 limit 200""))"),786.4452499999996)</f>
        <v>786.44525</v>
      </c>
      <c r="F374" s="46" t="str">
        <f t="shared" si="1"/>
        <v>In Bull Run</v>
      </c>
      <c r="G374" s="47">
        <f t="shared" si="2"/>
        <v>0.8207500776</v>
      </c>
      <c r="H374" s="48" t="str">
        <f t="shared" si="3"/>
        <v>Inverted ✗</v>
      </c>
      <c r="I374" s="48">
        <f t="shared" si="4"/>
        <v>0</v>
      </c>
      <c r="J374" s="48">
        <f t="shared" si="5"/>
        <v>2</v>
      </c>
      <c r="K374" s="49" t="str">
        <f>IFERROR(__xludf.DUMMYFUNCTION("IFERROR(IF(A374="""",""ENTER STOCK"",LET(stock,A374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74" s="48">
        <f t="shared" si="6"/>
        <v>0</v>
      </c>
      <c r="M374" s="48">
        <f t="shared" si="7"/>
        <v>1</v>
      </c>
      <c r="N374" s="50">
        <f t="shared" si="8"/>
        <v>3</v>
      </c>
      <c r="P374" s="46" t="str">
        <f t="shared" si="9"/>
        <v>SKIP</v>
      </c>
      <c r="Q374" s="52"/>
      <c r="R374" s="53">
        <f t="shared" si="10"/>
        <v>15</v>
      </c>
      <c r="S374" s="53">
        <f>IFERROR(__xludf.DUMMYFUNCTION("IFERROR(ROUND(GOOGLEFINANCE(A374,""volume"")/GOOGLEFINANCE(A374,""volumeavg""),2),"""")"),0.38)</f>
        <v>0.38</v>
      </c>
      <c r="T374" s="53" t="str">
        <f t="shared" si="11"/>
        <v>LOW VOL</v>
      </c>
      <c r="U374" s="53">
        <f>IFERROR(__xludf.DUMMYFUNCTION("IFERROR(
  LET(
    sd, GOOGLEFINANCE(A374,""close"",TODAY()-100,TODAY()),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"""")"),0.59)</f>
        <v>0.59</v>
      </c>
      <c r="V374" s="53" t="str">
        <f t="shared" si="12"/>
        <v>SLOW</v>
      </c>
      <c r="W374" s="53">
        <f>IFERROR(__xludf.DUMMYFUNCTION("IFERROR(ROUND((B374/GOOGLEFINANCE(A374,""high52"")-1)*100,1),"""")"),-13.1)</f>
        <v>-13.1</v>
      </c>
      <c r="X374" s="53">
        <f>IFERROR(__xludf.DUMMYFUNCTION("IFERROR(ROUND((B374-GOOGLEFINANCE(A374,""low52""))/(GOOGLEFINANCE(A374,""high52"")-GOOGLEFINANCE(A374,""low52""))*100,1),"""")"),54.9)</f>
        <v>54.9</v>
      </c>
      <c r="Y374" s="53" t="str">
        <f t="shared" si="13"/>
        <v>UPPER</v>
      </c>
      <c r="Z374" s="53">
        <f>IFERROR(__xludf.DUMMYFUNCTION("IFERROR(ROUND(((B374 / INDEX(GOOGLEFINANCE(TRIM(A374), ""price"", TODAY()-34, TODAY()), 2, 2)) - (GOOGLEFINANCE(""NIFTY_50"") / INDEX(GOOGLEFINANCE(""NIFTY_50"", ""price"", TODAY()-34, TODAY()), 2, 2))) * 100, 2), ""Check History"")"),23.78)</f>
        <v>23.78</v>
      </c>
      <c r="AA374" s="53" t="str">
        <f t="shared" si="14"/>
        <v>STRONG RS</v>
      </c>
      <c r="AB374" s="53">
        <f>IFERROR(__xludf.DUMMYFUNCTION("IFERROR(LET(
  p, QUERY(GOOGLEFINANCE(TRIM(A374),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Loading"")"),40.4)</f>
        <v>40.4</v>
      </c>
      <c r="AC374" s="53" t="str">
        <f t="shared" si="15"/>
        <v>WEAK MOM</v>
      </c>
      <c r="AD374" s="53" t="str">
        <f>IFERROR(__xludf.DUMMYFUNCTION("IFERROR(IF(GOOGLEFINANCE(A374,""eps"")&gt;0,""EPS+"",""EPS-""),"""")"),"EPS+")</f>
        <v>EPS+</v>
      </c>
      <c r="AE374" s="53">
        <f t="shared" si="16"/>
        <v>3</v>
      </c>
      <c r="AF374" s="53">
        <f>IFERROR(__xludf.DUMMYFUNCTION("IFERROR(N374+IF(S374&gt;=1.2,1,0)+IF(U374&gt;=1,1,0)+IF(Z374&gt;0,1,0)+IF(AND(W374&gt;=-20,W374&lt;=0),1,0)+IF(IFERROR(GOOGLEFINANCE(A374,""eps""),0)&gt;0,1,0),"""")"),6.0)</f>
        <v>6</v>
      </c>
      <c r="AG374" s="53" t="str">
        <f t="shared" si="17"/>
        <v>WATCH</v>
      </c>
    </row>
    <row r="375" ht="15.75" customHeight="1">
      <c r="A375" s="55" t="s">
        <v>542</v>
      </c>
      <c r="B375" s="44">
        <f>IFERROR(__xludf.DUMMYFUNCTION("GOOGLEFINANCE(A375,""price"")"),913.25)</f>
        <v>913.25</v>
      </c>
      <c r="C375" s="45">
        <f>IFERROR(__xludf.DUMMYFUNCTION("AVERAGE(QUERY(SORT(GOOGLEFINANCE(A375,""price"",TODAY()-150,TODAY()),1,0),""select Col2 limit 50""))"),943.5019999999998)</f>
        <v>943.502</v>
      </c>
      <c r="D375" s="45">
        <f>IFERROR(__xludf.DUMMYFUNCTION("AVERAGE(QUERY(SORT(GOOGLEFINANCE(A375,""price"",TODAY()-300,TODAY()),1,0),""select Col2 limit 100""))"),1000.7719999999997)</f>
        <v>1000.772</v>
      </c>
      <c r="E375" s="45">
        <f>IFERROR(__xludf.DUMMYFUNCTION("AVERAGE(QUERY(SORT(GOOGLEFINANCE(A375,""price"",TODAY()-500,TODAY()),1,0),""select Col2 limit 200""))"),1096.1544999999999)</f>
        <v>1096.1545</v>
      </c>
      <c r="F375" s="46" t="str">
        <f t="shared" si="1"/>
        <v>In Bear Run</v>
      </c>
      <c r="G375" s="47">
        <f t="shared" si="2"/>
        <v>-16.68601461</v>
      </c>
      <c r="H375" s="48" t="str">
        <f t="shared" si="3"/>
        <v>Inverted ✗</v>
      </c>
      <c r="I375" s="48">
        <f t="shared" si="4"/>
        <v>0</v>
      </c>
      <c r="J375" s="48">
        <f t="shared" si="5"/>
        <v>0</v>
      </c>
      <c r="K375" s="49" t="str">
        <f>IFERROR(__xludf.DUMMYFUNCTION("IFERROR(IF(A375="""",""ENTER STOCK"",LET(stock,A375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75" s="48">
        <f t="shared" si="6"/>
        <v>0</v>
      </c>
      <c r="M375" s="48">
        <f t="shared" si="7"/>
        <v>1</v>
      </c>
      <c r="N375" s="50">
        <f t="shared" si="8"/>
        <v>1</v>
      </c>
      <c r="P375" s="46" t="str">
        <f t="shared" si="9"/>
        <v>REVERSE TRADE</v>
      </c>
      <c r="Q375" s="52"/>
      <c r="R375" s="53">
        <f t="shared" si="10"/>
        <v>15</v>
      </c>
      <c r="S375" s="53">
        <f>IFERROR(__xludf.DUMMYFUNCTION("IFERROR(ROUND(GOOGLEFINANCE(A375,""volume"")/GOOGLEFINANCE(A375,""volumeavg""),2),"""")"),0.85)</f>
        <v>0.85</v>
      </c>
      <c r="T375" s="53" t="str">
        <f t="shared" si="11"/>
        <v>LOW VOL</v>
      </c>
      <c r="U375" s="53">
        <f>IFERROR(__xludf.DUMMYFUNCTION("IFERROR(
  LET(
    sd, GOOGLEFINANCE(A375,""close"",TODAY()-100,TODAY()),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"""")"),1.21)</f>
        <v>1.21</v>
      </c>
      <c r="V375" s="53" t="str">
        <f t="shared" si="12"/>
        <v>FAST</v>
      </c>
      <c r="W375" s="53">
        <f>IFERROR(__xludf.DUMMYFUNCTION("IFERROR(ROUND((B375/GOOGLEFINANCE(A375,""high52"")-1)*100,1),"""")"),-30.9)</f>
        <v>-30.9</v>
      </c>
      <c r="X375" s="53">
        <f>IFERROR(__xludf.DUMMYFUNCTION("IFERROR(ROUND((B375-GOOGLEFINANCE(A375,""low52""))/(GOOGLEFINANCE(A375,""high52"")-GOOGLEFINANCE(A375,""low52""))*100,1),"""")"),27.4)</f>
        <v>27.4</v>
      </c>
      <c r="Y375" s="53" t="str">
        <f t="shared" si="13"/>
        <v>MID</v>
      </c>
      <c r="Z375" s="53">
        <f>IFERROR(__xludf.DUMMYFUNCTION("IFERROR(ROUND(((B375 / INDEX(GOOGLEFINANCE(TRIM(A375), ""price"", TODAY()-34, TODAY()), 2, 2)) - (GOOGLEFINANCE(""NIFTY_50"") / INDEX(GOOGLEFINANCE(""NIFTY_50"", ""price"", TODAY()-34, TODAY()), 2, 2))) * 100, 2), ""Check History"")"),8.34)</f>
        <v>8.34</v>
      </c>
      <c r="AA375" s="53" t="str">
        <f t="shared" si="14"/>
        <v>STRONG RS</v>
      </c>
      <c r="AB375" s="53">
        <f>IFERROR(__xludf.DUMMYFUNCTION("IFERROR(LET(
  p, QUERY(GOOGLEFINANCE(TRIM(A375),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Loading"")"),40.8)</f>
        <v>40.8</v>
      </c>
      <c r="AC375" s="53" t="str">
        <f t="shared" si="15"/>
        <v>WEAK MOM</v>
      </c>
      <c r="AD375" s="53" t="str">
        <f>IFERROR(__xludf.DUMMYFUNCTION("IFERROR(IF(GOOGLEFINANCE(A375,""eps"")&gt;0,""EPS+"",""EPS-""),"""")"),"EPS+")</f>
        <v>EPS+</v>
      </c>
      <c r="AE375" s="53">
        <f t="shared" si="16"/>
        <v>5</v>
      </c>
      <c r="AF375" s="53">
        <f>IFERROR(__xludf.DUMMYFUNCTION("IFERROR(N375+IF(S375&gt;=1.2,1,0)+IF(U375&gt;=1,1,0)+IF(Z375&gt;0,1,0)+IF(AND(W375&gt;=-20,W375&lt;=0),1,0)+IF(IFERROR(GOOGLEFINANCE(A375,""eps""),0)&gt;0,1,0),"""")"),4.0)</f>
        <v>4</v>
      </c>
      <c r="AG375" s="53" t="str">
        <f t="shared" si="17"/>
        <v>REVERSE TRADE</v>
      </c>
    </row>
    <row r="376" ht="15.75" customHeight="1">
      <c r="A376" s="55" t="s">
        <v>543</v>
      </c>
      <c r="B376" s="44">
        <f>IFERROR(__xludf.DUMMYFUNCTION("GOOGLEFINANCE(A376,""price"")"),1057.0)</f>
        <v>1057</v>
      </c>
      <c r="C376" s="45">
        <f>IFERROR(__xludf.DUMMYFUNCTION("AVERAGE(QUERY(SORT(GOOGLEFINANCE(A376,""price"",TODAY()-150,TODAY()),1,0),""select Col2 limit 50""))"),1117.5900000000004)</f>
        <v>1117.59</v>
      </c>
      <c r="D376" s="45">
        <f>IFERROR(__xludf.DUMMYFUNCTION("AVERAGE(QUERY(SORT(GOOGLEFINANCE(A376,""price"",TODAY()-300,TODAY()),1,0),""select Col2 limit 100""))"),1158.2969999999993)</f>
        <v>1158.297</v>
      </c>
      <c r="E376" s="45">
        <f>IFERROR(__xludf.DUMMYFUNCTION("AVERAGE(QUERY(SORT(GOOGLEFINANCE(A376,""price"",TODAY()-500,TODAY()),1,0),""select Col2 limit 200""))"),1191.6354999999996)</f>
        <v>1191.6355</v>
      </c>
      <c r="F376" s="46" t="str">
        <f t="shared" si="1"/>
        <v>In Bear Run</v>
      </c>
      <c r="G376" s="47">
        <f t="shared" si="2"/>
        <v>-11.29837941</v>
      </c>
      <c r="H376" s="48" t="str">
        <f t="shared" si="3"/>
        <v>Inverted ✗</v>
      </c>
      <c r="I376" s="48">
        <f t="shared" si="4"/>
        <v>0</v>
      </c>
      <c r="J376" s="48">
        <f t="shared" si="5"/>
        <v>0</v>
      </c>
      <c r="K376" s="49" t="str">
        <f>IFERROR(__xludf.DUMMYFUNCTION("IFERROR(IF(A376="""",""ENTER STOCK"",LET(stock,A376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76" s="48">
        <f t="shared" si="6"/>
        <v>0</v>
      </c>
      <c r="M376" s="48">
        <f t="shared" si="7"/>
        <v>1</v>
      </c>
      <c r="N376" s="50">
        <f t="shared" si="8"/>
        <v>1</v>
      </c>
      <c r="P376" s="46" t="str">
        <f t="shared" si="9"/>
        <v>REVERSE TRADE</v>
      </c>
      <c r="Q376" s="52"/>
      <c r="R376" s="53">
        <f t="shared" si="10"/>
        <v>15</v>
      </c>
      <c r="S376" s="53">
        <f>IFERROR(__xludf.DUMMYFUNCTION("IFERROR(ROUND(GOOGLEFINANCE(A376,""volume"")/GOOGLEFINANCE(A376,""volumeavg""),2),"""")"),0.82)</f>
        <v>0.82</v>
      </c>
      <c r="T376" s="53" t="str">
        <f t="shared" si="11"/>
        <v>LOW VOL</v>
      </c>
      <c r="U376" s="53">
        <f>IFERROR(__xludf.DUMMYFUNCTION("IFERROR(
  LET(
    sd, GOOGLEFINANCE(A376,""close"",TODAY()-100,TODAY()),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"""")"),1.11)</f>
        <v>1.11</v>
      </c>
      <c r="V376" s="53" t="str">
        <f t="shared" si="12"/>
        <v>MEDIUM</v>
      </c>
      <c r="W376" s="53">
        <f>IFERROR(__xludf.DUMMYFUNCTION("IFERROR(ROUND((B376/GOOGLEFINANCE(A376,""high52"")-1)*100,1),"""")"),-20.9)</f>
        <v>-20.9</v>
      </c>
      <c r="X376" s="53">
        <f>IFERROR(__xludf.DUMMYFUNCTION("IFERROR(ROUND((B376-GOOGLEFINANCE(A376,""low52""))/(GOOGLEFINANCE(A376,""high52"")-GOOGLEFINANCE(A376,""low52""))*100,1),"""")"),49.3)</f>
        <v>49.3</v>
      </c>
      <c r="Y376" s="53" t="str">
        <f t="shared" si="13"/>
        <v>MID</v>
      </c>
      <c r="Z376" s="53">
        <f>IFERROR(__xludf.DUMMYFUNCTION("IFERROR(ROUND(((B376 / INDEX(GOOGLEFINANCE(TRIM(A376), ""price"", TODAY()-34, TODAY()), 2, 2)) - (GOOGLEFINANCE(""NIFTY_50"") / INDEX(GOOGLEFINANCE(""NIFTY_50"", ""price"", TODAY()-34, TODAY()), 2, 2))) * 100, 2), ""Check History"")"),-0.14)</f>
        <v>-0.14</v>
      </c>
      <c r="AA376" s="53" t="str">
        <f t="shared" si="14"/>
        <v>WEAK RS</v>
      </c>
      <c r="AB376" s="53">
        <f>IFERROR(__xludf.DUMMYFUNCTION("IFERROR(LET(
  p, QUERY(GOOGLEFINANCE(TRIM(A376),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Loading"")"),45.4)</f>
        <v>45.4</v>
      </c>
      <c r="AC376" s="53" t="str">
        <f t="shared" si="15"/>
        <v>IDEAL ENTRY</v>
      </c>
      <c r="AD376" s="53" t="str">
        <f>IFERROR(__xludf.DUMMYFUNCTION("IFERROR(IF(GOOGLEFINANCE(A376,""eps"")&gt;0,""EPS+"",""EPS-""),"""")"),"")</f>
        <v/>
      </c>
      <c r="AE376" s="53">
        <f t="shared" si="16"/>
        <v>2</v>
      </c>
      <c r="AF376" s="53">
        <f>IFERROR(__xludf.DUMMYFUNCTION("IFERROR(N376+IF(S376&gt;=1.2,1,0)+IF(U376&gt;=1,1,0)+IF(Z376&gt;0,1,0)+IF(AND(W376&gt;=-20,W376&lt;=0),1,0)+IF(IFERROR(GOOGLEFINANCE(A376,""eps""),0)&gt;0,1,0),"""")"),2.0)</f>
        <v>2</v>
      </c>
      <c r="AG376" s="53" t="str">
        <f t="shared" si="17"/>
        <v>REVERSE TRADE</v>
      </c>
    </row>
    <row r="377" ht="15.75" customHeight="1">
      <c r="A377" s="55" t="s">
        <v>544</v>
      </c>
      <c r="B377" s="44">
        <f>IFERROR(__xludf.DUMMYFUNCTION("GOOGLEFINANCE(A377,""price"")"),290.0)</f>
        <v>290</v>
      </c>
      <c r="C377" s="45">
        <f>IFERROR(__xludf.DUMMYFUNCTION("AVERAGE(QUERY(SORT(GOOGLEFINANCE(A377,""price"",TODAY()-150,TODAY()),1,0),""select Col2 limit 50""))"),299.67800000000005)</f>
        <v>299.678</v>
      </c>
      <c r="D377" s="45">
        <f>IFERROR(__xludf.DUMMYFUNCTION("AVERAGE(QUERY(SORT(GOOGLEFINANCE(A377,""price"",TODAY()-300,TODAY()),1,0),""select Col2 limit 100""))"),276.53200000000004)</f>
        <v>276.532</v>
      </c>
      <c r="E377" s="45">
        <f>IFERROR(__xludf.DUMMYFUNCTION("AVERAGE(QUERY(SORT(GOOGLEFINANCE(A377,""price"",TODAY()-500,TODAY()),1,0),""select Col2 limit 200""))"),247.5225999999999)</f>
        <v>247.5226</v>
      </c>
      <c r="F377" s="46" t="str">
        <f t="shared" si="1"/>
        <v>Unconfirmed</v>
      </c>
      <c r="G377" s="47">
        <f t="shared" si="2"/>
        <v>17.16101883</v>
      </c>
      <c r="H377" s="48" t="str">
        <f t="shared" si="3"/>
        <v>Golden ✓</v>
      </c>
      <c r="I377" s="48">
        <f t="shared" si="4"/>
        <v>3</v>
      </c>
      <c r="J377" s="48">
        <f t="shared" si="5"/>
        <v>0</v>
      </c>
      <c r="K377" s="49" t="str">
        <f>IFERROR(__xludf.DUMMYFUNCTION("IFERROR(IF(A377="""",""ENTER STOCK"",LET(stock,A377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77" s="48">
        <f t="shared" si="6"/>
        <v>0</v>
      </c>
      <c r="M377" s="48">
        <f t="shared" si="7"/>
        <v>1</v>
      </c>
      <c r="N377" s="50">
        <f t="shared" si="8"/>
        <v>4</v>
      </c>
      <c r="P377" s="46" t="str">
        <f t="shared" si="9"/>
        <v>WAIT</v>
      </c>
      <c r="Q377" s="52"/>
      <c r="R377" s="53">
        <f t="shared" si="10"/>
        <v>15</v>
      </c>
      <c r="S377" s="53">
        <f>IFERROR(__xludf.DUMMYFUNCTION("IFERROR(ROUND(GOOGLEFINANCE(A377,""volume"")/GOOGLEFINANCE(A377,""volumeavg""),2),"""")"),1.34)</f>
        <v>1.34</v>
      </c>
      <c r="T377" s="53" t="str">
        <f t="shared" si="11"/>
        <v>OK VOL</v>
      </c>
      <c r="U377" s="53">
        <f>IFERROR(__xludf.DUMMYFUNCTION("IFERROR(
  LET(
    sd, GOOGLEFINANCE(A377,""close"",TODAY()-100,TODAY()),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"""")"),1.34)</f>
        <v>1.34</v>
      </c>
      <c r="V377" s="53" t="str">
        <f t="shared" si="12"/>
        <v>FAST</v>
      </c>
      <c r="W377" s="53">
        <f>IFERROR(__xludf.DUMMYFUNCTION("IFERROR(ROUND((B377/GOOGLEFINANCE(A377,""high52"")-1)*100,1),"""")"),-15.6)</f>
        <v>-15.6</v>
      </c>
      <c r="X377" s="53">
        <f>IFERROR(__xludf.DUMMYFUNCTION("IFERROR(ROUND((B377-GOOGLEFINANCE(A377,""low52""))/(GOOGLEFINANCE(A377,""high52"")-GOOGLEFINANCE(A377,""low52""))*100,1),"""")"),70.0)</f>
        <v>70</v>
      </c>
      <c r="Y377" s="53" t="str">
        <f t="shared" si="13"/>
        <v>UPPER</v>
      </c>
      <c r="Z377" s="53">
        <f>IFERROR(__xludf.DUMMYFUNCTION("IFERROR(ROUND(((B377 / INDEX(GOOGLEFINANCE(TRIM(A377), ""price"", TODAY()-34, TODAY()), 2, 2)) - (GOOGLEFINANCE(""NIFTY_50"") / INDEX(GOOGLEFINANCE(""NIFTY_50"", ""price"", TODAY()-34, TODAY()), 2, 2))) * 100, 2), ""Check History"")"),-1.54)</f>
        <v>-1.54</v>
      </c>
      <c r="AA377" s="53" t="str">
        <f t="shared" si="14"/>
        <v>WEAK RS</v>
      </c>
      <c r="AB377" s="53">
        <f>IFERROR(__xludf.DUMMYFUNCTION("IFERROR(LET(
  p, QUERY(GOOGLEFINANCE(TRIM(A377),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Loading"")"),48.6)</f>
        <v>48.6</v>
      </c>
      <c r="AC377" s="53" t="str">
        <f t="shared" si="15"/>
        <v>IDEAL ENTRY</v>
      </c>
      <c r="AD377" s="53" t="str">
        <f>IFERROR(__xludf.DUMMYFUNCTION("IFERROR(IF(GOOGLEFINANCE(A377,""eps"")&gt;0,""EPS+"",""EPS-""),"""")"),"EPS+")</f>
        <v>EPS+</v>
      </c>
      <c r="AE377" s="53">
        <f t="shared" si="16"/>
        <v>6</v>
      </c>
      <c r="AF377" s="53">
        <f>IFERROR(__xludf.DUMMYFUNCTION("IFERROR(N377+IF(S377&gt;=1.2,1,0)+IF(U377&gt;=1,1,0)+IF(Z377&gt;0,1,0)+IF(AND(W377&gt;=-20,W377&lt;=0),1,0)+IF(IFERROR(GOOGLEFINANCE(A377,""eps""),0)&gt;0,1,0),"""")"),8.0)</f>
        <v>8</v>
      </c>
      <c r="AG377" s="53" t="str">
        <f t="shared" si="17"/>
        <v>WAIT</v>
      </c>
    </row>
    <row r="378" ht="15.75" customHeight="1">
      <c r="A378" s="55" t="s">
        <v>545</v>
      </c>
      <c r="B378" s="44">
        <f>IFERROR(__xludf.DUMMYFUNCTION("GOOGLEFINANCE(A378,""price"")"),3420.0)</f>
        <v>3420</v>
      </c>
      <c r="C378" s="45">
        <f>IFERROR(__xludf.DUMMYFUNCTION("AVERAGE(QUERY(SORT(GOOGLEFINANCE(A378,""price"",TODAY()-150,TODAY()),1,0),""select Col2 limit 50""))"),3698.8180000000007)</f>
        <v>3698.818</v>
      </c>
      <c r="D378" s="45">
        <f>IFERROR(__xludf.DUMMYFUNCTION("AVERAGE(QUERY(SORT(GOOGLEFINANCE(A378,""price"",TODAY()-300,TODAY()),1,0),""select Col2 limit 100""))"),4305.372)</f>
        <v>4305.372</v>
      </c>
      <c r="E378" s="45">
        <f>IFERROR(__xludf.DUMMYFUNCTION("AVERAGE(QUERY(SORT(GOOGLEFINANCE(A378,""price"",TODAY()-500,TODAY()),1,0),""select Col2 limit 200""))"),5359.9335)</f>
        <v>5359.9335</v>
      </c>
      <c r="F378" s="46" t="str">
        <f t="shared" si="1"/>
        <v>In Bear Run</v>
      </c>
      <c r="G378" s="47">
        <f t="shared" si="2"/>
        <v>-36.19323822</v>
      </c>
      <c r="H378" s="48" t="str">
        <f t="shared" si="3"/>
        <v>Inverted ✗</v>
      </c>
      <c r="I378" s="48">
        <f t="shared" si="4"/>
        <v>0</v>
      </c>
      <c r="J378" s="48">
        <f t="shared" si="5"/>
        <v>0</v>
      </c>
      <c r="K378" s="49" t="str">
        <f>IFERROR(__xludf.DUMMYFUNCTION("IFERROR(IF(A378="""",""ENTER STOCK"",LET(stock,A378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78" s="48">
        <f t="shared" si="6"/>
        <v>0</v>
      </c>
      <c r="M378" s="48">
        <f t="shared" si="7"/>
        <v>1</v>
      </c>
      <c r="N378" s="50">
        <f t="shared" si="8"/>
        <v>1</v>
      </c>
      <c r="P378" s="46" t="str">
        <f t="shared" si="9"/>
        <v>REVERSE TRADE</v>
      </c>
      <c r="Q378" s="52"/>
      <c r="R378" s="53">
        <f t="shared" si="10"/>
        <v>15</v>
      </c>
      <c r="S378" s="53">
        <f>IFERROR(__xludf.DUMMYFUNCTION("IFERROR(ROUND(GOOGLEFINANCE(A378,""volume"")/GOOGLEFINANCE(A378,""volumeavg""),2),"""")"),1.1)</f>
        <v>1.1</v>
      </c>
      <c r="T378" s="53" t="str">
        <f t="shared" si="11"/>
        <v>LOW VOL</v>
      </c>
      <c r="U378" s="53">
        <f>IFERROR(__xludf.DUMMYFUNCTION("IFERROR(
  LET(
    sd, GOOGLEFINANCE(A378,""close"",TODAY()-100,TODAY()),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"""")"),1.95)</f>
        <v>1.95</v>
      </c>
      <c r="V378" s="53" t="str">
        <f t="shared" si="12"/>
        <v>FAST</v>
      </c>
      <c r="W378" s="53">
        <f>IFERROR(__xludf.DUMMYFUNCTION("IFERROR(ROUND((B378/GOOGLEFINANCE(A378,""high52"")-1)*100,1),"""")"),-55.6)</f>
        <v>-55.6</v>
      </c>
      <c r="X378" s="53">
        <f>IFERROR(__xludf.DUMMYFUNCTION("IFERROR(ROUND((B378-GOOGLEFINANCE(A378,""low52""))/(GOOGLEFINANCE(A378,""high52"")-GOOGLEFINANCE(A378,""low52""))*100,1),"""")"),2.8)</f>
        <v>2.8</v>
      </c>
      <c r="Y378" s="53" t="str">
        <f t="shared" si="13"/>
        <v>DEEP RECOVERY</v>
      </c>
      <c r="Z378" s="53">
        <f>IFERROR(__xludf.DUMMYFUNCTION("IFERROR(ROUND(((B378 / INDEX(GOOGLEFINANCE(TRIM(A378), ""price"", TODAY()-34, TODAY()), 2, 2)) - (GOOGLEFINANCE(""NIFTY_50"") / INDEX(GOOGLEFINANCE(""NIFTY_50"", ""price"", TODAY()-34, TODAY()), 2, 2))) * 100, 2), ""Check History"")"),1.26)</f>
        <v>1.26</v>
      </c>
      <c r="AA378" s="53" t="str">
        <f t="shared" si="14"/>
        <v>MILD RS</v>
      </c>
      <c r="AB378" s="53">
        <f>IFERROR(__xludf.DUMMYFUNCTION("IFERROR(LET(
  p, QUERY(GOOGLEFINANCE(TRIM(A378),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Loading"")"),42.2)</f>
        <v>42.2</v>
      </c>
      <c r="AC378" s="53" t="str">
        <f t="shared" si="15"/>
        <v>WEAK MOM</v>
      </c>
      <c r="AD378" s="53" t="str">
        <f>IFERROR(__xludf.DUMMYFUNCTION("IFERROR(IF(GOOGLEFINANCE(A378,""eps"")&gt;0,""EPS+"",""EPS-""),"""")"),"EPS+")</f>
        <v>EPS+</v>
      </c>
      <c r="AE378" s="53">
        <f t="shared" si="16"/>
        <v>5</v>
      </c>
      <c r="AF378" s="53">
        <f>IFERROR(__xludf.DUMMYFUNCTION("IFERROR(N378+IF(S378&gt;=1.2,1,0)+IF(U378&gt;=1,1,0)+IF(Z378&gt;0,1,0)+IF(AND(W378&gt;=-20,W378&lt;=0),1,0)+IF(IFERROR(GOOGLEFINANCE(A378,""eps""),0)&gt;0,1,0),"""")"),4.0)</f>
        <v>4</v>
      </c>
      <c r="AG378" s="53" t="str">
        <f t="shared" si="17"/>
        <v>REVERSE TRADE</v>
      </c>
    </row>
    <row r="379" ht="15.75" customHeight="1">
      <c r="A379" s="55" t="s">
        <v>546</v>
      </c>
      <c r="B379" s="44">
        <f>IFERROR(__xludf.DUMMYFUNCTION("GOOGLEFINANCE(A379,""price"")"),511.0)</f>
        <v>511</v>
      </c>
      <c r="C379" s="45">
        <f>IFERROR(__xludf.DUMMYFUNCTION("AVERAGE(QUERY(SORT(GOOGLEFINANCE(A379,""price"",TODAY()-150,TODAY()),1,0),""select Col2 limit 50""))"),594.0229999999999)</f>
        <v>594.023</v>
      </c>
      <c r="D379" s="45">
        <f>IFERROR(__xludf.DUMMYFUNCTION("AVERAGE(QUERY(SORT(GOOGLEFINANCE(A379,""price"",TODAY()-300,TODAY()),1,0),""select Col2 limit 100""))"),659.9585)</f>
        <v>659.9585</v>
      </c>
      <c r="E379" s="45">
        <f>IFERROR(__xludf.DUMMYFUNCTION("AVERAGE(QUERY(SORT(GOOGLEFINANCE(A379,""price"",TODAY()-500,TODAY()),1,0),""select Col2 limit 200""))"),760.3492499999996)</f>
        <v>760.34925</v>
      </c>
      <c r="F379" s="46" t="str">
        <f t="shared" si="1"/>
        <v>In Bear Run</v>
      </c>
      <c r="G379" s="47">
        <f t="shared" si="2"/>
        <v>-32.79404169</v>
      </c>
      <c r="H379" s="48" t="str">
        <f t="shared" si="3"/>
        <v>Inverted ✗</v>
      </c>
      <c r="I379" s="48">
        <f t="shared" si="4"/>
        <v>0</v>
      </c>
      <c r="J379" s="48">
        <f t="shared" si="5"/>
        <v>0</v>
      </c>
      <c r="K379" s="49" t="str">
        <f>IFERROR(__xludf.DUMMYFUNCTION("IFERROR(IF(A379="""",""ENTER STOCK"",LET(stock,A379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79" s="48">
        <f t="shared" si="6"/>
        <v>0</v>
      </c>
      <c r="M379" s="48">
        <f t="shared" si="7"/>
        <v>1</v>
      </c>
      <c r="N379" s="50">
        <f t="shared" si="8"/>
        <v>1</v>
      </c>
      <c r="P379" s="46" t="str">
        <f t="shared" si="9"/>
        <v>REVERSE TRADE</v>
      </c>
      <c r="Q379" s="52"/>
      <c r="R379" s="53">
        <f t="shared" si="10"/>
        <v>15</v>
      </c>
      <c r="S379" s="53">
        <f>IFERROR(__xludf.DUMMYFUNCTION("IFERROR(ROUND(GOOGLEFINANCE(A379,""volume"")/GOOGLEFINANCE(A379,""volumeavg""),2),"""")"),1.01)</f>
        <v>1.01</v>
      </c>
      <c r="T379" s="53" t="str">
        <f t="shared" si="11"/>
        <v>LOW VOL</v>
      </c>
      <c r="U379" s="53">
        <f>IFERROR(__xludf.DUMMYFUNCTION("IFERROR(
  LET(
    sd, GOOGLEFINANCE(A379,""close"",TODAY()-100,TODAY()),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"""")"),1.23)</f>
        <v>1.23</v>
      </c>
      <c r="V379" s="53" t="str">
        <f t="shared" si="12"/>
        <v>FAST</v>
      </c>
      <c r="W379" s="53">
        <f>IFERROR(__xludf.DUMMYFUNCTION("IFERROR(ROUND((B379/GOOGLEFINANCE(A379,""high52"")-1)*100,1),"""")"),-46.0)</f>
        <v>-46</v>
      </c>
      <c r="X379" s="53">
        <f>IFERROR(__xludf.DUMMYFUNCTION("IFERROR(ROUND((B379-GOOGLEFINANCE(A379,""low52""))/(GOOGLEFINANCE(A379,""high52"")-GOOGLEFINANCE(A379,""low52""))*100,1),"""")"),0.2)</f>
        <v>0.2</v>
      </c>
      <c r="Y379" s="53" t="str">
        <f t="shared" si="13"/>
        <v>DEEP RECOVERY</v>
      </c>
      <c r="Z379" s="53">
        <f>IFERROR(__xludf.DUMMYFUNCTION("IFERROR(ROUND(((B379 / INDEX(GOOGLEFINANCE(TRIM(A379), ""price"", TODAY()-34, TODAY()), 2, 2)) - (GOOGLEFINANCE(""NIFTY_50"") / INDEX(GOOGLEFINANCE(""NIFTY_50"", ""price"", TODAY()-34, TODAY()), 2, 2))) * 100, 2), ""Check History"")"),-1.33)</f>
        <v>-1.33</v>
      </c>
      <c r="AA379" s="53" t="str">
        <f t="shared" si="14"/>
        <v>WEAK RS</v>
      </c>
      <c r="AB379" s="53">
        <f>IFERROR(__xludf.DUMMYFUNCTION("IFERROR(LET(
  p, QUERY(GOOGLEFINANCE(TRIM(A379),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Loading"")"),46.7)</f>
        <v>46.7</v>
      </c>
      <c r="AC379" s="53" t="str">
        <f t="shared" si="15"/>
        <v>IDEAL ENTRY</v>
      </c>
      <c r="AD379" s="53" t="str">
        <f>IFERROR(__xludf.DUMMYFUNCTION("IFERROR(IF(GOOGLEFINANCE(A379,""eps"")&gt;0,""EPS+"",""EPS-""),"""")"),"EPS+")</f>
        <v>EPS+</v>
      </c>
      <c r="AE379" s="53">
        <f t="shared" si="16"/>
        <v>4</v>
      </c>
      <c r="AF379" s="53">
        <f>IFERROR(__xludf.DUMMYFUNCTION("IFERROR(N379+IF(S379&gt;=1.2,1,0)+IF(U379&gt;=1,1,0)+IF(Z379&gt;0,1,0)+IF(AND(W379&gt;=-20,W379&lt;=0),1,0)+IF(IFERROR(GOOGLEFINANCE(A379,""eps""),0)&gt;0,1,0),"""")"),3.0)</f>
        <v>3</v>
      </c>
      <c r="AG379" s="53" t="str">
        <f t="shared" si="17"/>
        <v>REVERSE TRADE</v>
      </c>
    </row>
    <row r="380" ht="15.75" customHeight="1">
      <c r="A380" s="55" t="s">
        <v>547</v>
      </c>
      <c r="B380" s="44">
        <f>IFERROR(__xludf.DUMMYFUNCTION("GOOGLEFINANCE(A380,""price"")"),870.0)</f>
        <v>870</v>
      </c>
      <c r="C380" s="45">
        <f>IFERROR(__xludf.DUMMYFUNCTION("AVERAGE(QUERY(SORT(GOOGLEFINANCE(A380,""price"",TODAY()-150,TODAY()),1,0),""select Col2 limit 50""))"),973.5920000000001)</f>
        <v>973.592</v>
      </c>
      <c r="D380" s="45">
        <f>IFERROR(__xludf.DUMMYFUNCTION("AVERAGE(QUERY(SORT(GOOGLEFINANCE(A380,""price"",TODAY()-300,TODAY()),1,0),""select Col2 limit 100""))"),1023.2450000000003)</f>
        <v>1023.245</v>
      </c>
      <c r="E380" s="45">
        <f>IFERROR(__xludf.DUMMYFUNCTION("AVERAGE(QUERY(SORT(GOOGLEFINANCE(A380,""price"",TODAY()-500,TODAY()),1,0),""select Col2 limit 200""))"),1091.0850000000003)</f>
        <v>1091.085</v>
      </c>
      <c r="F380" s="46" t="str">
        <f t="shared" si="1"/>
        <v>In Bear Run</v>
      </c>
      <c r="G380" s="47">
        <f t="shared" si="2"/>
        <v>-20.26285761</v>
      </c>
      <c r="H380" s="48" t="str">
        <f t="shared" si="3"/>
        <v>Inverted ✗</v>
      </c>
      <c r="I380" s="48">
        <f t="shared" si="4"/>
        <v>0</v>
      </c>
      <c r="J380" s="48">
        <f t="shared" si="5"/>
        <v>0</v>
      </c>
      <c r="K380" s="49" t="str">
        <f>IFERROR(__xludf.DUMMYFUNCTION("IFERROR(IF(A380="""",""ENTER STOCK"",LET(stock,A380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80" s="48">
        <f t="shared" si="6"/>
        <v>0</v>
      </c>
      <c r="M380" s="48">
        <f t="shared" si="7"/>
        <v>1</v>
      </c>
      <c r="N380" s="50">
        <f t="shared" si="8"/>
        <v>1</v>
      </c>
      <c r="P380" s="46" t="str">
        <f t="shared" si="9"/>
        <v>REVERSE TRADE</v>
      </c>
      <c r="Q380" s="52"/>
      <c r="R380" s="53">
        <f t="shared" si="10"/>
        <v>15</v>
      </c>
      <c r="S380" s="53">
        <f>IFERROR(__xludf.DUMMYFUNCTION("IFERROR(ROUND(GOOGLEFINANCE(A380,""volume"")/GOOGLEFINANCE(A380,""volumeavg""),2),"""")"),1.35)</f>
        <v>1.35</v>
      </c>
      <c r="T380" s="53" t="str">
        <f t="shared" si="11"/>
        <v>OK VOL</v>
      </c>
      <c r="U380" s="53">
        <f>IFERROR(__xludf.DUMMYFUNCTION("IFERROR(
  LET(
    sd, GOOGLEFINANCE(A380,""close"",TODAY()-100,TODAY()),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"""")"),1.43)</f>
        <v>1.43</v>
      </c>
      <c r="V380" s="53" t="str">
        <f t="shared" si="12"/>
        <v>FAST</v>
      </c>
      <c r="W380" s="53">
        <f>IFERROR(__xludf.DUMMYFUNCTION("IFERROR(ROUND((B380/GOOGLEFINANCE(A380,""high52"")-1)*100,1),"""")"),-37.3)</f>
        <v>-37.3</v>
      </c>
      <c r="X380" s="53">
        <f>IFERROR(__xludf.DUMMYFUNCTION("IFERROR(ROUND((B380-GOOGLEFINANCE(A380,""low52""))/(GOOGLEFINANCE(A380,""high52"")-GOOGLEFINANCE(A380,""low52""))*100,1),"""")"),7.4)</f>
        <v>7.4</v>
      </c>
      <c r="Y380" s="53" t="str">
        <f t="shared" si="13"/>
        <v>MID</v>
      </c>
      <c r="Z380" s="53">
        <f>IFERROR(__xludf.DUMMYFUNCTION("IFERROR(ROUND(((B380 / INDEX(GOOGLEFINANCE(TRIM(A380), ""price"", TODAY()-34, TODAY()), 2, 2)) - (GOOGLEFINANCE(""NIFTY_50"") / INDEX(GOOGLEFINANCE(""NIFTY_50"", ""price"", TODAY()-34, TODAY()), 2, 2))) * 100, 2), ""Check History"")"),-0.95)</f>
        <v>-0.95</v>
      </c>
      <c r="AA380" s="53" t="str">
        <f t="shared" si="14"/>
        <v>WEAK RS</v>
      </c>
      <c r="AB380" s="53">
        <f>IFERROR(__xludf.DUMMYFUNCTION("IFERROR(LET(
  p, QUERY(GOOGLEFINANCE(TRIM(A380),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Loading"")"),52.0)</f>
        <v>52</v>
      </c>
      <c r="AC380" s="53" t="str">
        <f t="shared" si="15"/>
        <v>IDEAL ENTRY</v>
      </c>
      <c r="AD380" s="53" t="str">
        <f>IFERROR(__xludf.DUMMYFUNCTION("IFERROR(IF(GOOGLEFINANCE(A380,""eps"")&gt;0,""EPS+"",""EPS-""),"""")"),"EPS+")</f>
        <v>EPS+</v>
      </c>
      <c r="AE380" s="53">
        <f t="shared" si="16"/>
        <v>5</v>
      </c>
      <c r="AF380" s="53">
        <f>IFERROR(__xludf.DUMMYFUNCTION("IFERROR(N380+IF(S380&gt;=1.2,1,0)+IF(U380&gt;=1,1,0)+IF(Z380&gt;0,1,0)+IF(AND(W380&gt;=-20,W380&lt;=0),1,0)+IF(IFERROR(GOOGLEFINANCE(A380,""eps""),0)&gt;0,1,0),"""")"),4.0)</f>
        <v>4</v>
      </c>
      <c r="AG380" s="53" t="str">
        <f t="shared" si="17"/>
        <v>REVERSE TRADE</v>
      </c>
    </row>
    <row r="381" ht="15.75" customHeight="1">
      <c r="A381" s="55" t="s">
        <v>548</v>
      </c>
      <c r="B381" s="44">
        <f>IFERROR(__xludf.DUMMYFUNCTION("GOOGLEFINANCE(A381,""price"")"),1339.2)</f>
        <v>1339.2</v>
      </c>
      <c r="C381" s="45">
        <f>IFERROR(__xludf.DUMMYFUNCTION("AVERAGE(QUERY(SORT(GOOGLEFINANCE(A381,""price"",TODAY()-150,TODAY()),1,0),""select Col2 limit 50""))"),1555.9019999999998)</f>
        <v>1555.902</v>
      </c>
      <c r="D381" s="45">
        <f>IFERROR(__xludf.DUMMYFUNCTION("AVERAGE(QUERY(SORT(GOOGLEFINANCE(A381,""price"",TODAY()-300,TODAY()),1,0),""select Col2 limit 100""))"),1611.8039999999999)</f>
        <v>1611.804</v>
      </c>
      <c r="E381" s="45">
        <f>IFERROR(__xludf.DUMMYFUNCTION("AVERAGE(QUERY(SORT(GOOGLEFINANCE(A381,""price"",TODAY()-500,TODAY()),1,0),""select Col2 limit 200""))"),1805.182)</f>
        <v>1805.182</v>
      </c>
      <c r="F381" s="46" t="str">
        <f t="shared" si="1"/>
        <v>In Bear Run</v>
      </c>
      <c r="G381" s="47">
        <f t="shared" si="2"/>
        <v>-25.81357448</v>
      </c>
      <c r="H381" s="48" t="str">
        <f t="shared" si="3"/>
        <v>Inverted ✗</v>
      </c>
      <c r="I381" s="48">
        <f t="shared" si="4"/>
        <v>0</v>
      </c>
      <c r="J381" s="48">
        <f t="shared" si="5"/>
        <v>0</v>
      </c>
      <c r="K381" s="49" t="str">
        <f>IFERROR(__xludf.DUMMYFUNCTION("IFERROR(IF(A381="""",""ENTER STOCK"",LET(stock,A381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81" s="48">
        <f t="shared" si="6"/>
        <v>0</v>
      </c>
      <c r="M381" s="48">
        <f t="shared" si="7"/>
        <v>1</v>
      </c>
      <c r="N381" s="50">
        <f t="shared" si="8"/>
        <v>1</v>
      </c>
      <c r="P381" s="46" t="str">
        <f t="shared" si="9"/>
        <v>REVERSE TRADE</v>
      </c>
      <c r="Q381" s="52"/>
      <c r="R381" s="53">
        <f t="shared" si="10"/>
        <v>15</v>
      </c>
      <c r="S381" s="53">
        <f>IFERROR(__xludf.DUMMYFUNCTION("IFERROR(ROUND(GOOGLEFINANCE(A381,""volume"")/GOOGLEFINANCE(A381,""volumeavg""),2),"""")"),0.57)</f>
        <v>0.57</v>
      </c>
      <c r="T381" s="53" t="str">
        <f t="shared" si="11"/>
        <v>LOW VOL</v>
      </c>
      <c r="U381" s="53">
        <f>IFERROR(__xludf.DUMMYFUNCTION("IFERROR(
  LET(
    sd, GOOGLEFINANCE(A381,""close"",TODAY()-100,TODAY()),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"""")"),1.2)</f>
        <v>1.2</v>
      </c>
      <c r="V381" s="53" t="str">
        <f t="shared" si="12"/>
        <v>FAST</v>
      </c>
      <c r="W381" s="53">
        <f>IFERROR(__xludf.DUMMYFUNCTION("IFERROR(ROUND((B381/GOOGLEFINANCE(A381,""high52"")-1)*100,1),"""")"),-45.9)</f>
        <v>-45.9</v>
      </c>
      <c r="X381" s="53">
        <f>IFERROR(__xludf.DUMMYFUNCTION("IFERROR(ROUND((B381-GOOGLEFINANCE(A381,""low52""))/(GOOGLEFINANCE(A381,""high52"")-GOOGLEFINANCE(A381,""low52""))*100,1),"""")"),0.4)</f>
        <v>0.4</v>
      </c>
      <c r="Y381" s="53" t="str">
        <f t="shared" si="13"/>
        <v>DEEP RECOVERY</v>
      </c>
      <c r="Z381" s="53">
        <f>IFERROR(__xludf.DUMMYFUNCTION("IFERROR(ROUND(((B381 / INDEX(GOOGLEFINANCE(TRIM(A381), ""price"", TODAY()-34, TODAY()), 2, 2)) - (GOOGLEFINANCE(""NIFTY_50"") / INDEX(GOOGLEFINANCE(""NIFTY_50"", ""price"", TODAY()-34, TODAY()), 2, 2))) * 100, 2), ""Check History"")"),-2.28)</f>
        <v>-2.28</v>
      </c>
      <c r="AA381" s="53" t="str">
        <f t="shared" si="14"/>
        <v>WEAK RS</v>
      </c>
      <c r="AB381" s="53">
        <f>IFERROR(__xludf.DUMMYFUNCTION("IFERROR(LET(
  p, QUERY(GOOGLEFINANCE(TRIM(A381),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Loading"")"),31.8)</f>
        <v>31.8</v>
      </c>
      <c r="AC381" s="53" t="str">
        <f t="shared" si="15"/>
        <v>WEAK MOM</v>
      </c>
      <c r="AD381" s="53" t="str">
        <f>IFERROR(__xludf.DUMMYFUNCTION("IFERROR(IF(GOOGLEFINANCE(A381,""eps"")&gt;0,""EPS+"",""EPS-""),"""")"),"EPS+")</f>
        <v>EPS+</v>
      </c>
      <c r="AE381" s="53">
        <f t="shared" si="16"/>
        <v>3</v>
      </c>
      <c r="AF381" s="53">
        <f>IFERROR(__xludf.DUMMYFUNCTION("IFERROR(N381+IF(S381&gt;=1.2,1,0)+IF(U381&gt;=1,1,0)+IF(Z381&gt;0,1,0)+IF(AND(W381&gt;=-20,W381&lt;=0),1,0)+IF(IFERROR(GOOGLEFINANCE(A381,""eps""),0)&gt;0,1,0),"""")"),3.0)</f>
        <v>3</v>
      </c>
      <c r="AG381" s="53" t="str">
        <f t="shared" si="17"/>
        <v>REVERSE TRADE</v>
      </c>
    </row>
    <row r="382" ht="15.75" customHeight="1">
      <c r="A382" s="55" t="s">
        <v>549</v>
      </c>
      <c r="B382" s="44">
        <f>IFERROR(__xludf.DUMMYFUNCTION("GOOGLEFINANCE(A382,""price"")"),622.25)</f>
        <v>622.25</v>
      </c>
      <c r="C382" s="45">
        <f>IFERROR(__xludf.DUMMYFUNCTION("AVERAGE(QUERY(SORT(GOOGLEFINANCE(A382,""price"",TODAY()-150,TODAY()),1,0),""select Col2 limit 50""))"),657.5410000000002)</f>
        <v>657.541</v>
      </c>
      <c r="D382" s="45">
        <f>IFERROR(__xludf.DUMMYFUNCTION("AVERAGE(QUERY(SORT(GOOGLEFINANCE(A382,""price"",TODAY()-300,TODAY()),1,0),""select Col2 limit 100""))"),660.0520000000001)</f>
        <v>660.052</v>
      </c>
      <c r="E382" s="45">
        <f>IFERROR(__xludf.DUMMYFUNCTION("AVERAGE(QUERY(SORT(GOOGLEFINANCE(A382,""price"",TODAY()-500,TODAY()),1,0),""select Col2 limit 200""))"),690.1142499999997)</f>
        <v>690.11425</v>
      </c>
      <c r="F382" s="46" t="str">
        <f t="shared" si="1"/>
        <v>In Bear Run</v>
      </c>
      <c r="G382" s="47">
        <f t="shared" si="2"/>
        <v>-9.833770278</v>
      </c>
      <c r="H382" s="48" t="str">
        <f t="shared" si="3"/>
        <v>Inverted ✗</v>
      </c>
      <c r="I382" s="48">
        <f t="shared" si="4"/>
        <v>0</v>
      </c>
      <c r="J382" s="48">
        <f t="shared" si="5"/>
        <v>0</v>
      </c>
      <c r="K382" s="49" t="str">
        <f>IFERROR(__xludf.DUMMYFUNCTION("IFERROR(IF(A382="""",""ENTER STOCK"",LET(stock,A382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82" s="48">
        <f t="shared" si="6"/>
        <v>0</v>
      </c>
      <c r="M382" s="48">
        <f t="shared" si="7"/>
        <v>1</v>
      </c>
      <c r="N382" s="50">
        <f t="shared" si="8"/>
        <v>1</v>
      </c>
      <c r="P382" s="46" t="str">
        <f t="shared" si="9"/>
        <v>REVERSE TRADE</v>
      </c>
      <c r="Q382" s="52"/>
      <c r="R382" s="53">
        <f t="shared" si="10"/>
        <v>15</v>
      </c>
      <c r="S382" s="53">
        <f>IFERROR(__xludf.DUMMYFUNCTION("IFERROR(ROUND(GOOGLEFINANCE(A382,""volume"")/GOOGLEFINANCE(A382,""volumeavg""),2),"""")"),0.79)</f>
        <v>0.79</v>
      </c>
      <c r="T382" s="53" t="str">
        <f t="shared" si="11"/>
        <v>LOW VOL</v>
      </c>
      <c r="U382" s="53">
        <f>IFERROR(__xludf.DUMMYFUNCTION("IFERROR(
  LET(
    sd, GOOGLEFINANCE(A382,""close"",TODAY()-100,TODAY()),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"""")"),1.07)</f>
        <v>1.07</v>
      </c>
      <c r="V382" s="53" t="str">
        <f t="shared" si="12"/>
        <v>MEDIUM</v>
      </c>
      <c r="W382" s="53">
        <f>IFERROR(__xludf.DUMMYFUNCTION("IFERROR(ROUND((B382/GOOGLEFINANCE(A382,""high52"")-1)*100,1),"""")"),-22.1)</f>
        <v>-22.1</v>
      </c>
      <c r="X382" s="53">
        <f>IFERROR(__xludf.DUMMYFUNCTION("IFERROR(ROUND((B382-GOOGLEFINANCE(A382,""low52""))/(GOOGLEFINANCE(A382,""high52"")-GOOGLEFINANCE(A382,""low52""))*100,1),"""")"),34.8)</f>
        <v>34.8</v>
      </c>
      <c r="Y382" s="53" t="str">
        <f t="shared" si="13"/>
        <v>MID</v>
      </c>
      <c r="Z382" s="53">
        <f>IFERROR(__xludf.DUMMYFUNCTION("IFERROR(ROUND(((B382 / INDEX(GOOGLEFINANCE(TRIM(A382), ""price"", TODAY()-34, TODAY()), 2, 2)) - (GOOGLEFINANCE(""NIFTY_50"") / INDEX(GOOGLEFINANCE(""NIFTY_50"", ""price"", TODAY()-34, TODAY()), 2, 2))) * 100, 2), ""Check History"")"),-3.27)</f>
        <v>-3.27</v>
      </c>
      <c r="AA382" s="53" t="str">
        <f t="shared" si="14"/>
        <v>WEAK RS</v>
      </c>
      <c r="AB382" s="53">
        <f>IFERROR(__xludf.DUMMYFUNCTION("IFERROR(LET(
  p, QUERY(GOOGLEFINANCE(TRIM(A382),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Loading"")"),44.1)</f>
        <v>44.1</v>
      </c>
      <c r="AC382" s="53" t="str">
        <f t="shared" si="15"/>
        <v>WEAK MOM</v>
      </c>
      <c r="AD382" s="53" t="str">
        <f>IFERROR(__xludf.DUMMYFUNCTION("IFERROR(IF(GOOGLEFINANCE(A382,""eps"")&gt;0,""EPS+"",""EPS-""),"""")"),"EPS+")</f>
        <v>EPS+</v>
      </c>
      <c r="AE382" s="53">
        <f t="shared" si="16"/>
        <v>2</v>
      </c>
      <c r="AF382" s="53">
        <f>IFERROR(__xludf.DUMMYFUNCTION("IFERROR(N382+IF(S382&gt;=1.2,1,0)+IF(U382&gt;=1,1,0)+IF(Z382&gt;0,1,0)+IF(AND(W382&gt;=-20,W382&lt;=0),1,0)+IF(IFERROR(GOOGLEFINANCE(A382,""eps""),0)&gt;0,1,0),"""")"),3.0)</f>
        <v>3</v>
      </c>
      <c r="AG382" s="53" t="str">
        <f t="shared" si="17"/>
        <v>REVERSE TRADE</v>
      </c>
    </row>
    <row r="383" ht="15.75" customHeight="1">
      <c r="A383" s="55" t="s">
        <v>550</v>
      </c>
      <c r="B383" s="44">
        <f>IFERROR(__xludf.DUMMYFUNCTION("GOOGLEFINANCE(A383,""price"")"),361.1)</f>
        <v>361.1</v>
      </c>
      <c r="C383" s="45">
        <f>IFERROR(__xludf.DUMMYFUNCTION("AVERAGE(QUERY(SORT(GOOGLEFINANCE(A383,""price"",TODAY()-150,TODAY()),1,0),""select Col2 limit 50""))"),388.883)</f>
        <v>388.883</v>
      </c>
      <c r="D383" s="45">
        <f>IFERROR(__xludf.DUMMYFUNCTION("AVERAGE(QUERY(SORT(GOOGLEFINANCE(A383,""price"",TODAY()-300,TODAY()),1,0),""select Col2 limit 100""))"),393.68999999999994)</f>
        <v>393.69</v>
      </c>
      <c r="E383" s="45">
        <f>IFERROR(__xludf.DUMMYFUNCTION("AVERAGE(QUERY(SORT(GOOGLEFINANCE(A383,""price"",TODAY()-500,TODAY()),1,0),""select Col2 limit 200""))"),422.43624999999986)</f>
        <v>422.43625</v>
      </c>
      <c r="F383" s="46" t="str">
        <f t="shared" si="1"/>
        <v>In Bear Run</v>
      </c>
      <c r="G383" s="47">
        <f t="shared" si="2"/>
        <v>-14.51964646</v>
      </c>
      <c r="H383" s="48" t="str">
        <f t="shared" si="3"/>
        <v>Inverted ✗</v>
      </c>
      <c r="I383" s="48">
        <f t="shared" si="4"/>
        <v>0</v>
      </c>
      <c r="J383" s="48">
        <f t="shared" si="5"/>
        <v>0</v>
      </c>
      <c r="K383" s="49" t="str">
        <f>IFERROR(__xludf.DUMMYFUNCTION("IFERROR(IF(A383="""",""ENTER STOCK"",LET(stock,A383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83" s="48">
        <f t="shared" si="6"/>
        <v>0</v>
      </c>
      <c r="M383" s="48">
        <f t="shared" si="7"/>
        <v>1</v>
      </c>
      <c r="N383" s="50">
        <f t="shared" si="8"/>
        <v>1</v>
      </c>
      <c r="P383" s="46" t="str">
        <f t="shared" si="9"/>
        <v>REVERSE TRADE</v>
      </c>
      <c r="Q383" s="52"/>
      <c r="R383" s="53">
        <f t="shared" si="10"/>
        <v>15</v>
      </c>
      <c r="S383" s="53">
        <f>IFERROR(__xludf.DUMMYFUNCTION("IFERROR(ROUND(GOOGLEFINANCE(A383,""volume"")/GOOGLEFINANCE(A383,""volumeavg""),2),"""")"),0.14)</f>
        <v>0.14</v>
      </c>
      <c r="T383" s="53" t="str">
        <f t="shared" si="11"/>
        <v>LOW VOL</v>
      </c>
      <c r="U383" s="53">
        <f>IFERROR(__xludf.DUMMYFUNCTION("IFERROR(
  LET(
    sd, GOOGLEFINANCE(A383,""close"",TODAY()-100,TODAY()),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"""")"),0.59)</f>
        <v>0.59</v>
      </c>
      <c r="V383" s="53" t="str">
        <f t="shared" si="12"/>
        <v>SLOW</v>
      </c>
      <c r="W383" s="53">
        <f>IFERROR(__xludf.DUMMYFUNCTION("IFERROR(ROUND((B383/GOOGLEFINANCE(A383,""high52"")-1)*100,1),"""")"),-30.4)</f>
        <v>-30.4</v>
      </c>
      <c r="X383" s="53">
        <f>IFERROR(__xludf.DUMMYFUNCTION("IFERROR(ROUND((B383-GOOGLEFINANCE(A383,""low52""))/(GOOGLEFINANCE(A383,""high52"")-GOOGLEFINANCE(A383,""low52""))*100,1),"""")"),31.6)</f>
        <v>31.6</v>
      </c>
      <c r="Y383" s="53" t="str">
        <f t="shared" si="13"/>
        <v>MID</v>
      </c>
      <c r="Z383" s="53">
        <f>IFERROR(__xludf.DUMMYFUNCTION("IFERROR(ROUND(((B383 / INDEX(GOOGLEFINANCE(TRIM(A383), ""price"", TODAY()-34, TODAY()), 2, 2)) - (GOOGLEFINANCE(""NIFTY_50"") / INDEX(GOOGLEFINANCE(""NIFTY_50"", ""price"", TODAY()-34, TODAY()), 2, 2))) * 100, 2), ""Check History"")"),0.52)</f>
        <v>0.52</v>
      </c>
      <c r="AA383" s="53" t="str">
        <f t="shared" si="14"/>
        <v>MILD RS</v>
      </c>
      <c r="AB383" s="53">
        <f>IFERROR(__xludf.DUMMYFUNCTION("IFERROR(LET(
  p, QUERY(GOOGLEFINANCE(TRIM(A383),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Loading"")"),49.1)</f>
        <v>49.1</v>
      </c>
      <c r="AC383" s="53" t="str">
        <f t="shared" si="15"/>
        <v>IDEAL ENTRY</v>
      </c>
      <c r="AD383" s="53" t="str">
        <f>IFERROR(__xludf.DUMMYFUNCTION("IFERROR(IF(GOOGLEFINANCE(A383,""eps"")&gt;0,""EPS+"",""EPS-""),"""")"),"EPS+")</f>
        <v>EPS+</v>
      </c>
      <c r="AE383" s="53">
        <f t="shared" si="16"/>
        <v>1</v>
      </c>
      <c r="AF383" s="53">
        <f>IFERROR(__xludf.DUMMYFUNCTION("IFERROR(N383+IF(S383&gt;=1.2,1,0)+IF(U383&gt;=1,1,0)+IF(Z383&gt;0,1,0)+IF(AND(W383&gt;=-20,W383&lt;=0),1,0)+IF(IFERROR(GOOGLEFINANCE(A383,""eps""),0)&gt;0,1,0),"""")"),3.0)</f>
        <v>3</v>
      </c>
      <c r="AG383" s="53" t="str">
        <f t="shared" si="17"/>
        <v>REVERSE TRADE</v>
      </c>
    </row>
    <row r="384" ht="15.75" customHeight="1">
      <c r="A384" s="55" t="s">
        <v>551</v>
      </c>
      <c r="B384" s="44">
        <f>IFERROR(__xludf.DUMMYFUNCTION("GOOGLEFINANCE(A384,""price"")"),251.9)</f>
        <v>251.9</v>
      </c>
      <c r="C384" s="45">
        <f>IFERROR(__xludf.DUMMYFUNCTION("AVERAGE(QUERY(SORT(GOOGLEFINANCE(A384,""price"",TODAY()-150,TODAY()),1,0),""select Col2 limit 50""))"),355.49500000000006)</f>
        <v>355.495</v>
      </c>
      <c r="D384" s="45">
        <f>IFERROR(__xludf.DUMMYFUNCTION("AVERAGE(QUERY(SORT(GOOGLEFINANCE(A384,""price"",TODAY()-300,TODAY()),1,0),""select Col2 limit 100""))"),414.13750000000016)</f>
        <v>414.1375</v>
      </c>
      <c r="E384" s="45">
        <f>IFERROR(__xludf.DUMMYFUNCTION("AVERAGE(QUERY(SORT(GOOGLEFINANCE(A384,""price"",TODAY()-500,TODAY()),1,0),""select Col2 limit 200""))"),416.7522499999999)</f>
        <v>416.75225</v>
      </c>
      <c r="F384" s="46" t="str">
        <f t="shared" si="1"/>
        <v>In Bear Run</v>
      </c>
      <c r="G384" s="47">
        <f t="shared" si="2"/>
        <v>-39.55641511</v>
      </c>
      <c r="H384" s="48" t="str">
        <f t="shared" si="3"/>
        <v>Inverted ✗</v>
      </c>
      <c r="I384" s="48">
        <f t="shared" si="4"/>
        <v>0</v>
      </c>
      <c r="J384" s="48">
        <f t="shared" si="5"/>
        <v>0</v>
      </c>
      <c r="K384" s="49" t="str">
        <f>IFERROR(__xludf.DUMMYFUNCTION("IFERROR(IF(A384="""",""ENTER STOCK"",LET(stock,A384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84" s="48">
        <f t="shared" si="6"/>
        <v>0</v>
      </c>
      <c r="M384" s="48">
        <f t="shared" si="7"/>
        <v>1</v>
      </c>
      <c r="N384" s="50">
        <f t="shared" si="8"/>
        <v>1</v>
      </c>
      <c r="P384" s="46" t="str">
        <f t="shared" si="9"/>
        <v>REVERSE TRADE</v>
      </c>
      <c r="Q384" s="52"/>
      <c r="R384" s="53">
        <f t="shared" si="10"/>
        <v>15</v>
      </c>
      <c r="S384" s="53">
        <f>IFERROR(__xludf.DUMMYFUNCTION("IFERROR(ROUND(GOOGLEFINANCE(A384,""volume"")/GOOGLEFINANCE(A384,""volumeavg""),2),"""")"),0.99)</f>
        <v>0.99</v>
      </c>
      <c r="T384" s="53" t="str">
        <f t="shared" si="11"/>
        <v>LOW VOL</v>
      </c>
      <c r="U384" s="53">
        <f>IFERROR(__xludf.DUMMYFUNCTION("IFERROR(
  LET(
    sd, GOOGLEFINANCE(A384,""close"",TODAY()-100,TODAY()),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"""")"),1.23)</f>
        <v>1.23</v>
      </c>
      <c r="V384" s="53" t="str">
        <f t="shared" si="12"/>
        <v>FAST</v>
      </c>
      <c r="W384" s="53">
        <f>IFERROR(__xludf.DUMMYFUNCTION("IFERROR(ROUND((B384/GOOGLEFINANCE(A384,""high52"")-1)*100,1),"""")"),-51.3)</f>
        <v>-51.3</v>
      </c>
      <c r="X384" s="53">
        <f>IFERROR(__xludf.DUMMYFUNCTION("IFERROR(ROUND((B384-GOOGLEFINANCE(A384,""low52""))/(GOOGLEFINANCE(A384,""high52"")-GOOGLEFINANCE(A384,""low52""))*100,1),"""")"),1.4)</f>
        <v>1.4</v>
      </c>
      <c r="Y384" s="53" t="str">
        <f t="shared" si="13"/>
        <v>DEEP RECOVERY</v>
      </c>
      <c r="Z384" s="53">
        <f>IFERROR(__xludf.DUMMYFUNCTION("IFERROR(ROUND(((B384 / INDEX(GOOGLEFINANCE(TRIM(A384), ""price"", TODAY()-34, TODAY()), 2, 2)) - (GOOGLEFINANCE(""NIFTY_50"") / INDEX(GOOGLEFINANCE(""NIFTY_50"", ""price"", TODAY()-34, TODAY()), 2, 2))) * 100, 2), ""Check History"")"),-14.86)</f>
        <v>-14.86</v>
      </c>
      <c r="AA384" s="53" t="str">
        <f t="shared" si="14"/>
        <v>WEAK RS</v>
      </c>
      <c r="AB384" s="53">
        <f>IFERROR(__xludf.DUMMYFUNCTION("IFERROR(LET(
  p, QUERY(GOOGLEFINANCE(TRIM(A384),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Loading"")"),41.0)</f>
        <v>41</v>
      </c>
      <c r="AC384" s="53" t="str">
        <f t="shared" si="15"/>
        <v>WEAK MOM</v>
      </c>
      <c r="AD384" s="53" t="str">
        <f>IFERROR(__xludf.DUMMYFUNCTION("IFERROR(IF(GOOGLEFINANCE(A384,""eps"")&gt;0,""EPS+"",""EPS-""),"""")"),"EPS+")</f>
        <v>EPS+</v>
      </c>
      <c r="AE384" s="53">
        <f t="shared" si="16"/>
        <v>3</v>
      </c>
      <c r="AF384" s="53">
        <f>IFERROR(__xludf.DUMMYFUNCTION("IFERROR(N384+IF(S384&gt;=1.2,1,0)+IF(U384&gt;=1,1,0)+IF(Z384&gt;0,1,0)+IF(AND(W384&gt;=-20,W384&lt;=0),1,0)+IF(IFERROR(GOOGLEFINANCE(A384,""eps""),0)&gt;0,1,0),"""")"),3.0)</f>
        <v>3</v>
      </c>
      <c r="AG384" s="53" t="str">
        <f t="shared" si="17"/>
        <v>REVERSE TRADE</v>
      </c>
    </row>
    <row r="385" ht="15.75" customHeight="1">
      <c r="A385" s="55" t="s">
        <v>552</v>
      </c>
      <c r="B385" s="44">
        <f>IFERROR(__xludf.DUMMYFUNCTION("GOOGLEFINANCE(A385,""price"")"),992.0)</f>
        <v>992</v>
      </c>
      <c r="C385" s="45">
        <f>IFERROR(__xludf.DUMMYFUNCTION("AVERAGE(QUERY(SORT(GOOGLEFINANCE(A385,""price"",TODAY()-150,TODAY()),1,0),""select Col2 limit 50""))"),1011.9920000000001)</f>
        <v>1011.992</v>
      </c>
      <c r="D385" s="45">
        <f>IFERROR(__xludf.DUMMYFUNCTION("AVERAGE(QUERY(SORT(GOOGLEFINANCE(A385,""price"",TODAY()-300,TODAY()),1,0),""select Col2 limit 100""))"),1020.39)</f>
        <v>1020.39</v>
      </c>
      <c r="E385" s="45">
        <f>IFERROR(__xludf.DUMMYFUNCTION("AVERAGE(QUERY(SORT(GOOGLEFINANCE(A385,""price"",TODAY()-500,TODAY()),1,0),""select Col2 limit 200""))"),927.0230000000004)</f>
        <v>927.023</v>
      </c>
      <c r="F385" s="46" t="str">
        <f t="shared" si="1"/>
        <v>Unconfirmed</v>
      </c>
      <c r="G385" s="47">
        <f t="shared" si="2"/>
        <v>7.009211206</v>
      </c>
      <c r="H385" s="48" t="str">
        <f t="shared" si="3"/>
        <v>Inverted ✗</v>
      </c>
      <c r="I385" s="48">
        <f t="shared" si="4"/>
        <v>0</v>
      </c>
      <c r="J385" s="48">
        <f t="shared" si="5"/>
        <v>4</v>
      </c>
      <c r="K385" s="49" t="str">
        <f>IFERROR(__xludf.DUMMYFUNCTION("IFERROR(IF(A385="""",""ENTER STOCK"",LET(stock,A385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85" s="48">
        <f t="shared" si="6"/>
        <v>0</v>
      </c>
      <c r="M385" s="48">
        <f t="shared" si="7"/>
        <v>1</v>
      </c>
      <c r="N385" s="50">
        <f t="shared" si="8"/>
        <v>5</v>
      </c>
      <c r="P385" s="46" t="str">
        <f t="shared" si="9"/>
        <v>WAIT</v>
      </c>
      <c r="Q385" s="52"/>
      <c r="R385" s="53">
        <f t="shared" si="10"/>
        <v>15</v>
      </c>
      <c r="S385" s="53">
        <f>IFERROR(__xludf.DUMMYFUNCTION("IFERROR(ROUND(GOOGLEFINANCE(A385,""volume"")/GOOGLEFINANCE(A385,""volumeavg""),2),"""")"),0.96)</f>
        <v>0.96</v>
      </c>
      <c r="T385" s="53" t="str">
        <f t="shared" si="11"/>
        <v>LOW VOL</v>
      </c>
      <c r="U385" s="53">
        <f>IFERROR(__xludf.DUMMYFUNCTION("IFERROR(
  LET(
    sd, GOOGLEFINANCE(A385,""close"",TODAY()-100,TODAY()),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"""")"),0.19)</f>
        <v>0.19</v>
      </c>
      <c r="V385" s="53" t="str">
        <f t="shared" si="12"/>
        <v>SLOW</v>
      </c>
      <c r="W385" s="53">
        <f>IFERROR(__xludf.DUMMYFUNCTION("IFERROR(ROUND((B385/GOOGLEFINANCE(A385,""high52"")-1)*100,1),"""")"),-13.1)</f>
        <v>-13.1</v>
      </c>
      <c r="X385" s="53">
        <f>IFERROR(__xludf.DUMMYFUNCTION("IFERROR(ROUND((B385-GOOGLEFINANCE(A385,""low52""))/(GOOGLEFINANCE(A385,""high52"")-GOOGLEFINANCE(A385,""low52""))*100,1),"""")"),76.1)</f>
        <v>76.1</v>
      </c>
      <c r="Y385" s="53" t="str">
        <f t="shared" si="13"/>
        <v>UPPER</v>
      </c>
      <c r="Z385" s="53">
        <f>IFERROR(__xludf.DUMMYFUNCTION("IFERROR(ROUND(((B385 / INDEX(GOOGLEFINANCE(TRIM(A385), ""price"", TODAY()-34, TODAY()), 2, 2)) - (GOOGLEFINANCE(""NIFTY_50"") / INDEX(GOOGLEFINANCE(""NIFTY_50"", ""price"", TODAY()-34, TODAY()), 2, 2))) * 100, 2), ""Check History"")"),8.62)</f>
        <v>8.62</v>
      </c>
      <c r="AA385" s="53" t="str">
        <f t="shared" si="14"/>
        <v>STRONG RS</v>
      </c>
      <c r="AB385" s="53">
        <f>IFERROR(__xludf.DUMMYFUNCTION("IFERROR(LET(
  p, QUERY(GOOGLEFINANCE(TRIM(A385),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Loading"")"),38.8)</f>
        <v>38.8</v>
      </c>
      <c r="AC385" s="53" t="str">
        <f t="shared" si="15"/>
        <v>WEAK MOM</v>
      </c>
      <c r="AD385" s="53" t="str">
        <f>IFERROR(__xludf.DUMMYFUNCTION("IFERROR(IF(GOOGLEFINANCE(A385,""eps"")&gt;0,""EPS+"",""EPS-""),"""")"),"EPS+")</f>
        <v>EPS+</v>
      </c>
      <c r="AE385" s="53">
        <f t="shared" si="16"/>
        <v>4</v>
      </c>
      <c r="AF385" s="53">
        <f>IFERROR(__xludf.DUMMYFUNCTION("IFERROR(N385+IF(S385&gt;=1.2,1,0)+IF(U385&gt;=1,1,0)+IF(Z385&gt;0,1,0)+IF(AND(W385&gt;=-20,W385&lt;=0),1,0)+IF(IFERROR(GOOGLEFINANCE(A385,""eps""),0)&gt;0,1,0),"""")"),8.0)</f>
        <v>8</v>
      </c>
      <c r="AG385" s="53" t="str">
        <f t="shared" si="17"/>
        <v>WAIT</v>
      </c>
    </row>
    <row r="386" ht="15.75" customHeight="1">
      <c r="A386" s="55" t="s">
        <v>553</v>
      </c>
      <c r="B386" s="44">
        <f>IFERROR(__xludf.DUMMYFUNCTION("GOOGLEFINANCE(A386,""price"")"),409.1)</f>
        <v>409.1</v>
      </c>
      <c r="C386" s="45">
        <f>IFERROR(__xludf.DUMMYFUNCTION("AVERAGE(QUERY(SORT(GOOGLEFINANCE(A386,""price"",TODAY()-150,TODAY()),1,0),""select Col2 limit 50""))"),428.33799999999997)</f>
        <v>428.338</v>
      </c>
      <c r="D386" s="45">
        <f>IFERROR(__xludf.DUMMYFUNCTION("AVERAGE(QUERY(SORT(GOOGLEFINANCE(A386,""price"",TODAY()-300,TODAY()),1,0),""select Col2 limit 100""))"),424.0970000000002)</f>
        <v>424.097</v>
      </c>
      <c r="E386" s="45">
        <f>IFERROR(__xludf.DUMMYFUNCTION("AVERAGE(QUERY(SORT(GOOGLEFINANCE(A386,""price"",TODAY()-500,TODAY()),1,0),""select Col2 limit 200""))"),424.2577500000003)</f>
        <v>424.25775</v>
      </c>
      <c r="F386" s="46" t="str">
        <f t="shared" si="1"/>
        <v>In Bear Run</v>
      </c>
      <c r="G386" s="47">
        <f t="shared" si="2"/>
        <v>-3.572769148</v>
      </c>
      <c r="H386" s="48" t="str">
        <f t="shared" si="3"/>
        <v>Inverted ✗</v>
      </c>
      <c r="I386" s="48">
        <f t="shared" si="4"/>
        <v>0</v>
      </c>
      <c r="J386" s="48">
        <f t="shared" si="5"/>
        <v>0</v>
      </c>
      <c r="K386" s="49" t="str">
        <f>IFERROR(__xludf.DUMMYFUNCTION("IFERROR(IF(A386="""",""ENTER STOCK"",LET(stock,A386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86" s="48">
        <f t="shared" si="6"/>
        <v>0</v>
      </c>
      <c r="M386" s="48">
        <f t="shared" si="7"/>
        <v>1</v>
      </c>
      <c r="N386" s="50">
        <f t="shared" si="8"/>
        <v>1</v>
      </c>
      <c r="P386" s="46" t="str">
        <f t="shared" si="9"/>
        <v>REVERSE TRADE</v>
      </c>
      <c r="Q386" s="52"/>
      <c r="R386" s="53">
        <f t="shared" si="10"/>
        <v>15</v>
      </c>
      <c r="S386" s="53">
        <f>IFERROR(__xludf.DUMMYFUNCTION("IFERROR(ROUND(GOOGLEFINANCE(A386,""volume"")/GOOGLEFINANCE(A386,""volumeavg""),2),"""")"),0.79)</f>
        <v>0.79</v>
      </c>
      <c r="T386" s="53" t="str">
        <f t="shared" si="11"/>
        <v>LOW VOL</v>
      </c>
      <c r="U386" s="53">
        <f>IFERROR(__xludf.DUMMYFUNCTION("IFERROR(
  LET(
    sd, GOOGLEFINANCE(A386,""close"",TODAY()-100,TODAY()),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"""")"),0.36)</f>
        <v>0.36</v>
      </c>
      <c r="V386" s="53" t="str">
        <f t="shared" si="12"/>
        <v>SLOW</v>
      </c>
      <c r="W386" s="53">
        <f>IFERROR(__xludf.DUMMYFUNCTION("IFERROR(ROUND((B386/GOOGLEFINANCE(A386,""high52"")-1)*100,1),"""")"),-13.8)</f>
        <v>-13.8</v>
      </c>
      <c r="X386" s="53">
        <f>IFERROR(__xludf.DUMMYFUNCTION("IFERROR(ROUND((B386-GOOGLEFINANCE(A386,""low52""))/(GOOGLEFINANCE(A386,""high52"")-GOOGLEFINANCE(A386,""low52""))*100,1),"""")"),28.9)</f>
        <v>28.9</v>
      </c>
      <c r="Y386" s="53" t="str">
        <f t="shared" si="13"/>
        <v>UPPER</v>
      </c>
      <c r="Z386" s="53">
        <f>IFERROR(__xludf.DUMMYFUNCTION("IFERROR(ROUND(((B386 / INDEX(GOOGLEFINANCE(TRIM(A386), ""price"", TODAY()-34, TODAY()), 2, 2)) - (GOOGLEFINANCE(""NIFTY_50"") / INDEX(GOOGLEFINANCE(""NIFTY_50"", ""price"", TODAY()-34, TODAY()), 2, 2))) * 100, 2), ""Check History"")"),5.61)</f>
        <v>5.61</v>
      </c>
      <c r="AA386" s="53" t="str">
        <f t="shared" si="14"/>
        <v>STRONG RS</v>
      </c>
      <c r="AB386" s="53">
        <f>IFERROR(__xludf.DUMMYFUNCTION("IFERROR(LET(
  p, QUERY(GOOGLEFINANCE(TRIM(A386),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Loading"")"),52.5)</f>
        <v>52.5</v>
      </c>
      <c r="AC386" s="53" t="str">
        <f t="shared" si="15"/>
        <v>IDEAL ENTRY</v>
      </c>
      <c r="AD386" s="53" t="str">
        <f>IFERROR(__xludf.DUMMYFUNCTION("IFERROR(IF(GOOGLEFINANCE(A386,""eps"")&gt;0,""EPS+"",""EPS-""),"""")"),"EPS+")</f>
        <v>EPS+</v>
      </c>
      <c r="AE386" s="53">
        <f t="shared" si="16"/>
        <v>2</v>
      </c>
      <c r="AF386" s="53">
        <f>IFERROR(__xludf.DUMMYFUNCTION("IFERROR(N386+IF(S386&gt;=1.2,1,0)+IF(U386&gt;=1,1,0)+IF(Z386&gt;0,1,0)+IF(AND(W386&gt;=-20,W386&lt;=0),1,0)+IF(IFERROR(GOOGLEFINANCE(A386,""eps""),0)&gt;0,1,0),"""")"),4.0)</f>
        <v>4</v>
      </c>
      <c r="AG386" s="53" t="str">
        <f t="shared" si="17"/>
        <v>REVERSE TRADE</v>
      </c>
    </row>
    <row r="387" ht="15.75" customHeight="1">
      <c r="A387" s="55" t="s">
        <v>554</v>
      </c>
      <c r="B387" s="44">
        <f>IFERROR(__xludf.DUMMYFUNCTION("GOOGLEFINANCE(A387,""price"")"),925.0)</f>
        <v>925</v>
      </c>
      <c r="C387" s="45">
        <f>IFERROR(__xludf.DUMMYFUNCTION("AVERAGE(QUERY(SORT(GOOGLEFINANCE(A387,""price"",TODAY()-150,TODAY()),1,0),""select Col2 limit 50""))"),1077.4699999999998)</f>
        <v>1077.47</v>
      </c>
      <c r="D387" s="45">
        <f>IFERROR(__xludf.DUMMYFUNCTION("AVERAGE(QUERY(SORT(GOOGLEFINANCE(A387,""price"",TODAY()-300,TODAY()),1,0),""select Col2 limit 100""))"),1120.468)</f>
        <v>1120.468</v>
      </c>
      <c r="E387" s="45">
        <f>IFERROR(__xludf.DUMMYFUNCTION("AVERAGE(QUERY(SORT(GOOGLEFINANCE(A387,""price"",TODAY()-500,TODAY()),1,0),""select Col2 limit 200""))"),1238.9655000000002)</f>
        <v>1238.9655</v>
      </c>
      <c r="F387" s="46" t="str">
        <f t="shared" si="1"/>
        <v>In Bear Run</v>
      </c>
      <c r="G387" s="47">
        <f t="shared" si="2"/>
        <v>-25.34093968</v>
      </c>
      <c r="H387" s="48" t="str">
        <f t="shared" si="3"/>
        <v>Inverted ✗</v>
      </c>
      <c r="I387" s="48">
        <f t="shared" si="4"/>
        <v>0</v>
      </c>
      <c r="J387" s="48">
        <f t="shared" si="5"/>
        <v>0</v>
      </c>
      <c r="K387" s="49" t="str">
        <f>IFERROR(__xludf.DUMMYFUNCTION("IFERROR(IF(A387="""",""ENTER STOCK"",LET(stock,A387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87" s="48">
        <f t="shared" si="6"/>
        <v>0</v>
      </c>
      <c r="M387" s="48">
        <f t="shared" si="7"/>
        <v>1</v>
      </c>
      <c r="N387" s="50">
        <f t="shared" si="8"/>
        <v>1</v>
      </c>
      <c r="P387" s="46" t="str">
        <f t="shared" si="9"/>
        <v>REVERSE TRADE</v>
      </c>
      <c r="Q387" s="52"/>
      <c r="R387" s="53">
        <f t="shared" si="10"/>
        <v>15</v>
      </c>
      <c r="S387" s="53">
        <f>IFERROR(__xludf.DUMMYFUNCTION("IFERROR(ROUND(GOOGLEFINANCE(A387,""volume"")/GOOGLEFINANCE(A387,""volumeavg""),2),"""")"),0.79)</f>
        <v>0.79</v>
      </c>
      <c r="T387" s="53" t="str">
        <f t="shared" si="11"/>
        <v>LOW VOL</v>
      </c>
      <c r="U387" s="53">
        <f>IFERROR(__xludf.DUMMYFUNCTION("IFERROR(
  LET(
    sd, GOOGLEFINANCE(A387,""close"",TODAY()-100,TODAY()),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"""")"),0.76)</f>
        <v>0.76</v>
      </c>
      <c r="V387" s="53" t="str">
        <f t="shared" si="12"/>
        <v>SLOW</v>
      </c>
      <c r="W387" s="53">
        <f>IFERROR(__xludf.DUMMYFUNCTION("IFERROR(ROUND((B387/GOOGLEFINANCE(A387,""high52"")-1)*100,1),"""")"),-41.7)</f>
        <v>-41.7</v>
      </c>
      <c r="X387" s="53">
        <f>IFERROR(__xludf.DUMMYFUNCTION("IFERROR(ROUND((B387-GOOGLEFINANCE(A387,""low52""))/(GOOGLEFINANCE(A387,""high52"")-GOOGLEFINANCE(A387,""low52""))*100,1),"""")"),3.6)</f>
        <v>3.6</v>
      </c>
      <c r="Y387" s="53" t="str">
        <f t="shared" si="13"/>
        <v>DEEP RECOVERY</v>
      </c>
      <c r="Z387" s="53">
        <f>IFERROR(__xludf.DUMMYFUNCTION("IFERROR(ROUND(((B387 / INDEX(GOOGLEFINANCE(TRIM(A387), ""price"", TODAY()-34, TODAY()), 2, 2)) - (GOOGLEFINANCE(""NIFTY_50"") / INDEX(GOOGLEFINANCE(""NIFTY_50"", ""price"", TODAY()-34, TODAY()), 2, 2))) * 100, 2), ""Check History"")"),-10.3)</f>
        <v>-10.3</v>
      </c>
      <c r="AA387" s="53" t="str">
        <f t="shared" si="14"/>
        <v>WEAK RS</v>
      </c>
      <c r="AB387" s="53">
        <f>IFERROR(__xludf.DUMMYFUNCTION("IFERROR(LET(
  p, QUERY(GOOGLEFINANCE(TRIM(A387),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Loading"")"),22.2)</f>
        <v>22.2</v>
      </c>
      <c r="AC387" s="53" t="str">
        <f t="shared" si="15"/>
        <v>WEAK MOM</v>
      </c>
      <c r="AD387" s="53" t="str">
        <f>IFERROR(__xludf.DUMMYFUNCTION("IFERROR(IF(GOOGLEFINANCE(A387,""eps"")&gt;0,""EPS+"",""EPS-""),"""")"),"EPS+")</f>
        <v>EPS+</v>
      </c>
      <c r="AE387" s="53">
        <f t="shared" si="16"/>
        <v>1</v>
      </c>
      <c r="AF387" s="53">
        <f>IFERROR(__xludf.DUMMYFUNCTION("IFERROR(N387+IF(S387&gt;=1.2,1,0)+IF(U387&gt;=1,1,0)+IF(Z387&gt;0,1,0)+IF(AND(W387&gt;=-20,W387&lt;=0),1,0)+IF(IFERROR(GOOGLEFINANCE(A387,""eps""),0)&gt;0,1,0),"""")"),2.0)</f>
        <v>2</v>
      </c>
      <c r="AG387" s="53" t="str">
        <f t="shared" si="17"/>
        <v>REVERSE TRADE</v>
      </c>
    </row>
    <row r="388" ht="15.75" customHeight="1">
      <c r="A388" s="55" t="s">
        <v>555</v>
      </c>
      <c r="B388" s="44">
        <f>IFERROR(__xludf.DUMMYFUNCTION("GOOGLEFINANCE(A388,""price"")"),11096.0)</f>
        <v>11096</v>
      </c>
      <c r="C388" s="45">
        <f>IFERROR(__xludf.DUMMYFUNCTION("AVERAGE(QUERY(SORT(GOOGLEFINANCE(A388,""price"",TODAY()-150,TODAY()),1,0),""select Col2 limit 50""))"),13125.3)</f>
        <v>13125.3</v>
      </c>
      <c r="D388" s="45">
        <f>IFERROR(__xludf.DUMMYFUNCTION("AVERAGE(QUERY(SORT(GOOGLEFINANCE(A388,""price"",TODAY()-300,TODAY()),1,0),""select Col2 limit 100""))"),13706.1)</f>
        <v>13706.1</v>
      </c>
      <c r="E388" s="45">
        <f>IFERROR(__xludf.DUMMYFUNCTION("AVERAGE(QUERY(SORT(GOOGLEFINANCE(A388,""price"",TODAY()-500,TODAY()),1,0),""select Col2 limit 200""))"),14746.875)</f>
        <v>14746.875</v>
      </c>
      <c r="F388" s="46" t="str">
        <f t="shared" si="1"/>
        <v>In Bear Run</v>
      </c>
      <c r="G388" s="47">
        <f t="shared" si="2"/>
        <v>-24.75694003</v>
      </c>
      <c r="H388" s="48" t="str">
        <f t="shared" si="3"/>
        <v>Inverted ✗</v>
      </c>
      <c r="I388" s="48">
        <f t="shared" si="4"/>
        <v>0</v>
      </c>
      <c r="J388" s="48">
        <f t="shared" si="5"/>
        <v>0</v>
      </c>
      <c r="K388" s="49" t="str">
        <f>IFERROR(__xludf.DUMMYFUNCTION("IFERROR(IF(A388="""",""ENTER STOCK"",LET(stock,A388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88" s="48">
        <f t="shared" si="6"/>
        <v>0</v>
      </c>
      <c r="M388" s="48">
        <f t="shared" si="7"/>
        <v>1</v>
      </c>
      <c r="N388" s="50">
        <f t="shared" si="8"/>
        <v>1</v>
      </c>
      <c r="P388" s="46" t="str">
        <f t="shared" si="9"/>
        <v>REVERSE TRADE</v>
      </c>
      <c r="Q388" s="52"/>
      <c r="R388" s="53">
        <f t="shared" si="10"/>
        <v>15</v>
      </c>
      <c r="S388" s="53">
        <f>IFERROR(__xludf.DUMMYFUNCTION("IFERROR(ROUND(GOOGLEFINANCE(A388,""volume"")/GOOGLEFINANCE(A388,""volumeavg""),2),"""")"),1.23)</f>
        <v>1.23</v>
      </c>
      <c r="T388" s="53" t="str">
        <f t="shared" si="11"/>
        <v>OK VOL</v>
      </c>
      <c r="U388" s="53">
        <f>IFERROR(__xludf.DUMMYFUNCTION("IFERROR(
  LET(
    sd, GOOGLEFINANCE(A388,""close"",TODAY()-100,TODAY()),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"""")"),1.02)</f>
        <v>1.02</v>
      </c>
      <c r="V388" s="53" t="str">
        <f t="shared" si="12"/>
        <v>MEDIUM</v>
      </c>
      <c r="W388" s="53">
        <f>IFERROR(__xludf.DUMMYFUNCTION("IFERROR(ROUND((B388/GOOGLEFINANCE(A388,""high52"")-1)*100,1),"""")"),-40.1)</f>
        <v>-40.1</v>
      </c>
      <c r="X388" s="53">
        <f>IFERROR(__xludf.DUMMYFUNCTION("IFERROR(ROUND((B388-GOOGLEFINANCE(A388,""low52""))/(GOOGLEFINANCE(A388,""high52"")-GOOGLEFINANCE(A388,""low52""))*100,1),"""")"),18.5)</f>
        <v>18.5</v>
      </c>
      <c r="Y388" s="53" t="str">
        <f t="shared" si="13"/>
        <v>DEEP RECOVERY</v>
      </c>
      <c r="Z388" s="53">
        <f>IFERROR(__xludf.DUMMYFUNCTION("IFERROR(ROUND(((B388 / INDEX(GOOGLEFINANCE(TRIM(A388), ""price"", TODAY()-34, TODAY()), 2, 2)) - (GOOGLEFINANCE(""NIFTY_50"") / INDEX(GOOGLEFINANCE(""NIFTY_50"", ""price"", TODAY()-34, TODAY()), 2, 2))) * 100, 2), ""Check History"")"),-4.19)</f>
        <v>-4.19</v>
      </c>
      <c r="AA388" s="53" t="str">
        <f t="shared" si="14"/>
        <v>WEAK RS</v>
      </c>
      <c r="AB388" s="53">
        <f>IFERROR(__xludf.DUMMYFUNCTION("IFERROR(LET(
  p, QUERY(GOOGLEFINANCE(TRIM(A388),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Loading"")"),33.3)</f>
        <v>33.3</v>
      </c>
      <c r="AC388" s="53" t="str">
        <f t="shared" si="15"/>
        <v>WEAK MOM</v>
      </c>
      <c r="AD388" s="53" t="str">
        <f>IFERROR(__xludf.DUMMYFUNCTION("IFERROR(IF(GOOGLEFINANCE(A388,""eps"")&gt;0,""EPS+"",""EPS-""),"""")"),"EPS+")</f>
        <v>EPS+</v>
      </c>
      <c r="AE388" s="53">
        <f t="shared" si="16"/>
        <v>4</v>
      </c>
      <c r="AF388" s="53">
        <f>IFERROR(__xludf.DUMMYFUNCTION("IFERROR(N388+IF(S388&gt;=1.2,1,0)+IF(U388&gt;=1,1,0)+IF(Z388&gt;0,1,0)+IF(AND(W388&gt;=-20,W388&lt;=0),1,0)+IF(IFERROR(GOOGLEFINANCE(A388,""eps""),0)&gt;0,1,0),"""")"),4.0)</f>
        <v>4</v>
      </c>
      <c r="AG388" s="53" t="str">
        <f t="shared" si="17"/>
        <v>REVERSE TRADE</v>
      </c>
    </row>
    <row r="389" ht="15.75" customHeight="1">
      <c r="A389" s="55" t="s">
        <v>556</v>
      </c>
      <c r="B389" s="44">
        <f>IFERROR(__xludf.DUMMYFUNCTION("GOOGLEFINANCE(A389,""price"")"),251.3)</f>
        <v>251.3</v>
      </c>
      <c r="C389" s="45">
        <f>IFERROR(__xludf.DUMMYFUNCTION("AVERAGE(QUERY(SORT(GOOGLEFINANCE(A389,""price"",TODAY()-150,TODAY()),1,0),""select Col2 limit 50""))"),284.95400000000006)</f>
        <v>284.954</v>
      </c>
      <c r="D389" s="45">
        <f>IFERROR(__xludf.DUMMYFUNCTION("AVERAGE(QUERY(SORT(GOOGLEFINANCE(A389,""price"",TODAY()-300,TODAY()),1,0),""select Col2 limit 100""))"),286.484)</f>
        <v>286.484</v>
      </c>
      <c r="E389" s="45">
        <f>IFERROR(__xludf.DUMMYFUNCTION("AVERAGE(QUERY(SORT(GOOGLEFINANCE(A389,""price"",TODAY()-500,TODAY()),1,0),""select Col2 limit 200""))"),280.6727499999999)</f>
        <v>280.67275</v>
      </c>
      <c r="F389" s="46" t="str">
        <f t="shared" si="1"/>
        <v>In Bear Run</v>
      </c>
      <c r="G389" s="47">
        <f t="shared" si="2"/>
        <v>-10.46512353</v>
      </c>
      <c r="H389" s="48" t="str">
        <f t="shared" si="3"/>
        <v>Inverted ✗</v>
      </c>
      <c r="I389" s="48">
        <f t="shared" si="4"/>
        <v>0</v>
      </c>
      <c r="J389" s="48">
        <f t="shared" si="5"/>
        <v>0</v>
      </c>
      <c r="K389" s="49" t="str">
        <f>IFERROR(__xludf.DUMMYFUNCTION("IFERROR(IF(A389="""",""ENTER STOCK"",LET(stock,A389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89" s="48">
        <f t="shared" si="6"/>
        <v>0</v>
      </c>
      <c r="M389" s="48">
        <f t="shared" si="7"/>
        <v>1</v>
      </c>
      <c r="N389" s="50">
        <f t="shared" si="8"/>
        <v>1</v>
      </c>
      <c r="P389" s="46" t="str">
        <f t="shared" si="9"/>
        <v>REVERSE TRADE</v>
      </c>
      <c r="Q389" s="52"/>
      <c r="R389" s="53">
        <f t="shared" si="10"/>
        <v>15</v>
      </c>
      <c r="S389" s="53">
        <f>IFERROR(__xludf.DUMMYFUNCTION("IFERROR(ROUND(GOOGLEFINANCE(A389,""volume"")/GOOGLEFINANCE(A389,""volumeavg""),2),"""")"),0.73)</f>
        <v>0.73</v>
      </c>
      <c r="T389" s="53" t="str">
        <f t="shared" si="11"/>
        <v>LOW VOL</v>
      </c>
      <c r="U389" s="53">
        <f>IFERROR(__xludf.DUMMYFUNCTION("IFERROR(
  LET(
    sd, GOOGLEFINANCE(A389,""close"",TODAY()-100,TODAY()),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"""")"),1.13)</f>
        <v>1.13</v>
      </c>
      <c r="V389" s="53" t="str">
        <f t="shared" si="12"/>
        <v>MEDIUM</v>
      </c>
      <c r="W389" s="53">
        <f>IFERROR(__xludf.DUMMYFUNCTION("IFERROR(ROUND((B389/GOOGLEFINANCE(A389,""high52"")-1)*100,1),"""")"),-21.9)</f>
        <v>-21.9</v>
      </c>
      <c r="X389" s="53">
        <f>IFERROR(__xludf.DUMMYFUNCTION("IFERROR(ROUND((B389-GOOGLEFINANCE(A389,""low52""))/(GOOGLEFINANCE(A389,""high52"")-GOOGLEFINANCE(A389,""low52""))*100,1),"""")"),31.2)</f>
        <v>31.2</v>
      </c>
      <c r="Y389" s="53" t="str">
        <f t="shared" si="13"/>
        <v>MID</v>
      </c>
      <c r="Z389" s="53">
        <f>IFERROR(__xludf.DUMMYFUNCTION("IFERROR(ROUND(((B389 / INDEX(GOOGLEFINANCE(TRIM(A389), ""price"", TODAY()-34, TODAY()), 2, 2)) - (GOOGLEFINANCE(""NIFTY_50"") / INDEX(GOOGLEFINANCE(""NIFTY_50"", ""price"", TODAY()-34, TODAY()), 2, 2))) * 100, 2), ""Check History"")"),-5.52)</f>
        <v>-5.52</v>
      </c>
      <c r="AA389" s="53" t="str">
        <f t="shared" si="14"/>
        <v>WEAK RS</v>
      </c>
      <c r="AB389" s="53">
        <f>IFERROR(__xludf.DUMMYFUNCTION("IFERROR(LET(
  p, QUERY(GOOGLEFINANCE(TRIM(A389),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Loading"")"),53.3)</f>
        <v>53.3</v>
      </c>
      <c r="AC389" s="53" t="str">
        <f t="shared" si="15"/>
        <v>IDEAL ENTRY</v>
      </c>
      <c r="AD389" s="53" t="str">
        <f>IFERROR(__xludf.DUMMYFUNCTION("IFERROR(IF(GOOGLEFINANCE(A389,""eps"")&gt;0,""EPS+"",""EPS-""),"""")"),"EPS+")</f>
        <v>EPS+</v>
      </c>
      <c r="AE389" s="53">
        <f t="shared" si="16"/>
        <v>2</v>
      </c>
      <c r="AF389" s="53">
        <f>IFERROR(__xludf.DUMMYFUNCTION("IFERROR(N389+IF(S389&gt;=1.2,1,0)+IF(U389&gt;=1,1,0)+IF(Z389&gt;0,1,0)+IF(AND(W389&gt;=-20,W389&lt;=0),1,0)+IF(IFERROR(GOOGLEFINANCE(A389,""eps""),0)&gt;0,1,0),"""")"),3.0)</f>
        <v>3</v>
      </c>
      <c r="AG389" s="53" t="str">
        <f t="shared" si="17"/>
        <v>REVERSE TRADE</v>
      </c>
    </row>
    <row r="390" ht="15.75" customHeight="1">
      <c r="A390" s="55" t="s">
        <v>557</v>
      </c>
      <c r="B390" s="44">
        <f>IFERROR(__xludf.DUMMYFUNCTION("GOOGLEFINANCE(A390,""price"")"),435.0)</f>
        <v>435</v>
      </c>
      <c r="C390" s="45">
        <f>IFERROR(__xludf.DUMMYFUNCTION("AVERAGE(QUERY(SORT(GOOGLEFINANCE(A390,""price"",TODAY()-150,TODAY()),1,0),""select Col2 limit 50""))"),467.6952000000001)</f>
        <v>467.6952</v>
      </c>
      <c r="D390" s="45">
        <f>IFERROR(__xludf.DUMMYFUNCTION("AVERAGE(QUERY(SORT(GOOGLEFINANCE(A390,""price"",TODAY()-300,TODAY()),1,0),""select Col2 limit 100""))"),475.95820000000015)</f>
        <v>475.9582</v>
      </c>
      <c r="E390" s="45">
        <f>IFERROR(__xludf.DUMMYFUNCTION("AVERAGE(QUERY(SORT(GOOGLEFINANCE(A390,""price"",TODAY()-500,TODAY()),1,0),""select Col2 limit 200""))"),484.71644999999984)</f>
        <v>484.71645</v>
      </c>
      <c r="F390" s="46" t="str">
        <f t="shared" si="1"/>
        <v>In Bear Run</v>
      </c>
      <c r="G390" s="47">
        <f t="shared" si="2"/>
        <v>-10.25681097</v>
      </c>
      <c r="H390" s="48" t="str">
        <f t="shared" si="3"/>
        <v>Inverted ✗</v>
      </c>
      <c r="I390" s="48">
        <f t="shared" si="4"/>
        <v>0</v>
      </c>
      <c r="J390" s="48">
        <f t="shared" si="5"/>
        <v>0</v>
      </c>
      <c r="K390" s="49" t="str">
        <f>IFERROR(__xludf.DUMMYFUNCTION("IFERROR(IF(A390="""",""ENTER STOCK"",LET(stock,A390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90" s="48">
        <f t="shared" si="6"/>
        <v>0</v>
      </c>
      <c r="M390" s="48">
        <f t="shared" si="7"/>
        <v>1</v>
      </c>
      <c r="N390" s="50">
        <f t="shared" si="8"/>
        <v>1</v>
      </c>
      <c r="P390" s="46" t="str">
        <f t="shared" si="9"/>
        <v>REVERSE TRADE</v>
      </c>
      <c r="Q390" s="52"/>
      <c r="R390" s="53">
        <f t="shared" si="10"/>
        <v>15</v>
      </c>
      <c r="S390" s="53">
        <f>IFERROR(__xludf.DUMMYFUNCTION("IFERROR(ROUND(GOOGLEFINANCE(A390,""volume"")/GOOGLEFINANCE(A390,""volumeavg""),2),"""")"),1.02)</f>
        <v>1.02</v>
      </c>
      <c r="T390" s="53" t="str">
        <f t="shared" si="11"/>
        <v>LOW VOL</v>
      </c>
      <c r="U390" s="53">
        <f>IFERROR(__xludf.DUMMYFUNCTION("IFERROR(
  LET(
    sd, GOOGLEFINANCE(A390,""close"",TODAY()-100,TODAY()),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"""")"),0.19)</f>
        <v>0.19</v>
      </c>
      <c r="V390" s="53" t="str">
        <f t="shared" si="12"/>
        <v>SLOW</v>
      </c>
      <c r="W390" s="53">
        <f>IFERROR(__xludf.DUMMYFUNCTION("IFERROR(ROUND((B390/GOOGLEFINANCE(A390,""high52"")-1)*100,1),"""")"),-23.1)</f>
        <v>-23.1</v>
      </c>
      <c r="X390" s="53">
        <f>IFERROR(__xludf.DUMMYFUNCTION("IFERROR(ROUND((B390-GOOGLEFINANCE(A390,""low52""))/(GOOGLEFINANCE(A390,""high52"")-GOOGLEFINANCE(A390,""low52""))*100,1),"""")"),44.8)</f>
        <v>44.8</v>
      </c>
      <c r="Y390" s="53" t="str">
        <f t="shared" si="13"/>
        <v>MID</v>
      </c>
      <c r="Z390" s="53">
        <f>IFERROR(__xludf.DUMMYFUNCTION("IFERROR(ROUND(((B390 / INDEX(GOOGLEFINANCE(TRIM(A390), ""price"", TODAY()-34, TODAY()), 2, 2)) - (GOOGLEFINANCE(""NIFTY_50"") / INDEX(GOOGLEFINANCE(""NIFTY_50"", ""price"", TODAY()-34, TODAY()), 2, 2))) * 100, 2), ""Check History"")"),4.01)</f>
        <v>4.01</v>
      </c>
      <c r="AA390" s="53" t="str">
        <f t="shared" si="14"/>
        <v>MILD RS</v>
      </c>
      <c r="AB390" s="53">
        <f>IFERROR(__xludf.DUMMYFUNCTION("IFERROR(LET(
  p, QUERY(GOOGLEFINANCE(TRIM(A390),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Loading"")"),43.7)</f>
        <v>43.7</v>
      </c>
      <c r="AC390" s="53" t="str">
        <f t="shared" si="15"/>
        <v>WEAK MOM</v>
      </c>
      <c r="AD390" s="53" t="str">
        <f>IFERROR(__xludf.DUMMYFUNCTION("IFERROR(IF(GOOGLEFINANCE(A390,""eps"")&gt;0,""EPS+"",""EPS-""),"""")"),"EPS+")</f>
        <v>EPS+</v>
      </c>
      <c r="AE390" s="53">
        <f t="shared" si="16"/>
        <v>2</v>
      </c>
      <c r="AF390" s="53">
        <f>IFERROR(__xludf.DUMMYFUNCTION("IFERROR(N390+IF(S390&gt;=1.2,1,0)+IF(U390&gt;=1,1,0)+IF(Z390&gt;0,1,0)+IF(AND(W390&gt;=-20,W390&lt;=0),1,0)+IF(IFERROR(GOOGLEFINANCE(A390,""eps""),0)&gt;0,1,0),"""")"),3.0)</f>
        <v>3</v>
      </c>
      <c r="AG390" s="53" t="str">
        <f t="shared" si="17"/>
        <v>REVERSE TRADE</v>
      </c>
    </row>
    <row r="391" ht="15.75" customHeight="1">
      <c r="A391" s="55" t="s">
        <v>558</v>
      </c>
      <c r="B391" s="44">
        <f>IFERROR(__xludf.DUMMYFUNCTION("GOOGLEFINANCE(A391,""price"")"),501.8)</f>
        <v>501.8</v>
      </c>
      <c r="C391" s="45">
        <f>IFERROR(__xludf.DUMMYFUNCTION("AVERAGE(QUERY(SORT(GOOGLEFINANCE(A391,""price"",TODAY()-150,TODAY()),1,0),""select Col2 limit 50""))"),546.7599999999999)</f>
        <v>546.76</v>
      </c>
      <c r="D391" s="45">
        <f>IFERROR(__xludf.DUMMYFUNCTION("AVERAGE(QUERY(SORT(GOOGLEFINANCE(A391,""price"",TODAY()-300,TODAY()),1,0),""select Col2 limit 100""))"),568.3025)</f>
        <v>568.3025</v>
      </c>
      <c r="E391" s="45">
        <f>IFERROR(__xludf.DUMMYFUNCTION("AVERAGE(QUERY(SORT(GOOGLEFINANCE(A391,""price"",TODAY()-500,TODAY()),1,0),""select Col2 limit 200""))"),548.6857500000001)</f>
        <v>548.68575</v>
      </c>
      <c r="F391" s="46" t="str">
        <f t="shared" si="1"/>
        <v>In Bear Run</v>
      </c>
      <c r="G391" s="47">
        <f t="shared" si="2"/>
        <v>-8.545100725</v>
      </c>
      <c r="H391" s="48" t="str">
        <f t="shared" si="3"/>
        <v>Inverted ✗</v>
      </c>
      <c r="I391" s="48">
        <f t="shared" si="4"/>
        <v>0</v>
      </c>
      <c r="J391" s="48">
        <f t="shared" si="5"/>
        <v>0</v>
      </c>
      <c r="K391" s="49" t="str">
        <f>IFERROR(__xludf.DUMMYFUNCTION("IFERROR(IF(A391="""",""ENTER STOCK"",LET(stock,A391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91" s="48">
        <f t="shared" si="6"/>
        <v>0</v>
      </c>
      <c r="M391" s="48">
        <f t="shared" si="7"/>
        <v>1</v>
      </c>
      <c r="N391" s="50">
        <f t="shared" si="8"/>
        <v>1</v>
      </c>
      <c r="P391" s="46" t="str">
        <f t="shared" si="9"/>
        <v>REVERSE TRADE</v>
      </c>
      <c r="Q391" s="52"/>
      <c r="R391" s="53">
        <f t="shared" si="10"/>
        <v>15</v>
      </c>
      <c r="S391" s="53">
        <f>IFERROR(__xludf.DUMMYFUNCTION("IFERROR(ROUND(GOOGLEFINANCE(A391,""volume"")/GOOGLEFINANCE(A391,""volumeavg""),2),"""")"),1.43)</f>
        <v>1.43</v>
      </c>
      <c r="T391" s="53" t="str">
        <f t="shared" si="11"/>
        <v>OK VOL</v>
      </c>
      <c r="U391" s="53">
        <f>IFERROR(__xludf.DUMMYFUNCTION("IFERROR(
  LET(
    sd, GOOGLEFINANCE(A391,""close"",TODAY()-100,TODAY()),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"""")"),1.36)</f>
        <v>1.36</v>
      </c>
      <c r="V391" s="53" t="str">
        <f t="shared" si="12"/>
        <v>FAST</v>
      </c>
      <c r="W391" s="53">
        <f>IFERROR(__xludf.DUMMYFUNCTION("IFERROR(ROUND((B391/GOOGLEFINANCE(A391,""high52"")-1)*100,1),"""")"),-19.1)</f>
        <v>-19.1</v>
      </c>
      <c r="X391" s="53">
        <f>IFERROR(__xludf.DUMMYFUNCTION("IFERROR(ROUND((B391-GOOGLEFINANCE(A391,""low52""))/(GOOGLEFINANCE(A391,""high52"")-GOOGLEFINANCE(A391,""low52""))*100,1),"""")"),32.4)</f>
        <v>32.4</v>
      </c>
      <c r="Y391" s="53" t="str">
        <f t="shared" si="13"/>
        <v>UPPER</v>
      </c>
      <c r="Z391" s="53">
        <f>IFERROR(__xludf.DUMMYFUNCTION("IFERROR(ROUND(((B391 / INDEX(GOOGLEFINANCE(TRIM(A391), ""price"", TODAY()-34, TODAY()), 2, 2)) - (GOOGLEFINANCE(""NIFTY_50"") / INDEX(GOOGLEFINANCE(""NIFTY_50"", ""price"", TODAY()-34, TODAY()), 2, 2))) * 100, 2), ""Check History"")"),-0.36)</f>
        <v>-0.36</v>
      </c>
      <c r="AA391" s="53" t="str">
        <f t="shared" si="14"/>
        <v>WEAK RS</v>
      </c>
      <c r="AB391" s="53">
        <f>IFERROR(__xludf.DUMMYFUNCTION("IFERROR(LET(
  p, QUERY(GOOGLEFINANCE(TRIM(A391),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Loading"")"),52.4)</f>
        <v>52.4</v>
      </c>
      <c r="AC391" s="53" t="str">
        <f t="shared" si="15"/>
        <v>IDEAL ENTRY</v>
      </c>
      <c r="AD391" s="53" t="str">
        <f>IFERROR(__xludf.DUMMYFUNCTION("IFERROR(IF(GOOGLEFINANCE(A391,""eps"")&gt;0,""EPS+"",""EPS-""),"""")"),"EPS+")</f>
        <v>EPS+</v>
      </c>
      <c r="AE391" s="53">
        <f t="shared" si="16"/>
        <v>5</v>
      </c>
      <c r="AF391" s="53">
        <f>IFERROR(__xludf.DUMMYFUNCTION("IFERROR(N391+IF(S391&gt;=1.2,1,0)+IF(U391&gt;=1,1,0)+IF(Z391&gt;0,1,0)+IF(AND(W391&gt;=-20,W391&lt;=0),1,0)+IF(IFERROR(GOOGLEFINANCE(A391,""eps""),0)&gt;0,1,0),"""")"),5.0)</f>
        <v>5</v>
      </c>
      <c r="AG391" s="53" t="str">
        <f t="shared" si="17"/>
        <v>REVERSE TRADE</v>
      </c>
    </row>
    <row r="392" ht="15.75" customHeight="1">
      <c r="A392" s="55" t="s">
        <v>559</v>
      </c>
      <c r="B392" s="44">
        <f>IFERROR(__xludf.DUMMYFUNCTION("GOOGLEFINANCE(A392,""price"")"),2390.0)</f>
        <v>2390</v>
      </c>
      <c r="C392" s="45">
        <f>IFERROR(__xludf.DUMMYFUNCTION("AVERAGE(QUERY(SORT(GOOGLEFINANCE(A392,""price"",TODAY()-150,TODAY()),1,0),""select Col2 limit 50""))"),2447.3779999999992)</f>
        <v>2447.378</v>
      </c>
      <c r="D392" s="45">
        <f>IFERROR(__xludf.DUMMYFUNCTION("AVERAGE(QUERY(SORT(GOOGLEFINANCE(A392,""price"",TODAY()-300,TODAY()),1,0),""select Col2 limit 100""))"),2251.5249999999996)</f>
        <v>2251.525</v>
      </c>
      <c r="E392" s="45">
        <f>IFERROR(__xludf.DUMMYFUNCTION("AVERAGE(QUERY(SORT(GOOGLEFINANCE(A392,""price"",TODAY()-500,TODAY()),1,0),""select Col2 limit 200""))"),1948.512999999999)</f>
        <v>1948.513</v>
      </c>
      <c r="F392" s="46" t="str">
        <f t="shared" si="1"/>
        <v>Unconfirmed</v>
      </c>
      <c r="G392" s="47">
        <f t="shared" si="2"/>
        <v>22.65763687</v>
      </c>
      <c r="H392" s="48" t="str">
        <f t="shared" si="3"/>
        <v>Golden ✓</v>
      </c>
      <c r="I392" s="48">
        <f t="shared" si="4"/>
        <v>3</v>
      </c>
      <c r="J392" s="48">
        <f t="shared" si="5"/>
        <v>0</v>
      </c>
      <c r="K392" s="49" t="str">
        <f>IFERROR(__xludf.DUMMYFUNCTION("IFERROR(IF(A392="""",""ENTER STOCK"",LET(stock,A392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92" s="48">
        <f t="shared" si="6"/>
        <v>0</v>
      </c>
      <c r="M392" s="48">
        <f t="shared" si="7"/>
        <v>1</v>
      </c>
      <c r="N392" s="50">
        <f t="shared" si="8"/>
        <v>4</v>
      </c>
      <c r="P392" s="46" t="str">
        <f t="shared" si="9"/>
        <v>WAIT</v>
      </c>
      <c r="Q392" s="52"/>
      <c r="R392" s="53">
        <f t="shared" si="10"/>
        <v>15</v>
      </c>
      <c r="S392" s="53">
        <f>IFERROR(__xludf.DUMMYFUNCTION("IFERROR(ROUND(GOOGLEFINANCE(A392,""volume"")/GOOGLEFINANCE(A392,""volumeavg""),2),"""")"),1.09)</f>
        <v>1.09</v>
      </c>
      <c r="T392" s="53" t="str">
        <f t="shared" si="11"/>
        <v>LOW VOL</v>
      </c>
      <c r="U392" s="53">
        <f>IFERROR(__xludf.DUMMYFUNCTION("IFERROR(
  LET(
    sd, GOOGLEFINANCE(A392,""close"",TODAY()-100,TODAY()),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"""")"),1.34)</f>
        <v>1.34</v>
      </c>
      <c r="V392" s="53" t="str">
        <f t="shared" si="12"/>
        <v>FAST</v>
      </c>
      <c r="W392" s="53">
        <f>IFERROR(__xludf.DUMMYFUNCTION("IFERROR(ROUND((B392/GOOGLEFINANCE(A392,""high52"")-1)*100,1),"""")"),-11.6)</f>
        <v>-11.6</v>
      </c>
      <c r="X392" s="53">
        <f>IFERROR(__xludf.DUMMYFUNCTION("IFERROR(ROUND((B392-GOOGLEFINANCE(A392,""low52""))/(GOOGLEFINANCE(A392,""high52"")-GOOGLEFINANCE(A392,""low52""))*100,1),"""")"),82.5)</f>
        <v>82.5</v>
      </c>
      <c r="Y392" s="53" t="str">
        <f t="shared" si="13"/>
        <v>UPPER</v>
      </c>
      <c r="Z392" s="53">
        <f>IFERROR(__xludf.DUMMYFUNCTION("IFERROR(ROUND(((B392 / INDEX(GOOGLEFINANCE(TRIM(A392), ""price"", TODAY()-34, TODAY()), 2, 2)) - (GOOGLEFINANCE(""NIFTY_50"") / INDEX(GOOGLEFINANCE(""NIFTY_50"", ""price"", TODAY()-34, TODAY()), 2, 2))) * 100, 2), ""Check History"")"),11.92)</f>
        <v>11.92</v>
      </c>
      <c r="AA392" s="53" t="str">
        <f t="shared" si="14"/>
        <v>STRONG RS</v>
      </c>
      <c r="AB392" s="53">
        <f>IFERROR(__xludf.DUMMYFUNCTION("IFERROR(LET(
  p, QUERY(GOOGLEFINANCE(TRIM(A392),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Loading"")"),53.3)</f>
        <v>53.3</v>
      </c>
      <c r="AC392" s="53" t="str">
        <f t="shared" si="15"/>
        <v>IDEAL ENTRY</v>
      </c>
      <c r="AD392" s="53" t="str">
        <f>IFERROR(__xludf.DUMMYFUNCTION("IFERROR(IF(GOOGLEFINANCE(A392,""eps"")&gt;0,""EPS+"",""EPS-""),"""")"),"EPS+")</f>
        <v>EPS+</v>
      </c>
      <c r="AE392" s="53">
        <f t="shared" si="16"/>
        <v>8</v>
      </c>
      <c r="AF392" s="53">
        <f>IFERROR(__xludf.DUMMYFUNCTION("IFERROR(N392+IF(S392&gt;=1.2,1,0)+IF(U392&gt;=1,1,0)+IF(Z392&gt;0,1,0)+IF(AND(W392&gt;=-20,W392&lt;=0),1,0)+IF(IFERROR(GOOGLEFINANCE(A392,""eps""),0)&gt;0,1,0),"""")"),8.0)</f>
        <v>8</v>
      </c>
      <c r="AG392" s="53" t="str">
        <f t="shared" si="17"/>
        <v>WAIT</v>
      </c>
    </row>
    <row r="393" ht="15.75" customHeight="1">
      <c r="A393" s="55" t="s">
        <v>560</v>
      </c>
      <c r="B393" s="44">
        <f>IFERROR(__xludf.DUMMYFUNCTION("GOOGLEFINANCE(A393,""price"")"),975.25)</f>
        <v>975.25</v>
      </c>
      <c r="C393" s="45">
        <f>IFERROR(__xludf.DUMMYFUNCTION("AVERAGE(QUERY(SORT(GOOGLEFINANCE(A393,""price"",TODAY()-150,TODAY()),1,0),""select Col2 limit 50""))"),906.2039999999998)</f>
        <v>906.204</v>
      </c>
      <c r="D393" s="45">
        <f>IFERROR(__xludf.DUMMYFUNCTION("AVERAGE(QUERY(SORT(GOOGLEFINANCE(A393,""price"",TODAY()-300,TODAY()),1,0),""select Col2 limit 100""))"),893.5609999999998)</f>
        <v>893.561</v>
      </c>
      <c r="E393" s="45">
        <f>IFERROR(__xludf.DUMMYFUNCTION("AVERAGE(QUERY(SORT(GOOGLEFINANCE(A393,""price"",TODAY()-500,TODAY()),1,0),""select Col2 limit 200""))"),892.2565)</f>
        <v>892.2565</v>
      </c>
      <c r="F393" s="46" t="str">
        <f t="shared" si="1"/>
        <v>In Bull Run</v>
      </c>
      <c r="G393" s="47">
        <f t="shared" si="2"/>
        <v>9.301529325</v>
      </c>
      <c r="H393" s="48" t="str">
        <f t="shared" si="3"/>
        <v>Golden ✓</v>
      </c>
      <c r="I393" s="48">
        <f t="shared" si="4"/>
        <v>3</v>
      </c>
      <c r="J393" s="48">
        <f t="shared" si="5"/>
        <v>4</v>
      </c>
      <c r="K393" s="49" t="str">
        <f>IFERROR(__xludf.DUMMYFUNCTION("IFERROR(IF(A393="""",""ENTER STOCK"",LET(stock,A393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FOUND"")"),"Buy/Average Out")</f>
        <v>Buy/Average Out</v>
      </c>
      <c r="L393" s="48">
        <f t="shared" si="6"/>
        <v>2</v>
      </c>
      <c r="M393" s="48">
        <f t="shared" si="7"/>
        <v>1</v>
      </c>
      <c r="N393" s="50">
        <f t="shared" si="8"/>
        <v>10</v>
      </c>
      <c r="P393" s="46" t="str">
        <f t="shared" si="9"/>
        <v>PRIME BUY ★</v>
      </c>
      <c r="Q393" s="52"/>
      <c r="R393" s="53">
        <f t="shared" si="10"/>
        <v>15</v>
      </c>
      <c r="S393" s="53">
        <f>IFERROR(__xludf.DUMMYFUNCTION("IFERROR(ROUND(GOOGLEFINANCE(A393,""volume"")/GOOGLEFINANCE(A393,""volumeavg""),2),"""")"),0.59)</f>
        <v>0.59</v>
      </c>
      <c r="T393" s="53" t="str">
        <f t="shared" si="11"/>
        <v>LOW VOL</v>
      </c>
      <c r="U393" s="53">
        <f>IFERROR(__xludf.DUMMYFUNCTION("IFERROR(
  LET(
    sd, GOOGLEFINANCE(A393,""close"",TODAY()-100,TODAY()),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"""")"),1.04)</f>
        <v>1.04</v>
      </c>
      <c r="V393" s="53" t="str">
        <f t="shared" si="12"/>
        <v>MEDIUM</v>
      </c>
      <c r="W393" s="53">
        <f>IFERROR(__xludf.DUMMYFUNCTION("IFERROR(ROUND((B393/GOOGLEFINANCE(A393,""high52"")-1)*100,1),"""")"),-7.9)</f>
        <v>-7.9</v>
      </c>
      <c r="X393" s="53">
        <f>IFERROR(__xludf.DUMMYFUNCTION("IFERROR(ROUND((B393-GOOGLEFINANCE(A393,""low52""))/(GOOGLEFINANCE(A393,""high52"")-GOOGLEFINANCE(A393,""low52""))*100,1),"""")"),74.8)</f>
        <v>74.8</v>
      </c>
      <c r="Y393" s="53" t="str">
        <f t="shared" si="13"/>
        <v>UPPER</v>
      </c>
      <c r="Z393" s="53">
        <f>IFERROR(__xludf.DUMMYFUNCTION("IFERROR(ROUND(((B393 / INDEX(GOOGLEFINANCE(TRIM(A393), ""price"", TODAY()-34, TODAY()), 2, 2)) - (GOOGLEFINANCE(""NIFTY_50"") / INDEX(GOOGLEFINANCE(""NIFTY_50"", ""price"", TODAY()-34, TODAY()), 2, 2))) * 100, 2), ""Check History"")"),15.38)</f>
        <v>15.38</v>
      </c>
      <c r="AA393" s="53" t="str">
        <f t="shared" si="14"/>
        <v>STRONG RS</v>
      </c>
      <c r="AB393" s="53">
        <f>IFERROR(__xludf.DUMMYFUNCTION("IFERROR(LET(
  p, QUERY(GOOGLEFINANCE(TRIM(A393),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Loading"")"),44.8)</f>
        <v>44.8</v>
      </c>
      <c r="AC393" s="53" t="str">
        <f t="shared" si="15"/>
        <v>WEAK MOM</v>
      </c>
      <c r="AD393" s="53" t="str">
        <f>IFERROR(__xludf.DUMMYFUNCTION("IFERROR(IF(GOOGLEFINANCE(A393,""eps"")&gt;0,""EPS+"",""EPS-""),"""")"),"EPS+")</f>
        <v>EPS+</v>
      </c>
      <c r="AE393" s="53">
        <f t="shared" si="16"/>
        <v>5</v>
      </c>
      <c r="AF393" s="53">
        <f>IFERROR(__xludf.DUMMYFUNCTION("IFERROR(N393+IF(S393&gt;=1.2,1,0)+IF(U393&gt;=1,1,0)+IF(Z393&gt;0,1,0)+IF(AND(W393&gt;=-20,W393&lt;=0),1,0)+IF(IFERROR(GOOGLEFINANCE(A393,""eps""),0)&gt;0,1,0),"""")"),14.0)</f>
        <v>14</v>
      </c>
      <c r="AG393" s="53" t="str">
        <f t="shared" si="17"/>
        <v>PRIME BUY [10-20d]</v>
      </c>
    </row>
    <row r="394" ht="15.75" customHeight="1">
      <c r="A394" s="55" t="s">
        <v>561</v>
      </c>
      <c r="B394" s="44">
        <f>IFERROR(__xludf.DUMMYFUNCTION("GOOGLEFINANCE(A394,""price"")"),130.92)</f>
        <v>130.92</v>
      </c>
      <c r="C394" s="45">
        <f>IFERROR(__xludf.DUMMYFUNCTION("AVERAGE(QUERY(SORT(GOOGLEFINANCE(A394,""price"",TODAY()-150,TODAY()),1,0),""select Col2 limit 50""))"),146.97100000000003)</f>
        <v>146.971</v>
      </c>
      <c r="D394" s="45">
        <f>IFERROR(__xludf.DUMMYFUNCTION("AVERAGE(QUERY(SORT(GOOGLEFINANCE(A394,""price"",TODAY()-300,TODAY()),1,0),""select Col2 limit 100""))"),158.11930000000004)</f>
        <v>158.1193</v>
      </c>
      <c r="E394" s="45">
        <f>IFERROR(__xludf.DUMMYFUNCTION("AVERAGE(QUERY(SORT(GOOGLEFINANCE(A394,""price"",TODAY()-500,TODAY()),1,0),""select Col2 limit 200""))"),187.77164999999994)</f>
        <v>187.77165</v>
      </c>
      <c r="F394" s="46" t="str">
        <f t="shared" si="1"/>
        <v>In Bear Run</v>
      </c>
      <c r="G394" s="47">
        <f t="shared" si="2"/>
        <v>-30.27701466</v>
      </c>
      <c r="H394" s="48" t="str">
        <f t="shared" si="3"/>
        <v>Inverted ✗</v>
      </c>
      <c r="I394" s="48">
        <f t="shared" si="4"/>
        <v>0</v>
      </c>
      <c r="J394" s="48">
        <f t="shared" si="5"/>
        <v>0</v>
      </c>
      <c r="K394" s="49" t="str">
        <f>IFERROR(__xludf.DUMMYFUNCTION("IFERROR(IF(A394="""",""ENTER STOCK"",LET(stock,A394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94" s="48">
        <f t="shared" si="6"/>
        <v>0</v>
      </c>
      <c r="M394" s="48">
        <f t="shared" si="7"/>
        <v>1</v>
      </c>
      <c r="N394" s="50">
        <f t="shared" si="8"/>
        <v>1</v>
      </c>
      <c r="P394" s="46" t="str">
        <f t="shared" si="9"/>
        <v>REVERSE TRADE</v>
      </c>
      <c r="Q394" s="52"/>
      <c r="R394" s="53">
        <f t="shared" si="10"/>
        <v>15</v>
      </c>
      <c r="S394" s="53">
        <f>IFERROR(__xludf.DUMMYFUNCTION("IFERROR(ROUND(GOOGLEFINANCE(A394,""volume"")/GOOGLEFINANCE(A394,""volumeavg""),2),"""")"),1.5)</f>
        <v>1.5</v>
      </c>
      <c r="T394" s="53" t="str">
        <f t="shared" si="11"/>
        <v>HIGH VOL</v>
      </c>
      <c r="U394" s="53">
        <f>IFERROR(__xludf.DUMMYFUNCTION("IFERROR(
  LET(
    sd, GOOGLEFINANCE(A394,""close"",TODAY()-100,TODAY()),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"""")"),1.3)</f>
        <v>1.3</v>
      </c>
      <c r="V394" s="53" t="str">
        <f t="shared" si="12"/>
        <v>FAST</v>
      </c>
      <c r="W394" s="53">
        <f>IFERROR(__xludf.DUMMYFUNCTION("IFERROR(ROUND((B394/GOOGLEFINANCE(A394,""high52"")-1)*100,1),"""")"),-45.9)</f>
        <v>-45.9</v>
      </c>
      <c r="X394" s="53">
        <f>IFERROR(__xludf.DUMMYFUNCTION("IFERROR(ROUND((B394-GOOGLEFINANCE(A394,""low52""))/(GOOGLEFINANCE(A394,""high52"")-GOOGLEFINANCE(A394,""low52""))*100,1),"""")"),0.8)</f>
        <v>0.8</v>
      </c>
      <c r="Y394" s="53" t="str">
        <f t="shared" si="13"/>
        <v>DEEP RECOVERY</v>
      </c>
      <c r="Z394" s="53">
        <f>IFERROR(__xludf.DUMMYFUNCTION("IFERROR(ROUND(((B394 / INDEX(GOOGLEFINANCE(TRIM(A394), ""price"", TODAY()-34, TODAY()), 2, 2)) - (GOOGLEFINANCE(""NIFTY_50"") / INDEX(GOOGLEFINANCE(""NIFTY_50"", ""price"", TODAY()-34, TODAY()), 2, 2))) * 100, 2), ""Check History"")"),0.03)</f>
        <v>0.03</v>
      </c>
      <c r="AA394" s="53" t="str">
        <f t="shared" si="14"/>
        <v>MILD RS</v>
      </c>
      <c r="AB394" s="53">
        <f>IFERROR(__xludf.DUMMYFUNCTION("IFERROR(LET(
  p, QUERY(GOOGLEFINANCE(TRIM(A394),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Loading"")"),41.2)</f>
        <v>41.2</v>
      </c>
      <c r="AC394" s="53" t="str">
        <f t="shared" si="15"/>
        <v>WEAK MOM</v>
      </c>
      <c r="AD394" s="53" t="str">
        <f>IFERROR(__xludf.DUMMYFUNCTION("IFERROR(IF(GOOGLEFINANCE(A394,""eps"")&gt;0,""EPS+"",""EPS-""),"""")"),"EPS+")</f>
        <v>EPS+</v>
      </c>
      <c r="AE394" s="53">
        <f t="shared" si="16"/>
        <v>7</v>
      </c>
      <c r="AF394" s="53">
        <f>IFERROR(__xludf.DUMMYFUNCTION("IFERROR(N394+IF(S394&gt;=1.2,1,0)+IF(U394&gt;=1,1,0)+IF(Z394&gt;0,1,0)+IF(AND(W394&gt;=-20,W394&lt;=0),1,0)+IF(IFERROR(GOOGLEFINANCE(A394,""eps""),0)&gt;0,1,0),"""")"),5.0)</f>
        <v>5</v>
      </c>
      <c r="AG394" s="53" t="str">
        <f t="shared" si="17"/>
        <v>REVERSE TRADE</v>
      </c>
    </row>
    <row r="395" ht="15.75" customHeight="1">
      <c r="A395" s="55" t="s">
        <v>562</v>
      </c>
      <c r="B395" s="44">
        <f>IFERROR(__xludf.DUMMYFUNCTION("GOOGLEFINANCE(A395,""price"")"),33.29)</f>
        <v>33.29</v>
      </c>
      <c r="C395" s="45">
        <f>IFERROR(__xludf.DUMMYFUNCTION("AVERAGE(QUERY(SORT(GOOGLEFINANCE(A395,""price"",TODAY()-150,TODAY()),1,0),""select Col2 limit 50""))"),39.3134)</f>
        <v>39.3134</v>
      </c>
      <c r="D395" s="45">
        <f>IFERROR(__xludf.DUMMYFUNCTION("AVERAGE(QUERY(SORT(GOOGLEFINANCE(A395,""price"",TODAY()-300,TODAY()),1,0),""select Col2 limit 100""))"),40.815000000000005)</f>
        <v>40.815</v>
      </c>
      <c r="E395" s="45">
        <f>IFERROR(__xludf.DUMMYFUNCTION("AVERAGE(QUERY(SORT(GOOGLEFINANCE(A395,""price"",TODAY()-500,TODAY()),1,0),""select Col2 limit 200""))"),41.07424999999999)</f>
        <v>41.07425</v>
      </c>
      <c r="F395" s="46" t="str">
        <f t="shared" si="1"/>
        <v>In Bear Run</v>
      </c>
      <c r="G395" s="47">
        <f t="shared" si="2"/>
        <v>-18.95165463</v>
      </c>
      <c r="H395" s="48" t="str">
        <f t="shared" si="3"/>
        <v>Inverted ✗</v>
      </c>
      <c r="I395" s="48">
        <f t="shared" si="4"/>
        <v>0</v>
      </c>
      <c r="J395" s="48">
        <f t="shared" si="5"/>
        <v>0</v>
      </c>
      <c r="K395" s="49" t="str">
        <f>IFERROR(__xludf.DUMMYFUNCTION("IFERROR(IF(A395="""",""ENTER STOCK"",LET(stock,A395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95" s="48">
        <f t="shared" si="6"/>
        <v>0</v>
      </c>
      <c r="M395" s="48">
        <f t="shared" si="7"/>
        <v>1</v>
      </c>
      <c r="N395" s="50">
        <f t="shared" si="8"/>
        <v>1</v>
      </c>
      <c r="P395" s="46" t="str">
        <f t="shared" si="9"/>
        <v>REVERSE TRADE</v>
      </c>
      <c r="Q395" s="52"/>
      <c r="R395" s="53">
        <f t="shared" si="10"/>
        <v>15</v>
      </c>
      <c r="S395" s="53">
        <f>IFERROR(__xludf.DUMMYFUNCTION("IFERROR(ROUND(GOOGLEFINANCE(A395,""volume"")/GOOGLEFINANCE(A395,""volumeavg""),2),"""")"),1.63)</f>
        <v>1.63</v>
      </c>
      <c r="T395" s="53" t="str">
        <f t="shared" si="11"/>
        <v>HIGH VOL</v>
      </c>
      <c r="U395" s="53">
        <f>IFERROR(__xludf.DUMMYFUNCTION("IFERROR(
  LET(
    sd, GOOGLEFINANCE(A395,""close"",TODAY()-100,TODAY()),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"""")"),1.25)</f>
        <v>1.25</v>
      </c>
      <c r="V395" s="53" t="str">
        <f t="shared" si="12"/>
        <v>FAST</v>
      </c>
      <c r="W395" s="53">
        <f>IFERROR(__xludf.DUMMYFUNCTION("IFERROR(ROUND((B395/GOOGLEFINANCE(A395,""high52"")-1)*100,1),"""")"),-33.0)</f>
        <v>-33</v>
      </c>
      <c r="X395" s="53">
        <f>IFERROR(__xludf.DUMMYFUNCTION("IFERROR(ROUND((B395-GOOGLEFINANCE(A395,""low52""))/(GOOGLEFINANCE(A395,""high52"")-GOOGLEFINANCE(A395,""low52""))*100,1),"""")"),6.6)</f>
        <v>6.6</v>
      </c>
      <c r="Y395" s="53" t="str">
        <f t="shared" si="13"/>
        <v>MID</v>
      </c>
      <c r="Z395" s="53">
        <f>IFERROR(__xludf.DUMMYFUNCTION("IFERROR(ROUND(((B395 / INDEX(GOOGLEFINANCE(TRIM(A395), ""price"", TODAY()-34, TODAY()), 2, 2)) - (GOOGLEFINANCE(""NIFTY_50"") / INDEX(GOOGLEFINANCE(""NIFTY_50"", ""price"", TODAY()-34, TODAY()), 2, 2))) * 100, 2), ""Check History"")"),-1.72)</f>
        <v>-1.72</v>
      </c>
      <c r="AA395" s="53" t="str">
        <f t="shared" si="14"/>
        <v>WEAK RS</v>
      </c>
      <c r="AB395" s="53">
        <f>IFERROR(__xludf.DUMMYFUNCTION("IFERROR(LET(
  p, QUERY(GOOGLEFINANCE(TRIM(A395),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Loading"")"),25.5)</f>
        <v>25.5</v>
      </c>
      <c r="AC395" s="53" t="str">
        <f t="shared" si="15"/>
        <v>WEAK MOM</v>
      </c>
      <c r="AD395" s="53" t="str">
        <f>IFERROR(__xludf.DUMMYFUNCTION("IFERROR(IF(GOOGLEFINANCE(A395,""eps"")&gt;0,""EPS+"",""EPS-""),"""")"),"EPS-")</f>
        <v>EPS-</v>
      </c>
      <c r="AE395" s="53">
        <f t="shared" si="16"/>
        <v>6</v>
      </c>
      <c r="AF395" s="53">
        <f>IFERROR(__xludf.DUMMYFUNCTION("IFERROR(N395+IF(S395&gt;=1.2,1,0)+IF(U395&gt;=1,1,0)+IF(Z395&gt;0,1,0)+IF(AND(W395&gt;=-20,W395&lt;=0),1,0)+IF(IFERROR(GOOGLEFINANCE(A395,""eps""),0)&gt;0,1,0),"""")"),3.0)</f>
        <v>3</v>
      </c>
      <c r="AG395" s="53" t="str">
        <f t="shared" si="17"/>
        <v>REVERSE TRADE</v>
      </c>
    </row>
    <row r="396" ht="15.75" customHeight="1">
      <c r="A396" s="55" t="s">
        <v>563</v>
      </c>
      <c r="B396" s="44">
        <f>IFERROR(__xludf.DUMMYFUNCTION("GOOGLEFINANCE(A396,""price"")"),1600.1)</f>
        <v>1600.1</v>
      </c>
      <c r="C396" s="45">
        <f>IFERROR(__xludf.DUMMYFUNCTION("AVERAGE(QUERY(SORT(GOOGLEFINANCE(A396,""price"",TODAY()-150,TODAY()),1,0),""select Col2 limit 50""))"),1765.796)</f>
        <v>1765.796</v>
      </c>
      <c r="D396" s="45">
        <f>IFERROR(__xludf.DUMMYFUNCTION("AVERAGE(QUERY(SORT(GOOGLEFINANCE(A396,""price"",TODAY()-300,TODAY()),1,0),""select Col2 limit 100""))"),1829.365)</f>
        <v>1829.365</v>
      </c>
      <c r="E396" s="45">
        <f>IFERROR(__xludf.DUMMYFUNCTION("AVERAGE(QUERY(SORT(GOOGLEFINANCE(A396,""price"",TODAY()-500,TODAY()),1,0),""select Col2 limit 200""))"),1841.387999999999)</f>
        <v>1841.388</v>
      </c>
      <c r="F396" s="46" t="str">
        <f t="shared" si="1"/>
        <v>In Bear Run</v>
      </c>
      <c r="G396" s="47">
        <f t="shared" si="2"/>
        <v>-13.10359359</v>
      </c>
      <c r="H396" s="48" t="str">
        <f t="shared" si="3"/>
        <v>Inverted ✗</v>
      </c>
      <c r="I396" s="48">
        <f t="shared" si="4"/>
        <v>0</v>
      </c>
      <c r="J396" s="48">
        <f t="shared" si="5"/>
        <v>0</v>
      </c>
      <c r="K396" s="49" t="str">
        <f>IFERROR(__xludf.DUMMYFUNCTION("IFERROR(IF(A396="""",""ENTER STOCK"",LET(stock,A396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96" s="48">
        <f t="shared" si="6"/>
        <v>0</v>
      </c>
      <c r="M396" s="48">
        <f t="shared" si="7"/>
        <v>1</v>
      </c>
      <c r="N396" s="50">
        <f t="shared" si="8"/>
        <v>1</v>
      </c>
      <c r="P396" s="46" t="str">
        <f t="shared" si="9"/>
        <v>REVERSE TRADE</v>
      </c>
      <c r="Q396" s="52"/>
      <c r="R396" s="53">
        <f t="shared" si="10"/>
        <v>15</v>
      </c>
      <c r="S396" s="53">
        <f>IFERROR(__xludf.DUMMYFUNCTION("IFERROR(ROUND(GOOGLEFINANCE(A396,""volume"")/GOOGLEFINANCE(A396,""volumeavg""),2),"""")"),1.08)</f>
        <v>1.08</v>
      </c>
      <c r="T396" s="53" t="str">
        <f t="shared" si="11"/>
        <v>LOW VOL</v>
      </c>
      <c r="U396" s="53">
        <f>IFERROR(__xludf.DUMMYFUNCTION("IFERROR(
  LET(
    sd, GOOGLEFINANCE(A396,""close"",TODAY()-100,TODAY()),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"""")"),0.86)</f>
        <v>0.86</v>
      </c>
      <c r="V396" s="53" t="str">
        <f t="shared" si="12"/>
        <v>SLOW</v>
      </c>
      <c r="W396" s="53">
        <f>IFERROR(__xludf.DUMMYFUNCTION("IFERROR(ROUND((B396/GOOGLEFINANCE(A396,""high52"")-1)*100,1),"""")"),-32.5)</f>
        <v>-32.5</v>
      </c>
      <c r="X396" s="53">
        <f>IFERROR(__xludf.DUMMYFUNCTION("IFERROR(ROUND((B396-GOOGLEFINANCE(A396,""low52""))/(GOOGLEFINANCE(A396,""high52"")-GOOGLEFINANCE(A396,""low52""))*100,1),"""")"),16.2)</f>
        <v>16.2</v>
      </c>
      <c r="Y396" s="53" t="str">
        <f t="shared" si="13"/>
        <v>MID</v>
      </c>
      <c r="Z396" s="53">
        <f>IFERROR(__xludf.DUMMYFUNCTION("IFERROR(ROUND(((B396 / INDEX(GOOGLEFINANCE(TRIM(A396), ""price"", TODAY()-34, TODAY()), 2, 2)) - (GOOGLEFINANCE(""NIFTY_50"") / INDEX(GOOGLEFINANCE(""NIFTY_50"", ""price"", TODAY()-34, TODAY()), 2, 2))) * 100, 2), ""Check History"")"),0.04)</f>
        <v>0.04</v>
      </c>
      <c r="AA396" s="53" t="str">
        <f t="shared" si="14"/>
        <v>MILD RS</v>
      </c>
      <c r="AB396" s="53">
        <f>IFERROR(__xludf.DUMMYFUNCTION("IFERROR(LET(
  p, QUERY(GOOGLEFINANCE(TRIM(A396),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Loading"")"),45.4)</f>
        <v>45.4</v>
      </c>
      <c r="AC396" s="53" t="str">
        <f t="shared" si="15"/>
        <v>IDEAL ENTRY</v>
      </c>
      <c r="AD396" s="53" t="str">
        <f>IFERROR(__xludf.DUMMYFUNCTION("IFERROR(IF(GOOGLEFINANCE(A396,""eps"")&gt;0,""EPS+"",""EPS-""),"""")"),"EPS+")</f>
        <v>EPS+</v>
      </c>
      <c r="AE396" s="53">
        <f t="shared" si="16"/>
        <v>3</v>
      </c>
      <c r="AF396" s="53">
        <f>IFERROR(__xludf.DUMMYFUNCTION("IFERROR(N396+IF(S396&gt;=1.2,1,0)+IF(U396&gt;=1,1,0)+IF(Z396&gt;0,1,0)+IF(AND(W396&gt;=-20,W396&lt;=0),1,0)+IF(IFERROR(GOOGLEFINANCE(A396,""eps""),0)&gt;0,1,0),"""")"),3.0)</f>
        <v>3</v>
      </c>
      <c r="AG396" s="53" t="str">
        <f t="shared" si="17"/>
        <v>REVERSE TRADE</v>
      </c>
    </row>
    <row r="397" ht="15.75" customHeight="1">
      <c r="A397" s="55" t="s">
        <v>564</v>
      </c>
      <c r="B397" s="44">
        <f>IFERROR(__xludf.DUMMYFUNCTION("GOOGLEFINANCE(A397,""price"")"),533.95)</f>
        <v>533.95</v>
      </c>
      <c r="C397" s="45">
        <f>IFERROR(__xludf.DUMMYFUNCTION("AVERAGE(QUERY(SORT(GOOGLEFINANCE(A397,""price"",TODAY()-150,TODAY()),1,0),""select Col2 limit 50""))"),560.595)</f>
        <v>560.595</v>
      </c>
      <c r="D397" s="45">
        <f>IFERROR(__xludf.DUMMYFUNCTION("AVERAGE(QUERY(SORT(GOOGLEFINANCE(A397,""price"",TODAY()-300,TODAY()),1,0),""select Col2 limit 100""))"),558.6775000000001)</f>
        <v>558.6775</v>
      </c>
      <c r="E397" s="45">
        <f>IFERROR(__xludf.DUMMYFUNCTION("AVERAGE(QUERY(SORT(GOOGLEFINANCE(A397,""price"",TODAY()-500,TODAY()),1,0),""select Col2 limit 200""))"),593.2577500000002)</f>
        <v>593.25775</v>
      </c>
      <c r="F397" s="46" t="str">
        <f t="shared" si="1"/>
        <v>In Bear Run</v>
      </c>
      <c r="G397" s="47">
        <f t="shared" si="2"/>
        <v>-9.996961692</v>
      </c>
      <c r="H397" s="48" t="str">
        <f t="shared" si="3"/>
        <v>Inverted ✗</v>
      </c>
      <c r="I397" s="48">
        <f t="shared" si="4"/>
        <v>0</v>
      </c>
      <c r="J397" s="48">
        <f t="shared" si="5"/>
        <v>0</v>
      </c>
      <c r="K397" s="49" t="str">
        <f>IFERROR(__xludf.DUMMYFUNCTION("IFERROR(IF(A397="""",""ENTER STOCK"",LET(stock,A397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97" s="48">
        <f t="shared" si="6"/>
        <v>0</v>
      </c>
      <c r="M397" s="48">
        <f t="shared" si="7"/>
        <v>1</v>
      </c>
      <c r="N397" s="50">
        <f t="shared" si="8"/>
        <v>1</v>
      </c>
      <c r="P397" s="46" t="str">
        <f t="shared" si="9"/>
        <v>REVERSE TRADE</v>
      </c>
      <c r="Q397" s="52"/>
      <c r="R397" s="53">
        <f t="shared" si="10"/>
        <v>15</v>
      </c>
      <c r="S397" s="53">
        <f>IFERROR(__xludf.DUMMYFUNCTION("IFERROR(ROUND(GOOGLEFINANCE(A397,""volume"")/GOOGLEFINANCE(A397,""volumeavg""),2),"""")"),0.98)</f>
        <v>0.98</v>
      </c>
      <c r="T397" s="53" t="str">
        <f t="shared" si="11"/>
        <v>LOW VOL</v>
      </c>
      <c r="U397" s="53">
        <f>IFERROR(__xludf.DUMMYFUNCTION("IFERROR(
  LET(
    sd, GOOGLEFINANCE(A397,""close"",TODAY()-100,TODAY()),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"""")"),1.46)</f>
        <v>1.46</v>
      </c>
      <c r="V397" s="53" t="str">
        <f t="shared" si="12"/>
        <v>FAST</v>
      </c>
      <c r="W397" s="53">
        <f>IFERROR(__xludf.DUMMYFUNCTION("IFERROR(ROUND((B397/GOOGLEFINANCE(A397,""high52"")-1)*100,1),"""")"),-27.4)</f>
        <v>-27.4</v>
      </c>
      <c r="X397" s="53">
        <f>IFERROR(__xludf.DUMMYFUNCTION("IFERROR(ROUND((B397-GOOGLEFINANCE(A397,""low52""))/(GOOGLEFINANCE(A397,""high52"")-GOOGLEFINANCE(A397,""low52""))*100,1),"""")"),40.6)</f>
        <v>40.6</v>
      </c>
      <c r="Y397" s="53" t="str">
        <f t="shared" si="13"/>
        <v>MID</v>
      </c>
      <c r="Z397" s="53">
        <f>IFERROR(__xludf.DUMMYFUNCTION("IFERROR(ROUND(((B397 / INDEX(GOOGLEFINANCE(TRIM(A397), ""price"", TODAY()-34, TODAY()), 2, 2)) - (GOOGLEFINANCE(""NIFTY_50"") / INDEX(GOOGLEFINANCE(""NIFTY_50"", ""price"", TODAY()-34, TODAY()), 2, 2))) * 100, 2), ""Check History"")"),4.61)</f>
        <v>4.61</v>
      </c>
      <c r="AA397" s="53" t="str">
        <f t="shared" si="14"/>
        <v>MILD RS</v>
      </c>
      <c r="AB397" s="53">
        <f>IFERROR(__xludf.DUMMYFUNCTION("IFERROR(LET(
  p, QUERY(GOOGLEFINANCE(TRIM(A397),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Loading"")"),39.5)</f>
        <v>39.5</v>
      </c>
      <c r="AC397" s="53" t="str">
        <f t="shared" si="15"/>
        <v>WEAK MOM</v>
      </c>
      <c r="AD397" s="53" t="str">
        <f>IFERROR(__xludf.DUMMYFUNCTION("IFERROR(IF(GOOGLEFINANCE(A397,""eps"")&gt;0,""EPS+"",""EPS-""),"""")"),"EPS+")</f>
        <v>EPS+</v>
      </c>
      <c r="AE397" s="53">
        <f t="shared" si="16"/>
        <v>4</v>
      </c>
      <c r="AF397" s="53">
        <f>IFERROR(__xludf.DUMMYFUNCTION("IFERROR(N397+IF(S397&gt;=1.2,1,0)+IF(U397&gt;=1,1,0)+IF(Z397&gt;0,1,0)+IF(AND(W397&gt;=-20,W397&lt;=0),1,0)+IF(IFERROR(GOOGLEFINANCE(A397,""eps""),0)&gt;0,1,0),"""")"),4.0)</f>
        <v>4</v>
      </c>
      <c r="AG397" s="53" t="str">
        <f t="shared" si="17"/>
        <v>REVERSE TRADE</v>
      </c>
    </row>
    <row r="398" ht="15.75" customHeight="1">
      <c r="A398" s="55" t="s">
        <v>565</v>
      </c>
      <c r="B398" s="44">
        <f>IFERROR(__xludf.DUMMYFUNCTION("GOOGLEFINANCE(A398,""price"")"),6166.0)</f>
        <v>6166</v>
      </c>
      <c r="C398" s="45">
        <f>IFERROR(__xludf.DUMMYFUNCTION("AVERAGE(QUERY(SORT(GOOGLEFINANCE(A398,""price"",TODAY()-150,TODAY()),1,0),""select Col2 limit 50""))"),6241.0)</f>
        <v>6241</v>
      </c>
      <c r="D398" s="45">
        <f>IFERROR(__xludf.DUMMYFUNCTION("AVERAGE(QUERY(SORT(GOOGLEFINANCE(A398,""price"",TODAY()-300,TODAY()),1,0),""select Col2 limit 100""))"),6072.56)</f>
        <v>6072.56</v>
      </c>
      <c r="E398" s="45">
        <f>IFERROR(__xludf.DUMMYFUNCTION("AVERAGE(QUERY(SORT(GOOGLEFINANCE(A398,""price"",TODAY()-500,TODAY()),1,0),""select Col2 limit 200""))"),5467.123999999998)</f>
        <v>5467.124</v>
      </c>
      <c r="F398" s="46" t="str">
        <f t="shared" si="1"/>
        <v>Unconfirmed</v>
      </c>
      <c r="G398" s="47">
        <f t="shared" si="2"/>
        <v>12.78324765</v>
      </c>
      <c r="H398" s="48" t="str">
        <f t="shared" si="3"/>
        <v>Golden ✓</v>
      </c>
      <c r="I398" s="48">
        <f t="shared" si="4"/>
        <v>3</v>
      </c>
      <c r="J398" s="48">
        <f t="shared" si="5"/>
        <v>0</v>
      </c>
      <c r="K398" s="49" t="str">
        <f>IFERROR(__xludf.DUMMYFUNCTION("IFERROR(IF(A398="""",""ENTER STOCK"",LET(stock,A398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98" s="48">
        <f t="shared" si="6"/>
        <v>0</v>
      </c>
      <c r="M398" s="48">
        <f t="shared" si="7"/>
        <v>1</v>
      </c>
      <c r="N398" s="50">
        <f t="shared" si="8"/>
        <v>4</v>
      </c>
      <c r="P398" s="46" t="str">
        <f t="shared" si="9"/>
        <v>WAIT</v>
      </c>
      <c r="Q398" s="52"/>
      <c r="R398" s="53">
        <f t="shared" si="10"/>
        <v>15</v>
      </c>
      <c r="S398" s="53">
        <f>IFERROR(__xludf.DUMMYFUNCTION("IFERROR(ROUND(GOOGLEFINANCE(A398,""volume"")/GOOGLEFINANCE(A398,""volumeavg""),2),"""")"),1.09)</f>
        <v>1.09</v>
      </c>
      <c r="T398" s="53" t="str">
        <f t="shared" si="11"/>
        <v>LOW VOL</v>
      </c>
      <c r="U398" s="53">
        <f>IFERROR(__xludf.DUMMYFUNCTION("IFERROR(
  LET(
    sd, GOOGLEFINANCE(A398,""close"",TODAY()-100,TODAY()),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"""")"),1.36)</f>
        <v>1.36</v>
      </c>
      <c r="V398" s="53" t="str">
        <f t="shared" si="12"/>
        <v>FAST</v>
      </c>
      <c r="W398" s="53">
        <f>IFERROR(__xludf.DUMMYFUNCTION("IFERROR(ROUND((B398/GOOGLEFINANCE(A398,""high52"")-1)*100,1),"""")"),-11.5)</f>
        <v>-11.5</v>
      </c>
      <c r="X398" s="53">
        <f>IFERROR(__xludf.DUMMYFUNCTION("IFERROR(ROUND((B398-GOOGLEFINANCE(A398,""low52""))/(GOOGLEFINANCE(A398,""high52"")-GOOGLEFINANCE(A398,""low52""))*100,1),"""")"),75.7)</f>
        <v>75.7</v>
      </c>
      <c r="Y398" s="53" t="str">
        <f t="shared" si="13"/>
        <v>UPPER</v>
      </c>
      <c r="Z398" s="53">
        <f>IFERROR(__xludf.DUMMYFUNCTION("IFERROR(ROUND(((B398 / INDEX(GOOGLEFINANCE(TRIM(A398), ""price"", TODAY()-34, TODAY()), 2, 2)) - (GOOGLEFINANCE(""NIFTY_50"") / INDEX(GOOGLEFINANCE(""NIFTY_50"", ""price"", TODAY()-34, TODAY()), 2, 2))) * 100, 2), ""Check History"")"),9.61)</f>
        <v>9.61</v>
      </c>
      <c r="AA398" s="53" t="str">
        <f t="shared" si="14"/>
        <v>STRONG RS</v>
      </c>
      <c r="AB398" s="53">
        <f>IFERROR(__xludf.DUMMYFUNCTION("IFERROR(LET(
  p, QUERY(GOOGLEFINANCE(TRIM(A398),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Loading"")"),50.7)</f>
        <v>50.7</v>
      </c>
      <c r="AC398" s="53" t="str">
        <f t="shared" si="15"/>
        <v>IDEAL ENTRY</v>
      </c>
      <c r="AD398" s="53" t="str">
        <f>IFERROR(__xludf.DUMMYFUNCTION("IFERROR(IF(GOOGLEFINANCE(A398,""eps"")&gt;0,""EPS+"",""EPS-""),"""")"),"EPS+")</f>
        <v>EPS+</v>
      </c>
      <c r="AE398" s="53">
        <f t="shared" si="16"/>
        <v>8</v>
      </c>
      <c r="AF398" s="53">
        <f>IFERROR(__xludf.DUMMYFUNCTION("IFERROR(N398+IF(S398&gt;=1.2,1,0)+IF(U398&gt;=1,1,0)+IF(Z398&gt;0,1,0)+IF(AND(W398&gt;=-20,W398&lt;=0),1,0)+IF(IFERROR(GOOGLEFINANCE(A398,""eps""),0)&gt;0,1,0),"""")"),8.0)</f>
        <v>8</v>
      </c>
      <c r="AG398" s="53" t="str">
        <f t="shared" si="17"/>
        <v>WAIT</v>
      </c>
    </row>
    <row r="399" ht="15.75" customHeight="1">
      <c r="A399" s="55" t="s">
        <v>566</v>
      </c>
      <c r="B399" s="44">
        <f>IFERROR(__xludf.DUMMYFUNCTION("GOOGLEFINANCE(A399,""price"")"),3088.9)</f>
        <v>3088.9</v>
      </c>
      <c r="C399" s="45">
        <f>IFERROR(__xludf.DUMMYFUNCTION("AVERAGE(QUERY(SORT(GOOGLEFINANCE(A399,""price"",TODAY()-150,TODAY()),1,0),""select Col2 limit 50""))"),3271.9079999999994)</f>
        <v>3271.908</v>
      </c>
      <c r="D399" s="45">
        <f>IFERROR(__xludf.DUMMYFUNCTION("AVERAGE(QUERY(SORT(GOOGLEFINANCE(A399,""price"",TODAY()-300,TODAY()),1,0),""select Col2 limit 100""))"),3274.946)</f>
        <v>3274.946</v>
      </c>
      <c r="E399" s="45">
        <f>IFERROR(__xludf.DUMMYFUNCTION("AVERAGE(QUERY(SORT(GOOGLEFINANCE(A399,""price"",TODAY()-500,TODAY()),1,0),""select Col2 limit 200""))"),2958.6659999999997)</f>
        <v>2958.666</v>
      </c>
      <c r="F399" s="46" t="str">
        <f t="shared" si="1"/>
        <v>Unconfirmed</v>
      </c>
      <c r="G399" s="47">
        <f t="shared" si="2"/>
        <v>4.401781073</v>
      </c>
      <c r="H399" s="48" t="str">
        <f t="shared" si="3"/>
        <v>Inverted ✗</v>
      </c>
      <c r="I399" s="48">
        <f t="shared" si="4"/>
        <v>0</v>
      </c>
      <c r="J399" s="48">
        <f t="shared" si="5"/>
        <v>4</v>
      </c>
      <c r="K399" s="49" t="str">
        <f>IFERROR(__xludf.DUMMYFUNCTION("IFERROR(IF(A399="""",""ENTER STOCK"",LET(stock,A399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399" s="48">
        <f t="shared" si="6"/>
        <v>0</v>
      </c>
      <c r="M399" s="48">
        <f t="shared" si="7"/>
        <v>1</v>
      </c>
      <c r="N399" s="50">
        <f t="shared" si="8"/>
        <v>5</v>
      </c>
      <c r="P399" s="46" t="str">
        <f t="shared" si="9"/>
        <v>WAIT</v>
      </c>
      <c r="Q399" s="52"/>
      <c r="R399" s="53">
        <f t="shared" si="10"/>
        <v>15</v>
      </c>
      <c r="S399" s="53">
        <f>IFERROR(__xludf.DUMMYFUNCTION("IFERROR(ROUND(GOOGLEFINANCE(A399,""volume"")/GOOGLEFINANCE(A399,""volumeavg""),2),"""")"),0.33)</f>
        <v>0.33</v>
      </c>
      <c r="T399" s="53" t="str">
        <f t="shared" si="11"/>
        <v>LOW VOL</v>
      </c>
      <c r="U399" s="53">
        <f>IFERROR(__xludf.DUMMYFUNCTION("IFERROR(
  LET(
    sd, GOOGLEFINANCE(A399,""close"",TODAY()-100,TODAY()),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"""")"),0.94)</f>
        <v>0.94</v>
      </c>
      <c r="V399" s="53" t="str">
        <f t="shared" si="12"/>
        <v>MEDIUM</v>
      </c>
      <c r="W399" s="53">
        <f>IFERROR(__xludf.DUMMYFUNCTION("IFERROR(ROUND((B399/GOOGLEFINANCE(A399,""high52"")-1)*100,1),"""")"),-31.0)</f>
        <v>-31</v>
      </c>
      <c r="X399" s="53">
        <f>IFERROR(__xludf.DUMMYFUNCTION("IFERROR(ROUND((B399-GOOGLEFINANCE(A399,""low52""))/(GOOGLEFINANCE(A399,""high52"")-GOOGLEFINANCE(A399,""low52""))*100,1),"""")"),56.9)</f>
        <v>56.9</v>
      </c>
      <c r="Y399" s="53" t="str">
        <f t="shared" si="13"/>
        <v>MID</v>
      </c>
      <c r="Z399" s="53">
        <f>IFERROR(__xludf.DUMMYFUNCTION("IFERROR(ROUND(((B399 / INDEX(GOOGLEFINANCE(TRIM(A399), ""price"", TODAY()-34, TODAY()), 2, 2)) - (GOOGLEFINANCE(""NIFTY_50"") / INDEX(GOOGLEFINANCE(""NIFTY_50"", ""price"", TODAY()-34, TODAY()), 2, 2))) * 100, 2), ""Check History"")"),-1.14)</f>
        <v>-1.14</v>
      </c>
      <c r="AA399" s="53" t="str">
        <f t="shared" si="14"/>
        <v>WEAK RS</v>
      </c>
      <c r="AB399" s="53">
        <f>IFERROR(__xludf.DUMMYFUNCTION("IFERROR(LET(
  p, QUERY(GOOGLEFINANCE(TRIM(A399),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Loading"")"),52.1)</f>
        <v>52.1</v>
      </c>
      <c r="AC399" s="53" t="str">
        <f t="shared" si="15"/>
        <v>IDEAL ENTRY</v>
      </c>
      <c r="AD399" s="53" t="str">
        <f>IFERROR(__xludf.DUMMYFUNCTION("IFERROR(IF(GOOGLEFINANCE(A399,""eps"")&gt;0,""EPS+"",""EPS-""),"""")"),"EPS+")</f>
        <v>EPS+</v>
      </c>
      <c r="AE399" s="53">
        <f t="shared" si="16"/>
        <v>3</v>
      </c>
      <c r="AF399" s="53">
        <f>IFERROR(__xludf.DUMMYFUNCTION("IFERROR(N399+IF(S399&gt;=1.2,1,0)+IF(U399&gt;=1,1,0)+IF(Z399&gt;0,1,0)+IF(AND(W399&gt;=-20,W399&lt;=0),1,0)+IF(IFERROR(GOOGLEFINANCE(A399,""eps""),0)&gt;0,1,0),"""")"),6.0)</f>
        <v>6</v>
      </c>
      <c r="AG399" s="53" t="str">
        <f t="shared" si="17"/>
        <v>WAIT</v>
      </c>
    </row>
    <row r="400" ht="15.75" customHeight="1">
      <c r="A400" s="55" t="s">
        <v>567</v>
      </c>
      <c r="B400" s="44">
        <f>IFERROR(__xludf.DUMMYFUNCTION("GOOGLEFINANCE(A400,""price"")"),403.55)</f>
        <v>403.55</v>
      </c>
      <c r="C400" s="45">
        <f>IFERROR(__xludf.DUMMYFUNCTION("AVERAGE(QUERY(SORT(GOOGLEFINANCE(A400,""price"",TODAY()-150,TODAY()),1,0),""select Col2 limit 50""))"),527.234)</f>
        <v>527.234</v>
      </c>
      <c r="D400" s="45">
        <f>IFERROR(__xludf.DUMMYFUNCTION("AVERAGE(QUERY(SORT(GOOGLEFINANCE(A400,""price"",TODAY()-300,TODAY()),1,0),""select Col2 limit 100""))"),701.3855)</f>
        <v>701.3855</v>
      </c>
      <c r="E400" s="45">
        <f>IFERROR(__xludf.DUMMYFUNCTION("AVERAGE(QUERY(SORT(GOOGLEFINANCE(A400,""price"",TODAY()-500,TODAY()),1,0),""select Col2 limit 200""))"),831.7114999999999)</f>
        <v>831.7115</v>
      </c>
      <c r="F400" s="46" t="str">
        <f t="shared" si="1"/>
        <v>In Bear Run</v>
      </c>
      <c r="G400" s="47">
        <f t="shared" si="2"/>
        <v>-51.47956954</v>
      </c>
      <c r="H400" s="48" t="str">
        <f t="shared" si="3"/>
        <v>Inverted ✗</v>
      </c>
      <c r="I400" s="48">
        <f t="shared" si="4"/>
        <v>0</v>
      </c>
      <c r="J400" s="48">
        <f t="shared" si="5"/>
        <v>0</v>
      </c>
      <c r="K400" s="49" t="str">
        <f>IFERROR(__xludf.DUMMYFUNCTION("IFERROR(IF(A400="""",""ENTER STOCK"",LET(stock,A400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00" s="48">
        <f t="shared" si="6"/>
        <v>0</v>
      </c>
      <c r="M400" s="48">
        <f t="shared" si="7"/>
        <v>1</v>
      </c>
      <c r="N400" s="50">
        <f t="shared" si="8"/>
        <v>1</v>
      </c>
      <c r="P400" s="46" t="str">
        <f t="shared" si="9"/>
        <v>REVERSE TRADE</v>
      </c>
      <c r="Q400" s="52"/>
      <c r="R400" s="53">
        <f t="shared" si="10"/>
        <v>15</v>
      </c>
      <c r="S400" s="53">
        <f>IFERROR(__xludf.DUMMYFUNCTION("IFERROR(ROUND(GOOGLEFINANCE(A400,""volume"")/GOOGLEFINANCE(A400,""volumeavg""),2),"""")"),0.14)</f>
        <v>0.14</v>
      </c>
      <c r="T400" s="53" t="str">
        <f t="shared" si="11"/>
        <v>LOW VOL</v>
      </c>
      <c r="U400" s="53">
        <f>IFERROR(__xludf.DUMMYFUNCTION("IFERROR(
  LET(
    sd, GOOGLEFINANCE(A400,""close"",TODAY()-100,TODAY()),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"""")"),1.09)</f>
        <v>1.09</v>
      </c>
      <c r="V400" s="53" t="str">
        <f t="shared" si="12"/>
        <v>MEDIUM</v>
      </c>
      <c r="W400" s="53">
        <f>IFERROR(__xludf.DUMMYFUNCTION("IFERROR(ROUND((B400/GOOGLEFINANCE(A400,""high52"")-1)*100,1),"""")"),-70.7)</f>
        <v>-70.7</v>
      </c>
      <c r="X400" s="53">
        <f>IFERROR(__xludf.DUMMYFUNCTION("IFERROR(ROUND((B400-GOOGLEFINANCE(A400,""low52""))/(GOOGLEFINANCE(A400,""high52"")-GOOGLEFINANCE(A400,""low52""))*100,1),"""")"),0.3)</f>
        <v>0.3</v>
      </c>
      <c r="Y400" s="53" t="str">
        <f t="shared" si="13"/>
        <v>DEEP RECOVERY</v>
      </c>
      <c r="Z400" s="53">
        <f>IFERROR(__xludf.DUMMYFUNCTION("IFERROR(ROUND(((B400 / INDEX(GOOGLEFINANCE(TRIM(A400), ""price"", TODAY()-34, TODAY()), 2, 2)) - (GOOGLEFINANCE(""NIFTY_50"") / INDEX(GOOGLEFINANCE(""NIFTY_50"", ""price"", TODAY()-34, TODAY()), 2, 2))) * 100, 2), ""Check History"")"),-9.31)</f>
        <v>-9.31</v>
      </c>
      <c r="AA400" s="53" t="str">
        <f t="shared" si="14"/>
        <v>WEAK RS</v>
      </c>
      <c r="AB400" s="53">
        <f>IFERROR(__xludf.DUMMYFUNCTION("IFERROR(LET(
  p, QUERY(GOOGLEFINANCE(TRIM(A400),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Loading"")"),37.2)</f>
        <v>37.2</v>
      </c>
      <c r="AC400" s="53" t="str">
        <f t="shared" si="15"/>
        <v>WEAK MOM</v>
      </c>
      <c r="AD400" s="53" t="str">
        <f>IFERROR(__xludf.DUMMYFUNCTION("IFERROR(IF(GOOGLEFINANCE(A400,""eps"")&gt;0,""EPS+"",""EPS-""),"""")"),"EPS+")</f>
        <v>EPS+</v>
      </c>
      <c r="AE400" s="53">
        <f t="shared" si="16"/>
        <v>2</v>
      </c>
      <c r="AF400" s="53">
        <f>IFERROR(__xludf.DUMMYFUNCTION("IFERROR(N400+IF(S400&gt;=1.2,1,0)+IF(U400&gt;=1,1,0)+IF(Z400&gt;0,1,0)+IF(AND(W400&gt;=-20,W400&lt;=0),1,0)+IF(IFERROR(GOOGLEFINANCE(A400,""eps""),0)&gt;0,1,0),"""")"),3.0)</f>
        <v>3</v>
      </c>
      <c r="AG400" s="53" t="str">
        <f t="shared" si="17"/>
        <v>REVERSE TRADE</v>
      </c>
    </row>
    <row r="401" ht="15.75" customHeight="1">
      <c r="A401" s="55" t="s">
        <v>568</v>
      </c>
      <c r="B401" s="44">
        <f>IFERROR(__xludf.DUMMYFUNCTION("GOOGLEFINANCE(A401,""price"")"),70.7)</f>
        <v>70.7</v>
      </c>
      <c r="C401" s="45">
        <f>IFERROR(__xludf.DUMMYFUNCTION("AVERAGE(QUERY(SORT(GOOGLEFINANCE(A401,""price"",TODAY()-150,TODAY()),1,0),""select Col2 limit 50""))"),74.92519999999999)</f>
        <v>74.9252</v>
      </c>
      <c r="D401" s="45">
        <f>IFERROR(__xludf.DUMMYFUNCTION("AVERAGE(QUERY(SORT(GOOGLEFINANCE(A401,""price"",TODAY()-300,TODAY()),1,0),""select Col2 limit 100""))"),75.30809999999998)</f>
        <v>75.3081</v>
      </c>
      <c r="E401" s="45">
        <f>IFERROR(__xludf.DUMMYFUNCTION("AVERAGE(QUERY(SORT(GOOGLEFINANCE(A401,""price"",TODAY()-500,TODAY()),1,0),""select Col2 limit 200""))"),78.70455000000001)</f>
        <v>78.70455</v>
      </c>
      <c r="F401" s="46" t="str">
        <f t="shared" si="1"/>
        <v>In Bear Run</v>
      </c>
      <c r="G401" s="47">
        <f t="shared" si="2"/>
        <v>-10.1703777</v>
      </c>
      <c r="H401" s="48" t="str">
        <f t="shared" si="3"/>
        <v>Inverted ✗</v>
      </c>
      <c r="I401" s="48">
        <f t="shared" si="4"/>
        <v>0</v>
      </c>
      <c r="J401" s="48">
        <f t="shared" si="5"/>
        <v>0</v>
      </c>
      <c r="K401" s="49" t="str">
        <f>IFERROR(__xludf.DUMMYFUNCTION("IFERROR(IF(A401="""",""ENTER STOCK"",LET(stock,A401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01" s="48">
        <f t="shared" si="6"/>
        <v>0</v>
      </c>
      <c r="M401" s="48">
        <f t="shared" si="7"/>
        <v>1</v>
      </c>
      <c r="N401" s="50">
        <f t="shared" si="8"/>
        <v>1</v>
      </c>
      <c r="P401" s="46" t="str">
        <f t="shared" si="9"/>
        <v>REVERSE TRADE</v>
      </c>
      <c r="Q401" s="52"/>
      <c r="R401" s="53">
        <f t="shared" si="10"/>
        <v>15</v>
      </c>
      <c r="S401" s="53">
        <f>IFERROR(__xludf.DUMMYFUNCTION("IFERROR(ROUND(GOOGLEFINANCE(A401,""volume"")/GOOGLEFINANCE(A401,""volumeavg""),2),"""")"),1.3)</f>
        <v>1.3</v>
      </c>
      <c r="T401" s="53" t="str">
        <f t="shared" si="11"/>
        <v>OK VOL</v>
      </c>
      <c r="U401" s="53">
        <f>IFERROR(__xludf.DUMMYFUNCTION("IFERROR(
  LET(
    sd, GOOGLEFINANCE(A401,""close"",TODAY()-100,TODAY()),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"""")"),0.41)</f>
        <v>0.41</v>
      </c>
      <c r="V401" s="53" t="str">
        <f t="shared" si="12"/>
        <v>SLOW</v>
      </c>
      <c r="W401" s="53">
        <f>IFERROR(__xludf.DUMMYFUNCTION("IFERROR(ROUND((B401/GOOGLEFINANCE(A401,""high52"")-1)*100,1),"""")"),-25.7)</f>
        <v>-25.7</v>
      </c>
      <c r="X401" s="53">
        <f>IFERROR(__xludf.DUMMYFUNCTION("IFERROR(ROUND((B401-GOOGLEFINANCE(A401,""low52""))/(GOOGLEFINANCE(A401,""high52"")-GOOGLEFINANCE(A401,""low52""))*100,1),"""")"),11.5)</f>
        <v>11.5</v>
      </c>
      <c r="Y401" s="53" t="str">
        <f t="shared" si="13"/>
        <v>MID</v>
      </c>
      <c r="Z401" s="53">
        <f>IFERROR(__xludf.DUMMYFUNCTION("IFERROR(ROUND(((B401 / INDEX(GOOGLEFINANCE(TRIM(A401), ""price"", TODAY()-34, TODAY()), 2, 2)) - (GOOGLEFINANCE(""NIFTY_50"") / INDEX(GOOGLEFINANCE(""NIFTY_50"", ""price"", TODAY()-34, TODAY()), 2, 2))) * 100, 2), ""Check History"")"),4.58)</f>
        <v>4.58</v>
      </c>
      <c r="AA401" s="53" t="str">
        <f t="shared" si="14"/>
        <v>MILD RS</v>
      </c>
      <c r="AB401" s="53">
        <f>IFERROR(__xludf.DUMMYFUNCTION("IFERROR(LET(
  p, QUERY(GOOGLEFINANCE(TRIM(A401),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Loading"")"),50.7)</f>
        <v>50.7</v>
      </c>
      <c r="AC401" s="53" t="str">
        <f t="shared" si="15"/>
        <v>IDEAL ENTRY</v>
      </c>
      <c r="AD401" s="53" t="str">
        <f>IFERROR(__xludf.DUMMYFUNCTION("IFERROR(IF(GOOGLEFINANCE(A401,""eps"")&gt;0,""EPS+"",""EPS-""),"""")"),"EPS+")</f>
        <v>EPS+</v>
      </c>
      <c r="AE401" s="53">
        <f t="shared" si="16"/>
        <v>3</v>
      </c>
      <c r="AF401" s="53">
        <f>IFERROR(__xludf.DUMMYFUNCTION("IFERROR(N401+IF(S401&gt;=1.2,1,0)+IF(U401&gt;=1,1,0)+IF(Z401&gt;0,1,0)+IF(AND(W401&gt;=-20,W401&lt;=0),1,0)+IF(IFERROR(GOOGLEFINANCE(A401,""eps""),0)&gt;0,1,0),"""")"),4.0)</f>
        <v>4</v>
      </c>
      <c r="AG401" s="53" t="str">
        <f t="shared" si="17"/>
        <v>REVERSE TRADE</v>
      </c>
    </row>
    <row r="402" ht="15.75" customHeight="1">
      <c r="A402" s="55" t="s">
        <v>569</v>
      </c>
      <c r="B402" s="44">
        <f>IFERROR(__xludf.DUMMYFUNCTION("GOOGLEFINANCE(A402,""price"")"),1125.0)</f>
        <v>1125</v>
      </c>
      <c r="C402" s="45">
        <f>IFERROR(__xludf.DUMMYFUNCTION("AVERAGE(QUERY(SORT(GOOGLEFINANCE(A402,""price"",TODAY()-150,TODAY()),1,0),""select Col2 limit 50""))"),1277.9899999999998)</f>
        <v>1277.99</v>
      </c>
      <c r="D402" s="45">
        <f>IFERROR(__xludf.DUMMYFUNCTION("AVERAGE(QUERY(SORT(GOOGLEFINANCE(A402,""price"",TODAY()-300,TODAY()),1,0),""select Col2 limit 100""))"),1365.859)</f>
        <v>1365.859</v>
      </c>
      <c r="E402" s="45">
        <f>IFERROR(__xludf.DUMMYFUNCTION("AVERAGE(QUERY(SORT(GOOGLEFINANCE(A402,""price"",TODAY()-500,TODAY()),1,0),""select Col2 limit 200""))"),1387.0860000000002)</f>
        <v>1387.086</v>
      </c>
      <c r="F402" s="46" t="str">
        <f t="shared" si="1"/>
        <v>In Bear Run</v>
      </c>
      <c r="G402" s="47">
        <f t="shared" si="2"/>
        <v>-18.89471886</v>
      </c>
      <c r="H402" s="48" t="str">
        <f t="shared" si="3"/>
        <v>Inverted ✗</v>
      </c>
      <c r="I402" s="48">
        <f t="shared" si="4"/>
        <v>0</v>
      </c>
      <c r="J402" s="48">
        <f t="shared" si="5"/>
        <v>0</v>
      </c>
      <c r="K402" s="49" t="str">
        <f>IFERROR(__xludf.DUMMYFUNCTION("IFERROR(IF(A402="""",""ENTER STOCK"",LET(stock,A402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02" s="48">
        <f t="shared" si="6"/>
        <v>0</v>
      </c>
      <c r="M402" s="48">
        <f t="shared" si="7"/>
        <v>1</v>
      </c>
      <c r="N402" s="50">
        <f t="shared" si="8"/>
        <v>1</v>
      </c>
      <c r="P402" s="46" t="str">
        <f t="shared" si="9"/>
        <v>REVERSE TRADE</v>
      </c>
      <c r="Q402" s="52"/>
      <c r="R402" s="53">
        <f t="shared" si="10"/>
        <v>15</v>
      </c>
      <c r="S402" s="53">
        <f>IFERROR(__xludf.DUMMYFUNCTION("IFERROR(ROUND(GOOGLEFINANCE(A402,""volume"")/GOOGLEFINANCE(A402,""volumeavg""),2),"""")"),1.97)</f>
        <v>1.97</v>
      </c>
      <c r="T402" s="53" t="str">
        <f t="shared" si="11"/>
        <v>HIGH VOL</v>
      </c>
      <c r="U402" s="53">
        <f>IFERROR(__xludf.DUMMYFUNCTION("IFERROR(
  LET(
    sd, GOOGLEFINANCE(A402,""close"",TODAY()-100,TODAY()),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"""")"),1.35)</f>
        <v>1.35</v>
      </c>
      <c r="V402" s="53" t="str">
        <f t="shared" si="12"/>
        <v>FAST</v>
      </c>
      <c r="W402" s="53">
        <f>IFERROR(__xludf.DUMMYFUNCTION("IFERROR(ROUND((B402/GOOGLEFINANCE(A402,""high52"")-1)*100,1),"""")"),-33.9)</f>
        <v>-33.9</v>
      </c>
      <c r="X402" s="53">
        <f>IFERROR(__xludf.DUMMYFUNCTION("IFERROR(ROUND((B402-GOOGLEFINANCE(A402,""low52""))/(GOOGLEFINANCE(A402,""high52"")-GOOGLEFINANCE(A402,""low52""))*100,1),"""")"),23.6)</f>
        <v>23.6</v>
      </c>
      <c r="Y402" s="53" t="str">
        <f t="shared" si="13"/>
        <v>MID</v>
      </c>
      <c r="Z402" s="53">
        <f>IFERROR(__xludf.DUMMYFUNCTION("IFERROR(ROUND(((B402 / INDEX(GOOGLEFINANCE(TRIM(A402), ""price"", TODAY()-34, TODAY()), 2, 2)) - (GOOGLEFINANCE(""NIFTY_50"") / INDEX(GOOGLEFINANCE(""NIFTY_50"", ""price"", TODAY()-34, TODAY()), 2, 2))) * 100, 2), ""Check History"")"),0.35)</f>
        <v>0.35</v>
      </c>
      <c r="AA402" s="53" t="str">
        <f t="shared" si="14"/>
        <v>MILD RS</v>
      </c>
      <c r="AB402" s="53">
        <f>IFERROR(__xludf.DUMMYFUNCTION("IFERROR(LET(
  p, QUERY(GOOGLEFINANCE(TRIM(A402),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Loading"")"),57.4)</f>
        <v>57.4</v>
      </c>
      <c r="AC402" s="53" t="str">
        <f t="shared" si="15"/>
        <v>IDEAL ENTRY</v>
      </c>
      <c r="AD402" s="53" t="str">
        <f>IFERROR(__xludf.DUMMYFUNCTION("IFERROR(IF(GOOGLEFINANCE(A402,""eps"")&gt;0,""EPS+"",""EPS-""),"""")"),"EPS+")</f>
        <v>EPS+</v>
      </c>
      <c r="AE402" s="53">
        <f t="shared" si="16"/>
        <v>7</v>
      </c>
      <c r="AF402" s="53">
        <f>IFERROR(__xludf.DUMMYFUNCTION("IFERROR(N402+IF(S402&gt;=1.2,1,0)+IF(U402&gt;=1,1,0)+IF(Z402&gt;0,1,0)+IF(AND(W402&gt;=-20,W402&lt;=0),1,0)+IF(IFERROR(GOOGLEFINANCE(A402,""eps""),0)&gt;0,1,0),"""")"),5.0)</f>
        <v>5</v>
      </c>
      <c r="AG402" s="53" t="str">
        <f t="shared" si="17"/>
        <v>REVERSE TRADE</v>
      </c>
    </row>
    <row r="403" ht="15.75" customHeight="1">
      <c r="A403" s="55" t="s">
        <v>570</v>
      </c>
      <c r="B403" s="44">
        <f>IFERROR(__xludf.DUMMYFUNCTION("GOOGLEFINANCE(A403,""price"")"),279.1)</f>
        <v>279.1</v>
      </c>
      <c r="C403" s="45">
        <f>IFERROR(__xludf.DUMMYFUNCTION("AVERAGE(QUERY(SORT(GOOGLEFINANCE(A403,""price"",TODAY()-150,TODAY()),1,0),""select Col2 limit 50""))"),325.16200000000003)</f>
        <v>325.162</v>
      </c>
      <c r="D403" s="45">
        <f>IFERROR(__xludf.DUMMYFUNCTION("AVERAGE(QUERY(SORT(GOOGLEFINANCE(A403,""price"",TODAY()-300,TODAY()),1,0),""select Col2 limit 100""))"),342.5800000000001)</f>
        <v>342.58</v>
      </c>
      <c r="E403" s="45">
        <f>IFERROR(__xludf.DUMMYFUNCTION("AVERAGE(QUERY(SORT(GOOGLEFINANCE(A403,""price"",TODAY()-500,TODAY()),1,0),""select Col2 limit 200""))"),377.5262499999997)</f>
        <v>377.52625</v>
      </c>
      <c r="F403" s="46" t="str">
        <f t="shared" si="1"/>
        <v>In Bear Run</v>
      </c>
      <c r="G403" s="47">
        <f t="shared" si="2"/>
        <v>-26.0713659</v>
      </c>
      <c r="H403" s="48" t="str">
        <f t="shared" si="3"/>
        <v>Inverted ✗</v>
      </c>
      <c r="I403" s="48">
        <f t="shared" si="4"/>
        <v>0</v>
      </c>
      <c r="J403" s="48">
        <f t="shared" si="5"/>
        <v>0</v>
      </c>
      <c r="K403" s="49" t="str">
        <f>IFERROR(__xludf.DUMMYFUNCTION("IFERROR(IF(A403="""",""ENTER STOCK"",LET(stock,A403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03" s="48">
        <f t="shared" si="6"/>
        <v>0</v>
      </c>
      <c r="M403" s="48">
        <f t="shared" si="7"/>
        <v>1</v>
      </c>
      <c r="N403" s="50">
        <f t="shared" si="8"/>
        <v>1</v>
      </c>
      <c r="P403" s="46" t="str">
        <f t="shared" si="9"/>
        <v>REVERSE TRADE</v>
      </c>
      <c r="Q403" s="52"/>
      <c r="R403" s="53">
        <f t="shared" si="10"/>
        <v>15</v>
      </c>
      <c r="S403" s="53">
        <f>IFERROR(__xludf.DUMMYFUNCTION("IFERROR(ROUND(GOOGLEFINANCE(A403,""volume"")/GOOGLEFINANCE(A403,""volumeavg""),2),"""")"),0.75)</f>
        <v>0.75</v>
      </c>
      <c r="T403" s="53" t="str">
        <f t="shared" si="11"/>
        <v>LOW VOL</v>
      </c>
      <c r="U403" s="53">
        <f>IFERROR(__xludf.DUMMYFUNCTION("IFERROR(
  LET(
    sd, GOOGLEFINANCE(A403,""close"",TODAY()-100,TODAY()),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"""")"),1.18)</f>
        <v>1.18</v>
      </c>
      <c r="V403" s="53" t="str">
        <f t="shared" si="12"/>
        <v>MEDIUM</v>
      </c>
      <c r="W403" s="53">
        <f>IFERROR(__xludf.DUMMYFUNCTION("IFERROR(ROUND((B403/GOOGLEFINANCE(A403,""high52"")-1)*100,1),"""")"),-41.5)</f>
        <v>-41.5</v>
      </c>
      <c r="X403" s="53">
        <f>IFERROR(__xludf.DUMMYFUNCTION("IFERROR(ROUND((B403-GOOGLEFINANCE(A403,""low52""))/(GOOGLEFINANCE(A403,""high52"")-GOOGLEFINANCE(A403,""low52""))*100,1),"""")"),1.4)</f>
        <v>1.4</v>
      </c>
      <c r="Y403" s="53" t="str">
        <f t="shared" si="13"/>
        <v>DEEP RECOVERY</v>
      </c>
      <c r="Z403" s="53">
        <f>IFERROR(__xludf.DUMMYFUNCTION("IFERROR(ROUND(((B403 / INDEX(GOOGLEFINANCE(TRIM(A403), ""price"", TODAY()-34, TODAY()), 2, 2)) - (GOOGLEFINANCE(""NIFTY_50"") / INDEX(GOOGLEFINANCE(""NIFTY_50"", ""price"", TODAY()-34, TODAY()), 2, 2))) * 100, 2), ""Check History"")"),-4.48)</f>
        <v>-4.48</v>
      </c>
      <c r="AA403" s="53" t="str">
        <f t="shared" si="14"/>
        <v>WEAK RS</v>
      </c>
      <c r="AB403" s="53">
        <f>IFERROR(__xludf.DUMMYFUNCTION("IFERROR(LET(
  p, QUERY(GOOGLEFINANCE(TRIM(A403),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Loading"")"),48.6)</f>
        <v>48.6</v>
      </c>
      <c r="AC403" s="53" t="str">
        <f t="shared" si="15"/>
        <v>IDEAL ENTRY</v>
      </c>
      <c r="AD403" s="53" t="str">
        <f>IFERROR(__xludf.DUMMYFUNCTION("IFERROR(IF(GOOGLEFINANCE(A403,""eps"")&gt;0,""EPS+"",""EPS-""),"""")"),"EPS+")</f>
        <v>EPS+</v>
      </c>
      <c r="AE403" s="53">
        <f t="shared" si="16"/>
        <v>2</v>
      </c>
      <c r="AF403" s="53">
        <f>IFERROR(__xludf.DUMMYFUNCTION("IFERROR(N403+IF(S403&gt;=1.2,1,0)+IF(U403&gt;=1,1,0)+IF(Z403&gt;0,1,0)+IF(AND(W403&gt;=-20,W403&lt;=0),1,0)+IF(IFERROR(GOOGLEFINANCE(A403,""eps""),0)&gt;0,1,0),"""")"),3.0)</f>
        <v>3</v>
      </c>
      <c r="AG403" s="53" t="str">
        <f t="shared" si="17"/>
        <v>REVERSE TRADE</v>
      </c>
    </row>
    <row r="404" ht="15.75" customHeight="1">
      <c r="A404" s="55" t="s">
        <v>571</v>
      </c>
      <c r="B404" s="44">
        <f>IFERROR(__xludf.DUMMYFUNCTION("GOOGLEFINANCE(A404,""price"")"),22.62)</f>
        <v>22.62</v>
      </c>
      <c r="C404" s="45">
        <f>IFERROR(__xludf.DUMMYFUNCTION("AVERAGE(QUERY(SORT(GOOGLEFINANCE(A404,""price"",TODAY()-150,TODAY()),1,0),""select Col2 limit 50""))"),28.0722)</f>
        <v>28.0722</v>
      </c>
      <c r="D404" s="45">
        <f>IFERROR(__xludf.DUMMYFUNCTION("AVERAGE(QUERY(SORT(GOOGLEFINANCE(A404,""price"",TODAY()-300,TODAY()),1,0),""select Col2 limit 100""))"),33.81600000000001)</f>
        <v>33.816</v>
      </c>
      <c r="E404" s="45">
        <f>IFERROR(__xludf.DUMMYFUNCTION("AVERAGE(QUERY(SORT(GOOGLEFINANCE(A404,""price"",TODAY()-500,TODAY()),1,0),""select Col2 limit 200""))"),41.384750000000004)</f>
        <v>41.38475</v>
      </c>
      <c r="F404" s="46" t="str">
        <f t="shared" si="1"/>
        <v>In Bear Run</v>
      </c>
      <c r="G404" s="47">
        <f t="shared" si="2"/>
        <v>-45.34218523</v>
      </c>
      <c r="H404" s="48" t="str">
        <f t="shared" si="3"/>
        <v>Inverted ✗</v>
      </c>
      <c r="I404" s="48">
        <f t="shared" si="4"/>
        <v>0</v>
      </c>
      <c r="J404" s="48">
        <f t="shared" si="5"/>
        <v>0</v>
      </c>
      <c r="K404" s="49" t="str">
        <f>IFERROR(__xludf.DUMMYFUNCTION("IFERROR(IF(A404="""",""ENTER STOCK"",LET(stock,A404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04" s="48">
        <f t="shared" si="6"/>
        <v>0</v>
      </c>
      <c r="M404" s="48">
        <f t="shared" si="7"/>
        <v>1</v>
      </c>
      <c r="N404" s="50">
        <f t="shared" si="8"/>
        <v>1</v>
      </c>
      <c r="P404" s="46" t="str">
        <f t="shared" si="9"/>
        <v>REVERSE TRADE</v>
      </c>
      <c r="Q404" s="52"/>
      <c r="R404" s="53">
        <f t="shared" si="10"/>
        <v>15</v>
      </c>
      <c r="S404" s="53">
        <f>IFERROR(__xludf.DUMMYFUNCTION("IFERROR(ROUND(GOOGLEFINANCE(A404,""volume"")/GOOGLEFINANCE(A404,""volumeavg""),2),"""")"),1.05)</f>
        <v>1.05</v>
      </c>
      <c r="T404" s="53" t="str">
        <f t="shared" si="11"/>
        <v>LOW VOL</v>
      </c>
      <c r="U404" s="53">
        <f>IFERROR(__xludf.DUMMYFUNCTION("IFERROR(
  LET(
    sd, GOOGLEFINANCE(A404,""close"",TODAY()-100,TODAY()),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"""")"),1.2)</f>
        <v>1.2</v>
      </c>
      <c r="V404" s="53" t="str">
        <f t="shared" si="12"/>
        <v>FAST</v>
      </c>
      <c r="W404" s="53">
        <f>IFERROR(__xludf.DUMMYFUNCTION("IFERROR(ROUND((B404/GOOGLEFINANCE(A404,""high52"")-1)*100,1),"""")"),-68.3)</f>
        <v>-68.3</v>
      </c>
      <c r="X404" s="53">
        <f>IFERROR(__xludf.DUMMYFUNCTION("IFERROR(ROUND((B404-GOOGLEFINANCE(A404,""low52""))/(GOOGLEFINANCE(A404,""high52"")-GOOGLEFINANCE(A404,""low52""))*100,1),"""")"),0.8)</f>
        <v>0.8</v>
      </c>
      <c r="Y404" s="53" t="str">
        <f t="shared" si="13"/>
        <v>DEEP RECOVERY</v>
      </c>
      <c r="Z404" s="53">
        <f>IFERROR(__xludf.DUMMYFUNCTION("IFERROR(ROUND(((B404 / INDEX(GOOGLEFINANCE(TRIM(A404), ""price"", TODAY()-34, TODAY()), 2, 2)) - (GOOGLEFINANCE(""NIFTY_50"") / INDEX(GOOGLEFINANCE(""NIFTY_50"", ""price"", TODAY()-34, TODAY()), 2, 2))) * 100, 2), ""Check History"")"),2.14)</f>
        <v>2.14</v>
      </c>
      <c r="AA404" s="53" t="str">
        <f t="shared" si="14"/>
        <v>MILD RS</v>
      </c>
      <c r="AB404" s="53">
        <f>IFERROR(__xludf.DUMMYFUNCTION("IFERROR(LET(
  p, QUERY(GOOGLEFINANCE(TRIM(A404),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Loading"")"),55.2)</f>
        <v>55.2</v>
      </c>
      <c r="AC404" s="53" t="str">
        <f t="shared" si="15"/>
        <v>IDEAL ENTRY</v>
      </c>
      <c r="AD404" s="53" t="str">
        <f>IFERROR(__xludf.DUMMYFUNCTION("IFERROR(IF(GOOGLEFINANCE(A404,""eps"")&gt;0,""EPS+"",""EPS-""),"""")"),"EPS-")</f>
        <v>EPS-</v>
      </c>
      <c r="AE404" s="53">
        <f t="shared" si="16"/>
        <v>5</v>
      </c>
      <c r="AF404" s="53">
        <f>IFERROR(__xludf.DUMMYFUNCTION("IFERROR(N404+IF(S404&gt;=1.2,1,0)+IF(U404&gt;=1,1,0)+IF(Z404&gt;0,1,0)+IF(AND(W404&gt;=-20,W404&lt;=0),1,0)+IF(IFERROR(GOOGLEFINANCE(A404,""eps""),0)&gt;0,1,0),"""")"),3.0)</f>
        <v>3</v>
      </c>
      <c r="AG404" s="53" t="str">
        <f t="shared" si="17"/>
        <v>REVERSE TRADE</v>
      </c>
    </row>
    <row r="405" ht="15.75" customHeight="1">
      <c r="A405" s="55" t="s">
        <v>572</v>
      </c>
      <c r="B405" s="44">
        <f>IFERROR(__xludf.DUMMYFUNCTION("GOOGLEFINANCE(A405,""price"")"),1460.0)</f>
        <v>1460</v>
      </c>
      <c r="C405" s="45">
        <f>IFERROR(__xludf.DUMMYFUNCTION("AVERAGE(QUERY(SORT(GOOGLEFINANCE(A405,""price"",TODAY()-150,TODAY()),1,0),""select Col2 limit 50""))"),1365.7780000000002)</f>
        <v>1365.778</v>
      </c>
      <c r="D405" s="45">
        <f>IFERROR(__xludf.DUMMYFUNCTION("AVERAGE(QUERY(SORT(GOOGLEFINANCE(A405,""price"",TODAY()-300,TODAY()),1,0),""select Col2 limit 100""))"),1538.0809999999997)</f>
        <v>1538.081</v>
      </c>
      <c r="E405" s="45">
        <f>IFERROR(__xludf.DUMMYFUNCTION("AVERAGE(QUERY(SORT(GOOGLEFINANCE(A405,""price"",TODAY()-500,TODAY()),1,0),""select Col2 limit 200""))"),1727.4475000000002)</f>
        <v>1727.4475</v>
      </c>
      <c r="F405" s="46" t="str">
        <f t="shared" si="1"/>
        <v>Unconfirmed</v>
      </c>
      <c r="G405" s="47">
        <f t="shared" si="2"/>
        <v>-15.48223607</v>
      </c>
      <c r="H405" s="48" t="str">
        <f t="shared" si="3"/>
        <v>Inverted ✗</v>
      </c>
      <c r="I405" s="48">
        <f t="shared" si="4"/>
        <v>0</v>
      </c>
      <c r="J405" s="48">
        <f t="shared" si="5"/>
        <v>0</v>
      </c>
      <c r="K405" s="49" t="str">
        <f>IFERROR(__xludf.DUMMYFUNCTION("IFERROR(IF(A405="""",""ENTER STOCK"",LET(stock,A405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05" s="48">
        <f t="shared" si="6"/>
        <v>0</v>
      </c>
      <c r="M405" s="48">
        <f t="shared" si="7"/>
        <v>1</v>
      </c>
      <c r="N405" s="50">
        <f t="shared" si="8"/>
        <v>1</v>
      </c>
      <c r="P405" s="46" t="str">
        <f t="shared" si="9"/>
        <v>WAIT</v>
      </c>
      <c r="Q405" s="52"/>
      <c r="R405" s="53">
        <f t="shared" si="10"/>
        <v>15</v>
      </c>
      <c r="S405" s="53">
        <f>IFERROR(__xludf.DUMMYFUNCTION("IFERROR(ROUND(GOOGLEFINANCE(A405,""volume"")/GOOGLEFINANCE(A405,""volumeavg""),2),"""")"),1.41)</f>
        <v>1.41</v>
      </c>
      <c r="T405" s="53" t="str">
        <f t="shared" si="11"/>
        <v>OK VOL</v>
      </c>
      <c r="U405" s="53">
        <f>IFERROR(__xludf.DUMMYFUNCTION("IFERROR(
  LET(
    sd, GOOGLEFINANCE(A405,""close"",TODAY()-100,TODAY()),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"""")"),-0.23)</f>
        <v>-0.23</v>
      </c>
      <c r="V405" s="53" t="str">
        <f t="shared" si="12"/>
        <v>SLOW</v>
      </c>
      <c r="W405" s="53">
        <f>IFERROR(__xludf.DUMMYFUNCTION("IFERROR(ROUND((B405/GOOGLEFINANCE(A405,""high52"")-1)*100,1),"""")"),-35.1)</f>
        <v>-35.1</v>
      </c>
      <c r="X405" s="53">
        <f>IFERROR(__xludf.DUMMYFUNCTION("IFERROR(ROUND((B405-GOOGLEFINANCE(A405,""low52""))/(GOOGLEFINANCE(A405,""high52"")-GOOGLEFINANCE(A405,""low52""))*100,1),"""")"),33.8)</f>
        <v>33.8</v>
      </c>
      <c r="Y405" s="53" t="str">
        <f t="shared" si="13"/>
        <v>MID</v>
      </c>
      <c r="Z405" s="53">
        <f>IFERROR(__xludf.DUMMYFUNCTION("IFERROR(ROUND(((B405 / INDEX(GOOGLEFINANCE(TRIM(A405), ""price"", TODAY()-34, TODAY()), 2, 2)) - (GOOGLEFINANCE(""NIFTY_50"") / INDEX(GOOGLEFINANCE(""NIFTY_50"", ""price"", TODAY()-34, TODAY()), 2, 2))) * 100, 2), ""Check History"")"),22.53)</f>
        <v>22.53</v>
      </c>
      <c r="AA405" s="53" t="str">
        <f t="shared" si="14"/>
        <v>STRONG RS</v>
      </c>
      <c r="AB405" s="53">
        <f>IFERROR(__xludf.DUMMYFUNCTION("IFERROR(LET(
  p, QUERY(GOOGLEFINANCE(TRIM(A405),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Loading"")"),59.4)</f>
        <v>59.4</v>
      </c>
      <c r="AC405" s="53" t="str">
        <f t="shared" si="15"/>
        <v>IDEAL ENTRY</v>
      </c>
      <c r="AD405" s="53" t="str">
        <f>IFERROR(__xludf.DUMMYFUNCTION("IFERROR(IF(GOOGLEFINANCE(A405,""eps"")&gt;0,""EPS+"",""EPS-""),"""")"),"EPS+")</f>
        <v>EPS+</v>
      </c>
      <c r="AE405" s="53">
        <f t="shared" si="16"/>
        <v>4</v>
      </c>
      <c r="AF405" s="53">
        <f>IFERROR(__xludf.DUMMYFUNCTION("IFERROR(N405+IF(S405&gt;=1.2,1,0)+IF(U405&gt;=1,1,0)+IF(Z405&gt;0,1,0)+IF(AND(W405&gt;=-20,W405&lt;=0),1,0)+IF(IFERROR(GOOGLEFINANCE(A405,""eps""),0)&gt;0,1,0),"""")"),4.0)</f>
        <v>4</v>
      </c>
      <c r="AG405" s="53" t="str">
        <f t="shared" si="17"/>
        <v>WAIT</v>
      </c>
    </row>
    <row r="406" ht="15.75" customHeight="1">
      <c r="A406" s="55" t="s">
        <v>573</v>
      </c>
      <c r="B406" s="44">
        <f>IFERROR(__xludf.DUMMYFUNCTION("GOOGLEFINANCE(A406,""price"")"),241.3)</f>
        <v>241.3</v>
      </c>
      <c r="C406" s="45">
        <f>IFERROR(__xludf.DUMMYFUNCTION("AVERAGE(QUERY(SORT(GOOGLEFINANCE(A406,""price"",TODAY()-150,TODAY()),1,0),""select Col2 limit 50""))"),278.78400000000005)</f>
        <v>278.784</v>
      </c>
      <c r="D406" s="45">
        <f>IFERROR(__xludf.DUMMYFUNCTION("AVERAGE(QUERY(SORT(GOOGLEFINANCE(A406,""price"",TODAY()-300,TODAY()),1,0),""select Col2 limit 100""))"),298.3155000000002)</f>
        <v>298.3155</v>
      </c>
      <c r="E406" s="45">
        <f>IFERROR(__xludf.DUMMYFUNCTION("AVERAGE(QUERY(SORT(GOOGLEFINANCE(A406,""price"",TODAY()-500,TODAY()),1,0),""select Col2 limit 200""))"),344.79925000000026)</f>
        <v>344.79925</v>
      </c>
      <c r="F406" s="46" t="str">
        <f t="shared" si="1"/>
        <v>In Bear Run</v>
      </c>
      <c r="G406" s="47">
        <f t="shared" si="2"/>
        <v>-30.01724917</v>
      </c>
      <c r="H406" s="48" t="str">
        <f t="shared" si="3"/>
        <v>Inverted ✗</v>
      </c>
      <c r="I406" s="48">
        <f t="shared" si="4"/>
        <v>0</v>
      </c>
      <c r="J406" s="48">
        <f t="shared" si="5"/>
        <v>0</v>
      </c>
      <c r="K406" s="49" t="str">
        <f>IFERROR(__xludf.DUMMYFUNCTION("IFERROR(IF(A406="""",""ENTER STOCK"",LET(stock,A406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06" s="48">
        <f t="shared" si="6"/>
        <v>0</v>
      </c>
      <c r="M406" s="48">
        <f t="shared" si="7"/>
        <v>1</v>
      </c>
      <c r="N406" s="50">
        <f t="shared" si="8"/>
        <v>1</v>
      </c>
      <c r="P406" s="46" t="str">
        <f t="shared" si="9"/>
        <v>REVERSE TRADE</v>
      </c>
      <c r="Q406" s="52"/>
      <c r="R406" s="53">
        <f t="shared" si="10"/>
        <v>15</v>
      </c>
      <c r="S406" s="53">
        <f>IFERROR(__xludf.DUMMYFUNCTION("IFERROR(ROUND(GOOGLEFINANCE(A406,""volume"")/GOOGLEFINANCE(A406,""volumeavg""),2),"""")"),1.09)</f>
        <v>1.09</v>
      </c>
      <c r="T406" s="53" t="str">
        <f t="shared" si="11"/>
        <v>LOW VOL</v>
      </c>
      <c r="U406" s="53">
        <f>IFERROR(__xludf.DUMMYFUNCTION("IFERROR(
  LET(
    sd, GOOGLEFINANCE(A406,""close"",TODAY()-100,TODAY()),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"""")"),2.34)</f>
        <v>2.34</v>
      </c>
      <c r="V406" s="53" t="str">
        <f t="shared" si="12"/>
        <v>FAST</v>
      </c>
      <c r="W406" s="53">
        <f>IFERROR(__xludf.DUMMYFUNCTION("IFERROR(ROUND((B406/GOOGLEFINANCE(A406,""high52"")-1)*100,1),"""")"),-45.7)</f>
        <v>-45.7</v>
      </c>
      <c r="X406" s="53">
        <f>IFERROR(__xludf.DUMMYFUNCTION("IFERROR(ROUND((B406-GOOGLEFINANCE(A406,""low52""))/(GOOGLEFINANCE(A406,""high52"")-GOOGLEFINANCE(A406,""low52""))*100,1),"""")"),6.8)</f>
        <v>6.8</v>
      </c>
      <c r="Y406" s="53" t="str">
        <f t="shared" si="13"/>
        <v>DEEP RECOVERY</v>
      </c>
      <c r="Z406" s="53">
        <f>IFERROR(__xludf.DUMMYFUNCTION("IFERROR(ROUND(((B406 / INDEX(GOOGLEFINANCE(TRIM(A406), ""price"", TODAY()-34, TODAY()), 2, 2)) - (GOOGLEFINANCE(""NIFTY_50"") / INDEX(GOOGLEFINANCE(""NIFTY_50"", ""price"", TODAY()-34, TODAY()), 2, 2))) * 100, 2), ""Check History"")"),-10.12)</f>
        <v>-10.12</v>
      </c>
      <c r="AA406" s="53" t="str">
        <f t="shared" si="14"/>
        <v>WEAK RS</v>
      </c>
      <c r="AB406" s="53">
        <f>IFERROR(__xludf.DUMMYFUNCTION("IFERROR(LET(
  p, QUERY(GOOGLEFINANCE(TRIM(A406),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Loading"")"),54.7)</f>
        <v>54.7</v>
      </c>
      <c r="AC406" s="53" t="str">
        <f t="shared" si="15"/>
        <v>IDEAL ENTRY</v>
      </c>
      <c r="AD406" s="53" t="str">
        <f>IFERROR(__xludf.DUMMYFUNCTION("IFERROR(IF(GOOGLEFINANCE(A406,""eps"")&gt;0,""EPS+"",""EPS-""),"""")"),"EPS+")</f>
        <v>EPS+</v>
      </c>
      <c r="AE406" s="53">
        <f t="shared" si="16"/>
        <v>4</v>
      </c>
      <c r="AF406" s="53">
        <f>IFERROR(__xludf.DUMMYFUNCTION("IFERROR(N406+IF(S406&gt;=1.2,1,0)+IF(U406&gt;=1,1,0)+IF(Z406&gt;0,1,0)+IF(AND(W406&gt;=-20,W406&lt;=0),1,0)+IF(IFERROR(GOOGLEFINANCE(A406,""eps""),0)&gt;0,1,0),"""")"),3.0)</f>
        <v>3</v>
      </c>
      <c r="AG406" s="53" t="str">
        <f t="shared" si="17"/>
        <v>REVERSE TRADE</v>
      </c>
    </row>
    <row r="407" ht="15.75" customHeight="1">
      <c r="A407" s="55" t="s">
        <v>574</v>
      </c>
      <c r="B407" s="44">
        <f>IFERROR(__xludf.DUMMYFUNCTION("GOOGLEFINANCE(A407,""price"")"),471.0)</f>
        <v>471</v>
      </c>
      <c r="C407" s="45">
        <f>IFERROR(__xludf.DUMMYFUNCTION("AVERAGE(QUERY(SORT(GOOGLEFINANCE(A407,""price"",TODAY()-150,TODAY()),1,0),""select Col2 limit 50""))"),565.548)</f>
        <v>565.548</v>
      </c>
      <c r="D407" s="45">
        <f>IFERROR(__xludf.DUMMYFUNCTION("AVERAGE(QUERY(SORT(GOOGLEFINANCE(A407,""price"",TODAY()-300,TODAY()),1,0),""select Col2 limit 100""))"),570.3365)</f>
        <v>570.3365</v>
      </c>
      <c r="E407" s="45">
        <f>IFERROR(__xludf.DUMMYFUNCTION("AVERAGE(QUERY(SORT(GOOGLEFINANCE(A407,""price"",TODAY()-500,TODAY()),1,0),""select Col2 limit 200""))"),608.9294999999996)</f>
        <v>608.9295</v>
      </c>
      <c r="F407" s="46" t="str">
        <f t="shared" si="1"/>
        <v>In Bear Run</v>
      </c>
      <c r="G407" s="47">
        <f t="shared" si="2"/>
        <v>-22.65114434</v>
      </c>
      <c r="H407" s="48" t="str">
        <f t="shared" si="3"/>
        <v>Inverted ✗</v>
      </c>
      <c r="I407" s="48">
        <f t="shared" si="4"/>
        <v>0</v>
      </c>
      <c r="J407" s="48">
        <f t="shared" si="5"/>
        <v>0</v>
      </c>
      <c r="K407" s="49" t="str">
        <f>IFERROR(__xludf.DUMMYFUNCTION("IFERROR(IF(A407="""",""ENTER STOCK"",LET(stock,A407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07" s="48">
        <f t="shared" si="6"/>
        <v>0</v>
      </c>
      <c r="M407" s="48">
        <f t="shared" si="7"/>
        <v>1</v>
      </c>
      <c r="N407" s="50">
        <f t="shared" si="8"/>
        <v>1</v>
      </c>
      <c r="P407" s="46" t="str">
        <f t="shared" si="9"/>
        <v>REVERSE TRADE</v>
      </c>
      <c r="Q407" s="52"/>
      <c r="R407" s="53">
        <f t="shared" si="10"/>
        <v>15</v>
      </c>
      <c r="S407" s="53">
        <f>IFERROR(__xludf.DUMMYFUNCTION("IFERROR(ROUND(GOOGLEFINANCE(A407,""volume"")/GOOGLEFINANCE(A407,""volumeavg""),2),"""")"),1.18)</f>
        <v>1.18</v>
      </c>
      <c r="T407" s="53" t="str">
        <f t="shared" si="11"/>
        <v>LOW VOL</v>
      </c>
      <c r="U407" s="53">
        <f>IFERROR(__xludf.DUMMYFUNCTION("IFERROR(
  LET(
    sd, GOOGLEFINANCE(A407,""close"",TODAY()-100,TODAY()),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"""")"),1.87)</f>
        <v>1.87</v>
      </c>
      <c r="V407" s="53" t="str">
        <f t="shared" si="12"/>
        <v>FAST</v>
      </c>
      <c r="W407" s="53">
        <f>IFERROR(__xludf.DUMMYFUNCTION("IFERROR(ROUND((B407/GOOGLEFINANCE(A407,""high52"")-1)*100,1),"""")"),-53.3)</f>
        <v>-53.3</v>
      </c>
      <c r="X407" s="53">
        <f>IFERROR(__xludf.DUMMYFUNCTION("IFERROR(ROUND((B407-GOOGLEFINANCE(A407,""low52""))/(GOOGLEFINANCE(A407,""high52"")-GOOGLEFINANCE(A407,""low52""))*100,1),"""")"),1.1)</f>
        <v>1.1</v>
      </c>
      <c r="Y407" s="53" t="str">
        <f t="shared" si="13"/>
        <v>DEEP RECOVERY</v>
      </c>
      <c r="Z407" s="53">
        <f>IFERROR(__xludf.DUMMYFUNCTION("IFERROR(ROUND(((B407 / INDEX(GOOGLEFINANCE(TRIM(A407), ""price"", TODAY()-34, TODAY()), 2, 2)) - (GOOGLEFINANCE(""NIFTY_50"") / INDEX(GOOGLEFINANCE(""NIFTY_50"", ""price"", TODAY()-34, TODAY()), 2, 2))) * 100, 2), ""Check History"")"),-11.04)</f>
        <v>-11.04</v>
      </c>
      <c r="AA407" s="53" t="str">
        <f t="shared" si="14"/>
        <v>WEAK RS</v>
      </c>
      <c r="AB407" s="53">
        <f>IFERROR(__xludf.DUMMYFUNCTION("IFERROR(LET(
  p, QUERY(GOOGLEFINANCE(TRIM(A407),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Loading"")"),32.4)</f>
        <v>32.4</v>
      </c>
      <c r="AC407" s="53" t="str">
        <f t="shared" si="15"/>
        <v>WEAK MOM</v>
      </c>
      <c r="AD407" s="53" t="str">
        <f>IFERROR(__xludf.DUMMYFUNCTION("IFERROR(IF(GOOGLEFINANCE(A407,""eps"")&gt;0,""EPS+"",""EPS-""),"""")"),"EPS+")</f>
        <v>EPS+</v>
      </c>
      <c r="AE407" s="53">
        <f t="shared" si="16"/>
        <v>4</v>
      </c>
      <c r="AF407" s="53">
        <f>IFERROR(__xludf.DUMMYFUNCTION("IFERROR(N407+IF(S407&gt;=1.2,1,0)+IF(U407&gt;=1,1,0)+IF(Z407&gt;0,1,0)+IF(AND(W407&gt;=-20,W407&lt;=0),1,0)+IF(IFERROR(GOOGLEFINANCE(A407,""eps""),0)&gt;0,1,0),"""")"),3.0)</f>
        <v>3</v>
      </c>
      <c r="AG407" s="53" t="str">
        <f t="shared" si="17"/>
        <v>REVERSE TRADE</v>
      </c>
    </row>
    <row r="408" ht="15.75" customHeight="1">
      <c r="A408" s="55" t="s">
        <v>575</v>
      </c>
      <c r="B408" s="44">
        <f>IFERROR(__xludf.DUMMYFUNCTION("GOOGLEFINANCE(A408,""price"")"),760.0)</f>
        <v>760</v>
      </c>
      <c r="C408" s="45">
        <f>IFERROR(__xludf.DUMMYFUNCTION("AVERAGE(QUERY(SORT(GOOGLEFINANCE(A408,""price"",TODAY()-150,TODAY()),1,0),""select Col2 limit 50""))"),830.5840000000004)</f>
        <v>830.584</v>
      </c>
      <c r="D408" s="45">
        <f>IFERROR(__xludf.DUMMYFUNCTION("AVERAGE(QUERY(SORT(GOOGLEFINANCE(A408,""price"",TODAY()-300,TODAY()),1,0),""select Col2 limit 100""))"),877.6605000000003)</f>
        <v>877.6605</v>
      </c>
      <c r="E408" s="45">
        <f>IFERROR(__xludf.DUMMYFUNCTION("AVERAGE(QUERY(SORT(GOOGLEFINANCE(A408,""price"",TODAY()-500,TODAY()),1,0),""select Col2 limit 200""))"),901.5292500000011)</f>
        <v>901.52925</v>
      </c>
      <c r="F408" s="46" t="str">
        <f t="shared" si="1"/>
        <v>In Bear Run</v>
      </c>
      <c r="G408" s="47">
        <f t="shared" si="2"/>
        <v>-15.69879735</v>
      </c>
      <c r="H408" s="48" t="str">
        <f t="shared" si="3"/>
        <v>Inverted ✗</v>
      </c>
      <c r="I408" s="48">
        <f t="shared" si="4"/>
        <v>0</v>
      </c>
      <c r="J408" s="48">
        <f t="shared" si="5"/>
        <v>0</v>
      </c>
      <c r="K408" s="49" t="str">
        <f>IFERROR(__xludf.DUMMYFUNCTION("IFERROR(IF(A408="""",""ENTER STOCK"",LET(stock,A408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08" s="48">
        <f t="shared" si="6"/>
        <v>0</v>
      </c>
      <c r="M408" s="48">
        <f t="shared" si="7"/>
        <v>1</v>
      </c>
      <c r="N408" s="50">
        <f t="shared" si="8"/>
        <v>1</v>
      </c>
      <c r="P408" s="46" t="str">
        <f t="shared" si="9"/>
        <v>REVERSE TRADE</v>
      </c>
      <c r="Q408" s="52"/>
      <c r="R408" s="53">
        <f t="shared" si="10"/>
        <v>15</v>
      </c>
      <c r="S408" s="53">
        <f>IFERROR(__xludf.DUMMYFUNCTION("IFERROR(ROUND(GOOGLEFINANCE(A408,""volume"")/GOOGLEFINANCE(A408,""volumeavg""),2),"""")"),1.78)</f>
        <v>1.78</v>
      </c>
      <c r="T408" s="53" t="str">
        <f t="shared" si="11"/>
        <v>HIGH VOL</v>
      </c>
      <c r="U408" s="53">
        <f>IFERROR(__xludf.DUMMYFUNCTION("IFERROR(
  LET(
    sd, GOOGLEFINANCE(A408,""close"",TODAY()-100,TODAY()),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"""")"),1.43)</f>
        <v>1.43</v>
      </c>
      <c r="V408" s="53" t="str">
        <f t="shared" si="12"/>
        <v>FAST</v>
      </c>
      <c r="W408" s="53">
        <f>IFERROR(__xludf.DUMMYFUNCTION("IFERROR(ROUND((B408/GOOGLEFINANCE(A408,""high52"")-1)*100,1),"""")"),-33.4)</f>
        <v>-33.4</v>
      </c>
      <c r="X408" s="53">
        <f>IFERROR(__xludf.DUMMYFUNCTION("IFERROR(ROUND((B408-GOOGLEFINANCE(A408,""low52""))/(GOOGLEFINANCE(A408,""high52"")-GOOGLEFINANCE(A408,""low52""))*100,1),"""")"),7.4)</f>
        <v>7.4</v>
      </c>
      <c r="Y408" s="53" t="str">
        <f t="shared" si="13"/>
        <v>MID</v>
      </c>
      <c r="Z408" s="53">
        <f>IFERROR(__xludf.DUMMYFUNCTION("IFERROR(ROUND(((B408 / INDEX(GOOGLEFINANCE(TRIM(A408), ""price"", TODAY()-34, TODAY()), 2, 2)) - (GOOGLEFINANCE(""NIFTY_50"") / INDEX(GOOGLEFINANCE(""NIFTY_50"", ""price"", TODAY()-34, TODAY()), 2, 2))) * 100, 2), ""Check History"")"),3.55)</f>
        <v>3.55</v>
      </c>
      <c r="AA408" s="53" t="str">
        <f t="shared" si="14"/>
        <v>MILD RS</v>
      </c>
      <c r="AB408" s="53">
        <f>IFERROR(__xludf.DUMMYFUNCTION("IFERROR(LET(
  p, QUERY(GOOGLEFINANCE(TRIM(A408),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Loading"")"),42.8)</f>
        <v>42.8</v>
      </c>
      <c r="AC408" s="53" t="str">
        <f t="shared" si="15"/>
        <v>WEAK MOM</v>
      </c>
      <c r="AD408" s="53" t="str">
        <f>IFERROR(__xludf.DUMMYFUNCTION("IFERROR(IF(GOOGLEFINANCE(A408,""eps"")&gt;0,""EPS+"",""EPS-""),"""")"),"EPS+")</f>
        <v>EPS+</v>
      </c>
      <c r="AE408" s="53">
        <f t="shared" si="16"/>
        <v>7</v>
      </c>
      <c r="AF408" s="53">
        <f>IFERROR(__xludf.DUMMYFUNCTION("IFERROR(N408+IF(S408&gt;=1.2,1,0)+IF(U408&gt;=1,1,0)+IF(Z408&gt;0,1,0)+IF(AND(W408&gt;=-20,W408&lt;=0),1,0)+IF(IFERROR(GOOGLEFINANCE(A408,""eps""),0)&gt;0,1,0),"""")"),5.0)</f>
        <v>5</v>
      </c>
      <c r="AG408" s="53" t="str">
        <f t="shared" si="17"/>
        <v>REVERSE TRADE</v>
      </c>
    </row>
    <row r="409" ht="15.75" customHeight="1">
      <c r="A409" s="55" t="s">
        <v>576</v>
      </c>
      <c r="B409" s="44">
        <f>IFERROR(__xludf.DUMMYFUNCTION("GOOGLEFINANCE(A409,""price"")"),15000.0)</f>
        <v>15000</v>
      </c>
      <c r="C409" s="45">
        <f>IFERROR(__xludf.DUMMYFUNCTION("AVERAGE(QUERY(SORT(GOOGLEFINANCE(A409,""price"",TODAY()-150,TODAY()),1,0),""select Col2 limit 50""))"),17673.76)</f>
        <v>17673.76</v>
      </c>
      <c r="D409" s="45">
        <f>IFERROR(__xludf.DUMMYFUNCTION("AVERAGE(QUERY(SORT(GOOGLEFINANCE(A409,""price"",TODAY()-300,TODAY()),1,0),""select Col2 limit 100""))"),17780.41)</f>
        <v>17780.41</v>
      </c>
      <c r="E409" s="45">
        <f>IFERROR(__xludf.DUMMYFUNCTION("AVERAGE(QUERY(SORT(GOOGLEFINANCE(A409,""price"",TODAY()-500,TODAY()),1,0),""select Col2 limit 200""))"),16400.62)</f>
        <v>16400.62</v>
      </c>
      <c r="F409" s="46" t="str">
        <f t="shared" si="1"/>
        <v>In Bear Run</v>
      </c>
      <c r="G409" s="47">
        <f t="shared" si="2"/>
        <v>-8.540042998</v>
      </c>
      <c r="H409" s="48" t="str">
        <f t="shared" si="3"/>
        <v>Inverted ✗</v>
      </c>
      <c r="I409" s="48">
        <f t="shared" si="4"/>
        <v>0</v>
      </c>
      <c r="J409" s="48">
        <f t="shared" si="5"/>
        <v>0</v>
      </c>
      <c r="K409" s="49" t="str">
        <f>IFERROR(__xludf.DUMMYFUNCTION("IFERROR(IF(A409="""",""ENTER STOCK"",LET(stock,A409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09" s="48">
        <f t="shared" si="6"/>
        <v>0</v>
      </c>
      <c r="M409" s="48">
        <f t="shared" si="7"/>
        <v>1</v>
      </c>
      <c r="N409" s="50">
        <f t="shared" si="8"/>
        <v>1</v>
      </c>
      <c r="P409" s="46" t="str">
        <f t="shared" si="9"/>
        <v>REVERSE TRADE</v>
      </c>
      <c r="Q409" s="52"/>
      <c r="R409" s="53">
        <f t="shared" si="10"/>
        <v>15</v>
      </c>
      <c r="S409" s="53">
        <f>IFERROR(__xludf.DUMMYFUNCTION("IFERROR(ROUND(GOOGLEFINANCE(A409,""volume"")/GOOGLEFINANCE(A409,""volumeavg""),2),"""")"),2.07)</f>
        <v>2.07</v>
      </c>
      <c r="T409" s="53" t="str">
        <f t="shared" si="11"/>
        <v>HIGH VOL</v>
      </c>
      <c r="U409" s="53">
        <f>IFERROR(__xludf.DUMMYFUNCTION("IFERROR(
  LET(
    sd, GOOGLEFINANCE(A409,""close"",TODAY()-100,TODAY()),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"""")"),0.61)</f>
        <v>0.61</v>
      </c>
      <c r="V409" s="53" t="str">
        <f t="shared" si="12"/>
        <v>SLOW</v>
      </c>
      <c r="W409" s="53">
        <f>IFERROR(__xludf.DUMMYFUNCTION("IFERROR(ROUND((B409/GOOGLEFINANCE(A409,""high52"")-1)*100,1),"""")"),-22.6)</f>
        <v>-22.6</v>
      </c>
      <c r="X409" s="53">
        <f>IFERROR(__xludf.DUMMYFUNCTION("IFERROR(ROUND((B409-GOOGLEFINANCE(A409,""low52""))/(GOOGLEFINANCE(A409,""high52"")-GOOGLEFINANCE(A409,""low52""))*100,1),"""")"),41.4)</f>
        <v>41.4</v>
      </c>
      <c r="Y409" s="53" t="str">
        <f t="shared" si="13"/>
        <v>MID</v>
      </c>
      <c r="Z409" s="53">
        <f>IFERROR(__xludf.DUMMYFUNCTION("IFERROR(ROUND(((B409 / INDEX(GOOGLEFINANCE(TRIM(A409), ""price"", TODAY()-34, TODAY()), 2, 2)) - (GOOGLEFINANCE(""NIFTY_50"") / INDEX(GOOGLEFINANCE(""NIFTY_50"", ""price"", TODAY()-34, TODAY()), 2, 2))) * 100, 2), ""Check History"")"),-4.02)</f>
        <v>-4.02</v>
      </c>
      <c r="AA409" s="53" t="str">
        <f t="shared" si="14"/>
        <v>WEAK RS</v>
      </c>
      <c r="AB409" s="53">
        <f>IFERROR(__xludf.DUMMYFUNCTION("IFERROR(LET(
  p, QUERY(GOOGLEFINANCE(TRIM(A409),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Loading"")"),31.1)</f>
        <v>31.1</v>
      </c>
      <c r="AC409" s="53" t="str">
        <f t="shared" si="15"/>
        <v>WEAK MOM</v>
      </c>
      <c r="AD409" s="53" t="str">
        <f>IFERROR(__xludf.DUMMYFUNCTION("IFERROR(IF(GOOGLEFINANCE(A409,""eps"")&gt;0,""EPS+"",""EPS-""),"""")"),"EPS+")</f>
        <v>EPS+</v>
      </c>
      <c r="AE409" s="53">
        <f t="shared" si="16"/>
        <v>4</v>
      </c>
      <c r="AF409" s="53">
        <f>IFERROR(__xludf.DUMMYFUNCTION("IFERROR(N409+IF(S409&gt;=1.2,1,0)+IF(U409&gt;=1,1,0)+IF(Z409&gt;0,1,0)+IF(AND(W409&gt;=-20,W409&lt;=0),1,0)+IF(IFERROR(GOOGLEFINANCE(A409,""eps""),0)&gt;0,1,0),"""")"),3.0)</f>
        <v>3</v>
      </c>
      <c r="AG409" s="53" t="str">
        <f t="shared" si="17"/>
        <v>REVERSE TRADE</v>
      </c>
    </row>
    <row r="410" ht="15.75" customHeight="1">
      <c r="A410" s="55" t="s">
        <v>577</v>
      </c>
      <c r="B410" s="44">
        <f>IFERROR(__xludf.DUMMYFUNCTION("GOOGLEFINANCE(A410,""price"")"),913.0)</f>
        <v>913</v>
      </c>
      <c r="C410" s="45">
        <f>IFERROR(__xludf.DUMMYFUNCTION("AVERAGE(QUERY(SORT(GOOGLEFINANCE(A410,""price"",TODAY()-150,TODAY()),1,0),""select Col2 limit 50""))"),1002.794)</f>
        <v>1002.794</v>
      </c>
      <c r="D410" s="45">
        <f>IFERROR(__xludf.DUMMYFUNCTION("AVERAGE(QUERY(SORT(GOOGLEFINANCE(A410,""price"",TODAY()-300,TODAY()),1,0),""select Col2 limit 100""))"),1037.3509999999997)</f>
        <v>1037.351</v>
      </c>
      <c r="E410" s="45">
        <f>IFERROR(__xludf.DUMMYFUNCTION("AVERAGE(QUERY(SORT(GOOGLEFINANCE(A410,""price"",TODAY()-500,TODAY()),1,0),""select Col2 limit 200""))"),1050.4172499999995)</f>
        <v>1050.41725</v>
      </c>
      <c r="F410" s="46" t="str">
        <f t="shared" si="1"/>
        <v>In Bear Run</v>
      </c>
      <c r="G410" s="47">
        <f t="shared" si="2"/>
        <v>-13.08215854</v>
      </c>
      <c r="H410" s="48" t="str">
        <f t="shared" si="3"/>
        <v>Inverted ✗</v>
      </c>
      <c r="I410" s="48">
        <f t="shared" si="4"/>
        <v>0</v>
      </c>
      <c r="J410" s="48">
        <f t="shared" si="5"/>
        <v>0</v>
      </c>
      <c r="K410" s="49" t="str">
        <f>IFERROR(__xludf.DUMMYFUNCTION("IFERROR(IF(A410="""",""ENTER STOCK"",LET(stock,A410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10" s="48">
        <f t="shared" si="6"/>
        <v>0</v>
      </c>
      <c r="M410" s="48">
        <f t="shared" si="7"/>
        <v>1</v>
      </c>
      <c r="N410" s="50">
        <f t="shared" si="8"/>
        <v>1</v>
      </c>
      <c r="P410" s="46" t="str">
        <f t="shared" si="9"/>
        <v>REVERSE TRADE</v>
      </c>
      <c r="Q410" s="52"/>
      <c r="R410" s="53">
        <f t="shared" si="10"/>
        <v>15</v>
      </c>
      <c r="S410" s="53">
        <f>IFERROR(__xludf.DUMMYFUNCTION("IFERROR(ROUND(GOOGLEFINANCE(A410,""volume"")/GOOGLEFINANCE(A410,""volumeavg""),2),"""")"),2.06)</f>
        <v>2.06</v>
      </c>
      <c r="T410" s="53" t="str">
        <f t="shared" si="11"/>
        <v>HIGH VOL</v>
      </c>
      <c r="U410" s="53">
        <f>IFERROR(__xludf.DUMMYFUNCTION("IFERROR(
  LET(
    sd, GOOGLEFINANCE(A410,""close"",TODAY()-100,TODAY()),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"""")"),1.09)</f>
        <v>1.09</v>
      </c>
      <c r="V410" s="53" t="str">
        <f t="shared" si="12"/>
        <v>MEDIUM</v>
      </c>
      <c r="W410" s="53">
        <f>IFERROR(__xludf.DUMMYFUNCTION("IFERROR(ROUND((B410/GOOGLEFINANCE(A410,""high52"")-1)*100,1),"""")"),-26.9)</f>
        <v>-26.9</v>
      </c>
      <c r="X410" s="53">
        <f>IFERROR(__xludf.DUMMYFUNCTION("IFERROR(ROUND((B410-GOOGLEFINANCE(A410,""low52""))/(GOOGLEFINANCE(A410,""high52"")-GOOGLEFINANCE(A410,""low52""))*100,1),"""")"),19.8)</f>
        <v>19.8</v>
      </c>
      <c r="Y410" s="53" t="str">
        <f t="shared" si="13"/>
        <v>MID</v>
      </c>
      <c r="Z410" s="53">
        <f>IFERROR(__xludf.DUMMYFUNCTION("IFERROR(ROUND(((B410 / INDEX(GOOGLEFINANCE(TRIM(A410), ""price"", TODAY()-34, TODAY()), 2, 2)) - (GOOGLEFINANCE(""NIFTY_50"") / INDEX(GOOGLEFINANCE(""NIFTY_50"", ""price"", TODAY()-34, TODAY()), 2, 2))) * 100, 2), ""Check History"")"),0.63)</f>
        <v>0.63</v>
      </c>
      <c r="AA410" s="53" t="str">
        <f t="shared" si="14"/>
        <v>MILD RS</v>
      </c>
      <c r="AB410" s="53">
        <f>IFERROR(__xludf.DUMMYFUNCTION("IFERROR(LET(
  p, QUERY(GOOGLEFINANCE(TRIM(A410),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Loading"")"),38.1)</f>
        <v>38.1</v>
      </c>
      <c r="AC410" s="53" t="str">
        <f t="shared" si="15"/>
        <v>WEAK MOM</v>
      </c>
      <c r="AD410" s="53" t="str">
        <f>IFERROR(__xludf.DUMMYFUNCTION("IFERROR(IF(GOOGLEFINANCE(A410,""eps"")&gt;0,""EPS+"",""EPS-""),"""")"),"EPS-")</f>
        <v>EPS-</v>
      </c>
      <c r="AE410" s="53">
        <f t="shared" si="16"/>
        <v>6</v>
      </c>
      <c r="AF410" s="53">
        <f>IFERROR(__xludf.DUMMYFUNCTION("IFERROR(N410+IF(S410&gt;=1.2,1,0)+IF(U410&gt;=1,1,0)+IF(Z410&gt;0,1,0)+IF(AND(W410&gt;=-20,W410&lt;=0),1,0)+IF(IFERROR(GOOGLEFINANCE(A410,""eps""),0)&gt;0,1,0),"""")"),4.0)</f>
        <v>4</v>
      </c>
      <c r="AG410" s="53" t="str">
        <f t="shared" si="17"/>
        <v>REVERSE TRADE</v>
      </c>
    </row>
    <row r="411" ht="15.75" customHeight="1">
      <c r="A411" s="55" t="s">
        <v>578</v>
      </c>
      <c r="B411" s="44">
        <f>IFERROR(__xludf.DUMMYFUNCTION("GOOGLEFINANCE(A411,""price"")"),4730.0)</f>
        <v>4730</v>
      </c>
      <c r="C411" s="45">
        <f>IFERROR(__xludf.DUMMYFUNCTION("AVERAGE(QUERY(SORT(GOOGLEFINANCE(A411,""price"",TODAY()-150,TODAY()),1,0),""select Col2 limit 50""))"),4809.231999999999)</f>
        <v>4809.232</v>
      </c>
      <c r="D411" s="45">
        <f>IFERROR(__xludf.DUMMYFUNCTION("AVERAGE(QUERY(SORT(GOOGLEFINANCE(A411,""price"",TODAY()-300,TODAY()),1,0),""select Col2 limit 100""))"),4903.895999999999)</f>
        <v>4903.896</v>
      </c>
      <c r="E411" s="45">
        <f>IFERROR(__xludf.DUMMYFUNCTION("AVERAGE(QUERY(SORT(GOOGLEFINANCE(A411,""price"",TODAY()-500,TODAY()),1,0),""select Col2 limit 200""))"),5129.857999999999)</f>
        <v>5129.858</v>
      </c>
      <c r="F411" s="46" t="str">
        <f t="shared" si="1"/>
        <v>In Bear Run</v>
      </c>
      <c r="G411" s="47">
        <f t="shared" si="2"/>
        <v>-7.794718684</v>
      </c>
      <c r="H411" s="48" t="str">
        <f t="shared" si="3"/>
        <v>Inverted ✗</v>
      </c>
      <c r="I411" s="48">
        <f t="shared" si="4"/>
        <v>0</v>
      </c>
      <c r="J411" s="48">
        <f t="shared" si="5"/>
        <v>0</v>
      </c>
      <c r="K411" s="49" t="str">
        <f>IFERROR(__xludf.DUMMYFUNCTION("IFERROR(IF(A411="""",""ENTER STOCK"",LET(stock,A411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11" s="48">
        <f t="shared" si="6"/>
        <v>0</v>
      </c>
      <c r="M411" s="48">
        <f t="shared" si="7"/>
        <v>1</v>
      </c>
      <c r="N411" s="50">
        <f t="shared" si="8"/>
        <v>1</v>
      </c>
      <c r="P411" s="46" t="str">
        <f t="shared" si="9"/>
        <v>REVERSE TRADE</v>
      </c>
      <c r="Q411" s="52"/>
      <c r="R411" s="53">
        <f t="shared" si="10"/>
        <v>15</v>
      </c>
      <c r="S411" s="53">
        <f>IFERROR(__xludf.DUMMYFUNCTION("IFERROR(ROUND(GOOGLEFINANCE(A411,""volume"")/GOOGLEFINANCE(A411,""volumeavg""),2),"""")"),1.08)</f>
        <v>1.08</v>
      </c>
      <c r="T411" s="53" t="str">
        <f t="shared" si="11"/>
        <v>LOW VOL</v>
      </c>
      <c r="U411" s="53">
        <f>IFERROR(__xludf.DUMMYFUNCTION("IFERROR(
  LET(
    sd, GOOGLEFINANCE(A411,""close"",TODAY()-100,TODAY()),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"""")"),0.95)</f>
        <v>0.95</v>
      </c>
      <c r="V411" s="53" t="str">
        <f t="shared" si="12"/>
        <v>MEDIUM</v>
      </c>
      <c r="W411" s="53">
        <f>IFERROR(__xludf.DUMMYFUNCTION("IFERROR(ROUND((B411/GOOGLEFINANCE(A411,""high52"")-1)*100,1),"""")"),-21.1)</f>
        <v>-21.1</v>
      </c>
      <c r="X411" s="53">
        <f>IFERROR(__xludf.DUMMYFUNCTION("IFERROR(ROUND((B411-GOOGLEFINANCE(A411,""low52""))/(GOOGLEFINANCE(A411,""high52"")-GOOGLEFINANCE(A411,""low52""))*100,1),"""")"),44.9)</f>
        <v>44.9</v>
      </c>
      <c r="Y411" s="53" t="str">
        <f t="shared" si="13"/>
        <v>MID</v>
      </c>
      <c r="Z411" s="53">
        <f>IFERROR(__xludf.DUMMYFUNCTION("IFERROR(ROUND(((B411 / INDEX(GOOGLEFINANCE(TRIM(A411), ""price"", TODAY()-34, TODAY()), 2, 2)) - (GOOGLEFINANCE(""NIFTY_50"") / INDEX(GOOGLEFINANCE(""NIFTY_50"", ""price"", TODAY()-34, TODAY()), 2, 2))) * 100, 2), ""Check History"")"),5.19)</f>
        <v>5.19</v>
      </c>
      <c r="AA411" s="53" t="str">
        <f t="shared" si="14"/>
        <v>STRONG RS</v>
      </c>
      <c r="AB411" s="53">
        <f>IFERROR(__xludf.DUMMYFUNCTION("IFERROR(LET(
  p, QUERY(GOOGLEFINANCE(TRIM(A411),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Loading"")"),47.6)</f>
        <v>47.6</v>
      </c>
      <c r="AC411" s="53" t="str">
        <f t="shared" si="15"/>
        <v>IDEAL ENTRY</v>
      </c>
      <c r="AD411" s="53" t="str">
        <f>IFERROR(__xludf.DUMMYFUNCTION("IFERROR(IF(GOOGLEFINANCE(A411,""eps"")&gt;0,""EPS+"",""EPS-""),"""")"),"EPS+")</f>
        <v>EPS+</v>
      </c>
      <c r="AE411" s="53">
        <f t="shared" si="16"/>
        <v>5</v>
      </c>
      <c r="AF411" s="53">
        <f>IFERROR(__xludf.DUMMYFUNCTION("IFERROR(N411+IF(S411&gt;=1.2,1,0)+IF(U411&gt;=1,1,0)+IF(Z411&gt;0,1,0)+IF(AND(W411&gt;=-20,W411&lt;=0),1,0)+IF(IFERROR(GOOGLEFINANCE(A411,""eps""),0)&gt;0,1,0),"""")"),3.0)</f>
        <v>3</v>
      </c>
      <c r="AG411" s="53" t="str">
        <f t="shared" si="17"/>
        <v>REVERSE TRADE</v>
      </c>
    </row>
    <row r="412" ht="15.75" customHeight="1">
      <c r="A412" s="55" t="s">
        <v>579</v>
      </c>
      <c r="B412" s="44">
        <f>IFERROR(__xludf.DUMMYFUNCTION("GOOGLEFINANCE(A412,""price"")"),136.7)</f>
        <v>136.7</v>
      </c>
      <c r="C412" s="45">
        <f>IFERROR(__xludf.DUMMYFUNCTION("AVERAGE(QUERY(SORT(GOOGLEFINANCE(A412,""price"",TODAY()-150,TODAY()),1,0),""select Col2 limit 50""))"),154.25320000000002)</f>
        <v>154.2532</v>
      </c>
      <c r="D412" s="45">
        <f>IFERROR(__xludf.DUMMYFUNCTION("AVERAGE(QUERY(SORT(GOOGLEFINANCE(A412,""price"",TODAY()-300,TODAY()),1,0),""select Col2 limit 100""))"),167.85979999999995)</f>
        <v>167.8598</v>
      </c>
      <c r="E412" s="45">
        <f>IFERROR(__xludf.DUMMYFUNCTION("AVERAGE(QUERY(SORT(GOOGLEFINANCE(A412,""price"",TODAY()-500,TODAY()),1,0),""select Col2 limit 200""))"),183.23724999999996)</f>
        <v>183.23725</v>
      </c>
      <c r="F412" s="46" t="str">
        <f t="shared" si="1"/>
        <v>In Bear Run</v>
      </c>
      <c r="G412" s="47">
        <f t="shared" si="2"/>
        <v>-25.39726502</v>
      </c>
      <c r="H412" s="48" t="str">
        <f t="shared" si="3"/>
        <v>Inverted ✗</v>
      </c>
      <c r="I412" s="48">
        <f t="shared" si="4"/>
        <v>0</v>
      </c>
      <c r="J412" s="48">
        <f t="shared" si="5"/>
        <v>0</v>
      </c>
      <c r="K412" s="49" t="str">
        <f>IFERROR(__xludf.DUMMYFUNCTION("IFERROR(IF(A412="""",""ENTER STOCK"",LET(stock,A412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12" s="48">
        <f t="shared" si="6"/>
        <v>0</v>
      </c>
      <c r="M412" s="48">
        <f t="shared" si="7"/>
        <v>1</v>
      </c>
      <c r="N412" s="50">
        <f t="shared" si="8"/>
        <v>1</v>
      </c>
      <c r="P412" s="46" t="str">
        <f t="shared" si="9"/>
        <v>REVERSE TRADE</v>
      </c>
      <c r="Q412" s="52"/>
      <c r="R412" s="53">
        <f t="shared" si="10"/>
        <v>15</v>
      </c>
      <c r="S412" s="53">
        <f>IFERROR(__xludf.DUMMYFUNCTION("IFERROR(ROUND(GOOGLEFINANCE(A412,""volume"")/GOOGLEFINANCE(A412,""volumeavg""),2),"""")"),1.62)</f>
        <v>1.62</v>
      </c>
      <c r="T412" s="53" t="str">
        <f t="shared" si="11"/>
        <v>HIGH VOL</v>
      </c>
      <c r="U412" s="53">
        <f>IFERROR(__xludf.DUMMYFUNCTION("IFERROR(
  LET(
    sd, GOOGLEFINANCE(A412,""close"",TODAY()-100,TODAY()),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"""")"),1.39)</f>
        <v>1.39</v>
      </c>
      <c r="V412" s="53" t="str">
        <f t="shared" si="12"/>
        <v>FAST</v>
      </c>
      <c r="W412" s="53">
        <f>IFERROR(__xludf.DUMMYFUNCTION("IFERROR(ROUND((B412/GOOGLEFINANCE(A412,""high52"")-1)*100,1),"""")"),-43.3)</f>
        <v>-43.3</v>
      </c>
      <c r="X412" s="53">
        <f>IFERROR(__xludf.DUMMYFUNCTION("IFERROR(ROUND((B412-GOOGLEFINANCE(A412,""low52""))/(GOOGLEFINANCE(A412,""high52"")-GOOGLEFINANCE(A412,""low52""))*100,1),"""")"),4.0)</f>
        <v>4</v>
      </c>
      <c r="Y412" s="53" t="str">
        <f t="shared" si="13"/>
        <v>DEEP RECOVERY</v>
      </c>
      <c r="Z412" s="53">
        <f>IFERROR(__xludf.DUMMYFUNCTION("IFERROR(ROUND(((B412 / INDEX(GOOGLEFINANCE(TRIM(A412), ""price"", TODAY()-34, TODAY()), 2, 2)) - (GOOGLEFINANCE(""NIFTY_50"") / INDEX(GOOGLEFINANCE(""NIFTY_50"", ""price"", TODAY()-34, TODAY()), 2, 2))) * 100, 2), ""Check History"")"),-2.12)</f>
        <v>-2.12</v>
      </c>
      <c r="AA412" s="53" t="str">
        <f t="shared" si="14"/>
        <v>WEAK RS</v>
      </c>
      <c r="AB412" s="53">
        <f>IFERROR(__xludf.DUMMYFUNCTION("IFERROR(LET(
  p, QUERY(GOOGLEFINANCE(TRIM(A412),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Loading"")"),30.7)</f>
        <v>30.7</v>
      </c>
      <c r="AC412" s="53" t="str">
        <f t="shared" si="15"/>
        <v>WEAK MOM</v>
      </c>
      <c r="AD412" s="53" t="str">
        <f>IFERROR(__xludf.DUMMYFUNCTION("IFERROR(IF(GOOGLEFINANCE(A412,""eps"")&gt;0,""EPS+"",""EPS-""),"""")"),"EPS-")</f>
        <v>EPS-</v>
      </c>
      <c r="AE412" s="53">
        <f t="shared" si="16"/>
        <v>6</v>
      </c>
      <c r="AF412" s="53">
        <f>IFERROR(__xludf.DUMMYFUNCTION("IFERROR(N412+IF(S412&gt;=1.2,1,0)+IF(U412&gt;=1,1,0)+IF(Z412&gt;0,1,0)+IF(AND(W412&gt;=-20,W412&lt;=0),1,0)+IF(IFERROR(GOOGLEFINANCE(A412,""eps""),0)&gt;0,1,0),"""")"),3.0)</f>
        <v>3</v>
      </c>
      <c r="AG412" s="53" t="str">
        <f t="shared" si="17"/>
        <v>REVERSE TRADE</v>
      </c>
    </row>
    <row r="413" ht="15.75" customHeight="1">
      <c r="A413" s="55" t="s">
        <v>580</v>
      </c>
      <c r="B413" s="44">
        <f>IFERROR(__xludf.DUMMYFUNCTION("GOOGLEFINANCE(A413,""price"")"),365.0)</f>
        <v>365</v>
      </c>
      <c r="C413" s="45">
        <f>IFERROR(__xludf.DUMMYFUNCTION("AVERAGE(QUERY(SORT(GOOGLEFINANCE(A413,""price"",TODAY()-150,TODAY()),1,0),""select Col2 limit 50""))"),432.75500000000005)</f>
        <v>432.755</v>
      </c>
      <c r="D413" s="45">
        <f>IFERROR(__xludf.DUMMYFUNCTION("AVERAGE(QUERY(SORT(GOOGLEFINANCE(A413,""price"",TODAY()-300,TODAY()),1,0),""select Col2 limit 100""))"),449.37399999999997)</f>
        <v>449.374</v>
      </c>
      <c r="E413" s="45">
        <f>IFERROR(__xludf.DUMMYFUNCTION("AVERAGE(QUERY(SORT(GOOGLEFINANCE(A413,""price"",TODAY()-500,TODAY()),1,0),""select Col2 limit 200""))"),455.65149999999977)</f>
        <v>455.6515</v>
      </c>
      <c r="F413" s="46" t="str">
        <f t="shared" si="1"/>
        <v>In Bear Run</v>
      </c>
      <c r="G413" s="47">
        <f t="shared" si="2"/>
        <v>-19.89491969</v>
      </c>
      <c r="H413" s="48" t="str">
        <f t="shared" si="3"/>
        <v>Inverted ✗</v>
      </c>
      <c r="I413" s="48">
        <f t="shared" si="4"/>
        <v>0</v>
      </c>
      <c r="J413" s="48">
        <f t="shared" si="5"/>
        <v>0</v>
      </c>
      <c r="K413" s="49" t="str">
        <f>IFERROR(__xludf.DUMMYFUNCTION("IFERROR(IF(A413="""",""ENTER STOCK"",LET(stock,A413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13" s="48">
        <f t="shared" si="6"/>
        <v>0</v>
      </c>
      <c r="M413" s="48">
        <f t="shared" si="7"/>
        <v>1</v>
      </c>
      <c r="N413" s="50">
        <f t="shared" si="8"/>
        <v>1</v>
      </c>
      <c r="P413" s="46" t="str">
        <f t="shared" si="9"/>
        <v>REVERSE TRADE</v>
      </c>
      <c r="Q413" s="52"/>
      <c r="R413" s="53">
        <f t="shared" si="10"/>
        <v>15</v>
      </c>
      <c r="S413" s="53">
        <f>IFERROR(__xludf.DUMMYFUNCTION("IFERROR(ROUND(GOOGLEFINANCE(A413,""volume"")/GOOGLEFINANCE(A413,""volumeavg""),2),"""")"),0.85)</f>
        <v>0.85</v>
      </c>
      <c r="T413" s="53" t="str">
        <f t="shared" si="11"/>
        <v>LOW VOL</v>
      </c>
      <c r="U413" s="53">
        <f>IFERROR(__xludf.DUMMYFUNCTION("IFERROR(
  LET(
    sd, GOOGLEFINANCE(A413,""close"",TODAY()-100,TODAY()),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"""")"),1.45)</f>
        <v>1.45</v>
      </c>
      <c r="V413" s="53" t="str">
        <f t="shared" si="12"/>
        <v>FAST</v>
      </c>
      <c r="W413" s="53">
        <f>IFERROR(__xludf.DUMMYFUNCTION("IFERROR(ROUND((B413/GOOGLEFINANCE(A413,""high52"")-1)*100,1),"""")"),-36.0)</f>
        <v>-36</v>
      </c>
      <c r="X413" s="53">
        <f>IFERROR(__xludf.DUMMYFUNCTION("IFERROR(ROUND((B413-GOOGLEFINANCE(A413,""low52""))/(GOOGLEFINANCE(A413,""high52"")-GOOGLEFINANCE(A413,""low52""))*100,1),"""")"),18.6)</f>
        <v>18.6</v>
      </c>
      <c r="Y413" s="53" t="str">
        <f t="shared" si="13"/>
        <v>MID</v>
      </c>
      <c r="Z413" s="53">
        <f>IFERROR(__xludf.DUMMYFUNCTION("IFERROR(ROUND(((B413 / INDEX(GOOGLEFINANCE(TRIM(A413), ""price"", TODAY()-34, TODAY()), 2, 2)) - (GOOGLEFINANCE(""NIFTY_50"") / INDEX(GOOGLEFINANCE(""NIFTY_50"", ""price"", TODAY()-34, TODAY()), 2, 2))) * 100, 2), ""Check History"")"),-9.86)</f>
        <v>-9.86</v>
      </c>
      <c r="AA413" s="53" t="str">
        <f t="shared" si="14"/>
        <v>WEAK RS</v>
      </c>
      <c r="AB413" s="53">
        <f>IFERROR(__xludf.DUMMYFUNCTION("IFERROR(LET(
  p, QUERY(GOOGLEFINANCE(TRIM(A413),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Loading"")"),47.6)</f>
        <v>47.6</v>
      </c>
      <c r="AC413" s="53" t="str">
        <f t="shared" si="15"/>
        <v>IDEAL ENTRY</v>
      </c>
      <c r="AD413" s="53" t="str">
        <f>IFERROR(__xludf.DUMMYFUNCTION("IFERROR(IF(GOOGLEFINANCE(A413,""eps"")&gt;0,""EPS+"",""EPS-""),"""")"),"EPS+")</f>
        <v>EPS+</v>
      </c>
      <c r="AE413" s="53">
        <f t="shared" si="16"/>
        <v>3</v>
      </c>
      <c r="AF413" s="53">
        <f>IFERROR(__xludf.DUMMYFUNCTION("IFERROR(N413+IF(S413&gt;=1.2,1,0)+IF(U413&gt;=1,1,0)+IF(Z413&gt;0,1,0)+IF(AND(W413&gt;=-20,W413&lt;=0),1,0)+IF(IFERROR(GOOGLEFINANCE(A413,""eps""),0)&gt;0,1,0),"""")"),3.0)</f>
        <v>3</v>
      </c>
      <c r="AG413" s="53" t="str">
        <f t="shared" si="17"/>
        <v>REVERSE TRADE</v>
      </c>
    </row>
    <row r="414" ht="15.75" customHeight="1">
      <c r="A414" s="55" t="s">
        <v>581</v>
      </c>
      <c r="B414" s="44">
        <f>IFERROR(__xludf.DUMMYFUNCTION("GOOGLEFINANCE(A414,""price"")"),319.0)</f>
        <v>319</v>
      </c>
      <c r="C414" s="45">
        <f>IFERROR(__xludf.DUMMYFUNCTION("AVERAGE(QUERY(SORT(GOOGLEFINANCE(A414,""price"",TODAY()-150,TODAY()),1,0),""select Col2 limit 50""))"),305.87899999999996)</f>
        <v>305.879</v>
      </c>
      <c r="D414" s="45">
        <f>IFERROR(__xludf.DUMMYFUNCTION("AVERAGE(QUERY(SORT(GOOGLEFINANCE(A414,""price"",TODAY()-300,TODAY()),1,0),""select Col2 limit 100""))"),315.63249999999994)</f>
        <v>315.6325</v>
      </c>
      <c r="E414" s="45">
        <f>IFERROR(__xludf.DUMMYFUNCTION("AVERAGE(QUERY(SORT(GOOGLEFINANCE(A414,""price"",TODAY()-500,TODAY()),1,0),""select Col2 limit 200""))"),370.63125)</f>
        <v>370.63125</v>
      </c>
      <c r="F414" s="46" t="str">
        <f t="shared" si="1"/>
        <v>Unconfirmed</v>
      </c>
      <c r="G414" s="47">
        <f t="shared" si="2"/>
        <v>-13.93062512</v>
      </c>
      <c r="H414" s="48" t="str">
        <f t="shared" si="3"/>
        <v>Inverted ✗</v>
      </c>
      <c r="I414" s="48">
        <f t="shared" si="4"/>
        <v>0</v>
      </c>
      <c r="J414" s="48">
        <f t="shared" si="5"/>
        <v>0</v>
      </c>
      <c r="K414" s="49" t="str">
        <f>IFERROR(__xludf.DUMMYFUNCTION("IFERROR(IF(A414="""",""ENTER STOCK"",LET(stock,A414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14" s="48">
        <f t="shared" si="6"/>
        <v>0</v>
      </c>
      <c r="M414" s="48">
        <f t="shared" si="7"/>
        <v>1</v>
      </c>
      <c r="N414" s="50">
        <f t="shared" si="8"/>
        <v>1</v>
      </c>
      <c r="P414" s="46" t="str">
        <f t="shared" si="9"/>
        <v>WAIT</v>
      </c>
      <c r="Q414" s="52"/>
      <c r="R414" s="53">
        <f t="shared" si="10"/>
        <v>15</v>
      </c>
      <c r="S414" s="53">
        <f>IFERROR(__xludf.DUMMYFUNCTION("IFERROR(ROUND(GOOGLEFINANCE(A414,""volume"")/GOOGLEFINANCE(A414,""volumeavg""),2),"""")"),0.73)</f>
        <v>0.73</v>
      </c>
      <c r="T414" s="53" t="str">
        <f t="shared" si="11"/>
        <v>LOW VOL</v>
      </c>
      <c r="U414" s="53">
        <f>IFERROR(__xludf.DUMMYFUNCTION("IFERROR(
  LET(
    sd, GOOGLEFINANCE(A414,""close"",TODAY()-100,TODAY()),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"""")"),0.78)</f>
        <v>0.78</v>
      </c>
      <c r="V414" s="53" t="str">
        <f t="shared" si="12"/>
        <v>SLOW</v>
      </c>
      <c r="W414" s="53">
        <f>IFERROR(__xludf.DUMMYFUNCTION("IFERROR(ROUND((B414/GOOGLEFINANCE(A414,""high52"")-1)*100,1),"""")"),-42.3)</f>
        <v>-42.3</v>
      </c>
      <c r="X414" s="53">
        <f>IFERROR(__xludf.DUMMYFUNCTION("IFERROR(ROUND((B414-GOOGLEFINANCE(A414,""low52""))/(GOOGLEFINANCE(A414,""high52"")-GOOGLEFINANCE(A414,""low52""))*100,1),"""")"),16.4)</f>
        <v>16.4</v>
      </c>
      <c r="Y414" s="53" t="str">
        <f t="shared" si="13"/>
        <v>DEEP RECOVERY</v>
      </c>
      <c r="Z414" s="53">
        <f>IFERROR(__xludf.DUMMYFUNCTION("IFERROR(ROUND(((B414 / INDEX(GOOGLEFINANCE(TRIM(A414), ""price"", TODAY()-34, TODAY()), 2, 2)) - (GOOGLEFINANCE(""NIFTY_50"") / INDEX(GOOGLEFINANCE(""NIFTY_50"", ""price"", TODAY()-34, TODAY()), 2, 2))) * 100, 2), ""Check History"")"),16.64)</f>
        <v>16.64</v>
      </c>
      <c r="AA414" s="53" t="str">
        <f t="shared" si="14"/>
        <v>STRONG RS</v>
      </c>
      <c r="AB414" s="53">
        <f>IFERROR(__xludf.DUMMYFUNCTION("IFERROR(LET(
  p, QUERY(GOOGLEFINANCE(TRIM(A414),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Loading"")"),39.3)</f>
        <v>39.3</v>
      </c>
      <c r="AC414" s="53" t="str">
        <f t="shared" si="15"/>
        <v>WEAK MOM</v>
      </c>
      <c r="AD414" s="53" t="str">
        <f>IFERROR(__xludf.DUMMYFUNCTION("IFERROR(IF(GOOGLEFINANCE(A414,""eps"")&gt;0,""EPS+"",""EPS-""),"""")"),"EPS+")</f>
        <v>EPS+</v>
      </c>
      <c r="AE414" s="53">
        <f t="shared" si="16"/>
        <v>3</v>
      </c>
      <c r="AF414" s="53">
        <f>IFERROR(__xludf.DUMMYFUNCTION("IFERROR(N414+IF(S414&gt;=1.2,1,0)+IF(U414&gt;=1,1,0)+IF(Z414&gt;0,1,0)+IF(AND(W414&gt;=-20,W414&lt;=0),1,0)+IF(IFERROR(GOOGLEFINANCE(A414,""eps""),0)&gt;0,1,0),"""")"),3.0)</f>
        <v>3</v>
      </c>
      <c r="AG414" s="53" t="str">
        <f t="shared" si="17"/>
        <v>WAIT</v>
      </c>
    </row>
    <row r="415" ht="15.75" customHeight="1">
      <c r="A415" s="55" t="s">
        <v>582</v>
      </c>
      <c r="B415" s="44">
        <f>IFERROR(__xludf.DUMMYFUNCTION("GOOGLEFINANCE(A415,""price"")"),1299.5)</f>
        <v>1299.5</v>
      </c>
      <c r="C415" s="45">
        <f>IFERROR(__xludf.DUMMYFUNCTION("AVERAGE(QUERY(SORT(GOOGLEFINANCE(A415,""price"",TODAY()-150,TODAY()),1,0),""select Col2 limit 50""))"),1423.588)</f>
        <v>1423.588</v>
      </c>
      <c r="D415" s="45">
        <f>IFERROR(__xludf.DUMMYFUNCTION("AVERAGE(QUERY(SORT(GOOGLEFINANCE(A415,""price"",TODAY()-300,TODAY()),1,0),""select Col2 limit 100""))"),1424.7909999999997)</f>
        <v>1424.791</v>
      </c>
      <c r="E415" s="45">
        <f>IFERROR(__xludf.DUMMYFUNCTION("AVERAGE(QUERY(SORT(GOOGLEFINANCE(A415,""price"",TODAY()-500,TODAY()),1,0),""select Col2 limit 200""))"),1362.5924999999997)</f>
        <v>1362.5925</v>
      </c>
      <c r="F415" s="46" t="str">
        <f t="shared" si="1"/>
        <v>In Bear Run</v>
      </c>
      <c r="G415" s="47">
        <f t="shared" si="2"/>
        <v>-4.630327849</v>
      </c>
      <c r="H415" s="48" t="str">
        <f t="shared" si="3"/>
        <v>Inverted ✗</v>
      </c>
      <c r="I415" s="48">
        <f t="shared" si="4"/>
        <v>0</v>
      </c>
      <c r="J415" s="48">
        <f t="shared" si="5"/>
        <v>0</v>
      </c>
      <c r="K415" s="49" t="str">
        <f>IFERROR(__xludf.DUMMYFUNCTION("IFERROR(IF(A415="""",""ENTER STOCK"",LET(stock,A415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15" s="48">
        <f t="shared" si="6"/>
        <v>0</v>
      </c>
      <c r="M415" s="48">
        <f t="shared" si="7"/>
        <v>1</v>
      </c>
      <c r="N415" s="50">
        <f t="shared" si="8"/>
        <v>1</v>
      </c>
      <c r="P415" s="46" t="str">
        <f t="shared" si="9"/>
        <v>REVERSE TRADE</v>
      </c>
      <c r="Q415" s="52"/>
      <c r="R415" s="53">
        <f t="shared" si="10"/>
        <v>15</v>
      </c>
      <c r="S415" s="53">
        <f>IFERROR(__xludf.DUMMYFUNCTION("IFERROR(ROUND(GOOGLEFINANCE(A415,""volume"")/GOOGLEFINANCE(A415,""volumeavg""),2),"""")"),0.42)</f>
        <v>0.42</v>
      </c>
      <c r="T415" s="53" t="str">
        <f t="shared" si="11"/>
        <v>LOW VOL</v>
      </c>
      <c r="U415" s="53">
        <f>IFERROR(__xludf.DUMMYFUNCTION("IFERROR(
  LET(
    sd, GOOGLEFINANCE(A415,""close"",TODAY()-100,TODAY()),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"""")"),1.1)</f>
        <v>1.1</v>
      </c>
      <c r="V415" s="53" t="str">
        <f t="shared" si="12"/>
        <v>MEDIUM</v>
      </c>
      <c r="W415" s="53">
        <f>IFERROR(__xludf.DUMMYFUNCTION("IFERROR(ROUND((B415/GOOGLEFINANCE(A415,""high52"")-1)*100,1),"""")"),-17.7)</f>
        <v>-17.7</v>
      </c>
      <c r="X415" s="53">
        <f>IFERROR(__xludf.DUMMYFUNCTION("IFERROR(ROUND((B415-GOOGLEFINANCE(A415,""low52""))/(GOOGLEFINANCE(A415,""high52"")-GOOGLEFINANCE(A415,""low52""))*100,1),"""")"),61.0)</f>
        <v>61</v>
      </c>
      <c r="Y415" s="53" t="str">
        <f t="shared" si="13"/>
        <v>UPPER</v>
      </c>
      <c r="Z415" s="53">
        <f>IFERROR(__xludf.DUMMYFUNCTION("IFERROR(ROUND(((B415 / INDEX(GOOGLEFINANCE(TRIM(A415), ""price"", TODAY()-34, TODAY()), 2, 2)) - (GOOGLEFINANCE(""NIFTY_50"") / INDEX(GOOGLEFINANCE(""NIFTY_50"", ""price"", TODAY()-34, TODAY()), 2, 2))) * 100, 2), ""Check History"")"),-1.32)</f>
        <v>-1.32</v>
      </c>
      <c r="AA415" s="53" t="str">
        <f t="shared" si="14"/>
        <v>WEAK RS</v>
      </c>
      <c r="AB415" s="53">
        <f>IFERROR(__xludf.DUMMYFUNCTION("IFERROR(LET(
  p, QUERY(GOOGLEFINANCE(TRIM(A415),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Loading"")"),42.6)</f>
        <v>42.6</v>
      </c>
      <c r="AC415" s="53" t="str">
        <f t="shared" si="15"/>
        <v>WEAK MOM</v>
      </c>
      <c r="AD415" s="53" t="str">
        <f>IFERROR(__xludf.DUMMYFUNCTION("IFERROR(IF(GOOGLEFINANCE(A415,""eps"")&gt;0,""EPS+"",""EPS-""),"""")"),"EPS+")</f>
        <v>EPS+</v>
      </c>
      <c r="AE415" s="53">
        <f t="shared" si="16"/>
        <v>3</v>
      </c>
      <c r="AF415" s="53">
        <f>IFERROR(__xludf.DUMMYFUNCTION("IFERROR(N415+IF(S415&gt;=1.2,1,0)+IF(U415&gt;=1,1,0)+IF(Z415&gt;0,1,0)+IF(AND(W415&gt;=-20,W415&lt;=0),1,0)+IF(IFERROR(GOOGLEFINANCE(A415,""eps""),0)&gt;0,1,0),"""")"),4.0)</f>
        <v>4</v>
      </c>
      <c r="AG415" s="53" t="str">
        <f t="shared" si="17"/>
        <v>REVERSE TRADE</v>
      </c>
    </row>
    <row r="416" ht="15.75" customHeight="1">
      <c r="A416" s="55" t="s">
        <v>583</v>
      </c>
      <c r="B416" s="44">
        <f>IFERROR(__xludf.DUMMYFUNCTION("GOOGLEFINANCE(A416,""price"")"),290.0)</f>
        <v>290</v>
      </c>
      <c r="C416" s="45">
        <f>IFERROR(__xludf.DUMMYFUNCTION("AVERAGE(QUERY(SORT(GOOGLEFINANCE(A416,""price"",TODAY()-150,TODAY()),1,0),""select Col2 limit 50""))"),306.2070000000001)</f>
        <v>306.207</v>
      </c>
      <c r="D416" s="45">
        <f>IFERROR(__xludf.DUMMYFUNCTION("AVERAGE(QUERY(SORT(GOOGLEFINANCE(A416,""price"",TODAY()-300,TODAY()),1,0),""select Col2 limit 100""))"),308.4615)</f>
        <v>308.4615</v>
      </c>
      <c r="E416" s="45">
        <f>IFERROR(__xludf.DUMMYFUNCTION("AVERAGE(QUERY(SORT(GOOGLEFINANCE(A416,""price"",TODAY()-500,TODAY()),1,0),""select Col2 limit 200""))"),287.30025)</f>
        <v>287.30025</v>
      </c>
      <c r="F416" s="46" t="str">
        <f t="shared" si="1"/>
        <v>Unconfirmed</v>
      </c>
      <c r="G416" s="47">
        <f t="shared" si="2"/>
        <v>0.939696363</v>
      </c>
      <c r="H416" s="48" t="str">
        <f t="shared" si="3"/>
        <v>Inverted ✗</v>
      </c>
      <c r="I416" s="48">
        <f t="shared" si="4"/>
        <v>0</v>
      </c>
      <c r="J416" s="48">
        <f t="shared" si="5"/>
        <v>2</v>
      </c>
      <c r="K416" s="49" t="str">
        <f>IFERROR(__xludf.DUMMYFUNCTION("IFERROR(IF(A416="""",""ENTER STOCK"",LET(stock,A416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16" s="48">
        <f t="shared" si="6"/>
        <v>0</v>
      </c>
      <c r="M416" s="48">
        <f t="shared" si="7"/>
        <v>1</v>
      </c>
      <c r="N416" s="50">
        <f t="shared" si="8"/>
        <v>3</v>
      </c>
      <c r="P416" s="46" t="str">
        <f t="shared" si="9"/>
        <v>WAIT</v>
      </c>
      <c r="Q416" s="52"/>
      <c r="R416" s="53">
        <f t="shared" si="10"/>
        <v>15</v>
      </c>
      <c r="S416" s="53">
        <f>IFERROR(__xludf.DUMMYFUNCTION("IFERROR(ROUND(GOOGLEFINANCE(A416,""volume"")/GOOGLEFINANCE(A416,""volumeavg""),2),"""")"),0.71)</f>
        <v>0.71</v>
      </c>
      <c r="T416" s="53" t="str">
        <f t="shared" si="11"/>
        <v>LOW VOL</v>
      </c>
      <c r="U416" s="53">
        <f>IFERROR(__xludf.DUMMYFUNCTION("IFERROR(
  LET(
    sd, GOOGLEFINANCE(A416,""close"",TODAY()-100,TODAY()),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"""")"),1.15)</f>
        <v>1.15</v>
      </c>
      <c r="V416" s="53" t="str">
        <f t="shared" si="12"/>
        <v>MEDIUM</v>
      </c>
      <c r="W416" s="53">
        <f>IFERROR(__xludf.DUMMYFUNCTION("IFERROR(ROUND((B416/GOOGLEFINANCE(A416,""high52"")-1)*100,1),"""")"),-14.8)</f>
        <v>-14.8</v>
      </c>
      <c r="X416" s="53">
        <f>IFERROR(__xludf.DUMMYFUNCTION("IFERROR(ROUND((B416-GOOGLEFINANCE(A416,""low52""))/(GOOGLEFINANCE(A416,""high52"")-GOOGLEFINANCE(A416,""low52""))*100,1),"""")"),71.4)</f>
        <v>71.4</v>
      </c>
      <c r="Y416" s="53" t="str">
        <f t="shared" si="13"/>
        <v>UPPER</v>
      </c>
      <c r="Z416" s="53">
        <f>IFERROR(__xludf.DUMMYFUNCTION("IFERROR(ROUND(((B416 / INDEX(GOOGLEFINANCE(TRIM(A416), ""price"", TODAY()-34, TODAY()), 2, 2)) - (GOOGLEFINANCE(""NIFTY_50"") / INDEX(GOOGLEFINANCE(""NIFTY_50"", ""price"", TODAY()-34, TODAY()), 2, 2))) * 100, 2), ""Check History"")"),1.12)</f>
        <v>1.12</v>
      </c>
      <c r="AA416" s="53" t="str">
        <f t="shared" si="14"/>
        <v>MILD RS</v>
      </c>
      <c r="AB416" s="53">
        <f>IFERROR(__xludf.DUMMYFUNCTION("IFERROR(LET(
  p, QUERY(GOOGLEFINANCE(TRIM(A416),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Loading"")"),38.3)</f>
        <v>38.3</v>
      </c>
      <c r="AC416" s="53" t="str">
        <f t="shared" si="15"/>
        <v>WEAK MOM</v>
      </c>
      <c r="AD416" s="53" t="str">
        <f>IFERROR(__xludf.DUMMYFUNCTION("IFERROR(IF(GOOGLEFINANCE(A416,""eps"")&gt;0,""EPS+"",""EPS-""),"""")"),"EPS+")</f>
        <v>EPS+</v>
      </c>
      <c r="AE416" s="53">
        <f t="shared" si="16"/>
        <v>4</v>
      </c>
      <c r="AF416" s="53">
        <f>IFERROR(__xludf.DUMMYFUNCTION("IFERROR(N416+IF(S416&gt;=1.2,1,0)+IF(U416&gt;=1,1,0)+IF(Z416&gt;0,1,0)+IF(AND(W416&gt;=-20,W416&lt;=0),1,0)+IF(IFERROR(GOOGLEFINANCE(A416,""eps""),0)&gt;0,1,0),"""")"),7.0)</f>
        <v>7</v>
      </c>
      <c r="AG416" s="53" t="str">
        <f t="shared" si="17"/>
        <v>WAIT</v>
      </c>
    </row>
    <row r="417" ht="15.75" customHeight="1">
      <c r="A417" s="55" t="s">
        <v>584</v>
      </c>
      <c r="B417" s="44">
        <f>IFERROR(__xludf.DUMMYFUNCTION("GOOGLEFINANCE(A417,""price"")"),344.6)</f>
        <v>344.6</v>
      </c>
      <c r="C417" s="45">
        <f>IFERROR(__xludf.DUMMYFUNCTION("AVERAGE(QUERY(SORT(GOOGLEFINANCE(A417,""price"",TODAY()-150,TODAY()),1,0),""select Col2 limit 50""))"),416.68199999999996)</f>
        <v>416.682</v>
      </c>
      <c r="D417" s="45">
        <f>IFERROR(__xludf.DUMMYFUNCTION("AVERAGE(QUERY(SORT(GOOGLEFINANCE(A417,""price"",TODAY()-300,TODAY()),1,0),""select Col2 limit 100""))"),438.4875)</f>
        <v>438.4875</v>
      </c>
      <c r="E417" s="45">
        <f>IFERROR(__xludf.DUMMYFUNCTION("AVERAGE(QUERY(SORT(GOOGLEFINANCE(A417,""price"",TODAY()-500,TODAY()),1,0),""select Col2 limit 200""))"),458.1369999999999)</f>
        <v>458.137</v>
      </c>
      <c r="F417" s="46" t="str">
        <f t="shared" si="1"/>
        <v>In Bear Run</v>
      </c>
      <c r="G417" s="47">
        <f t="shared" si="2"/>
        <v>-24.78232494</v>
      </c>
      <c r="H417" s="48" t="str">
        <f t="shared" si="3"/>
        <v>Inverted ✗</v>
      </c>
      <c r="I417" s="48">
        <f t="shared" si="4"/>
        <v>0</v>
      </c>
      <c r="J417" s="48">
        <f t="shared" si="5"/>
        <v>0</v>
      </c>
      <c r="K417" s="49" t="str">
        <f>IFERROR(__xludf.DUMMYFUNCTION("IFERROR(IF(A417="""",""ENTER STOCK"",LET(stock,A417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17" s="48">
        <f t="shared" si="6"/>
        <v>0</v>
      </c>
      <c r="M417" s="48">
        <f t="shared" si="7"/>
        <v>1</v>
      </c>
      <c r="N417" s="50">
        <f t="shared" si="8"/>
        <v>1</v>
      </c>
      <c r="P417" s="46" t="str">
        <f t="shared" si="9"/>
        <v>REVERSE TRADE</v>
      </c>
      <c r="Q417" s="52"/>
      <c r="R417" s="53">
        <f t="shared" si="10"/>
        <v>15</v>
      </c>
      <c r="S417" s="53">
        <f>IFERROR(__xludf.DUMMYFUNCTION("IFERROR(ROUND(GOOGLEFINANCE(A417,""volume"")/GOOGLEFINANCE(A417,""volumeavg""),2),"""")"),1.62)</f>
        <v>1.62</v>
      </c>
      <c r="T417" s="53" t="str">
        <f t="shared" si="11"/>
        <v>HIGH VOL</v>
      </c>
      <c r="U417" s="53">
        <f>IFERROR(__xludf.DUMMYFUNCTION("IFERROR(
  LET(
    sd, GOOGLEFINANCE(A417,""close"",TODAY()-100,TODAY()),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"""")"),1.53)</f>
        <v>1.53</v>
      </c>
      <c r="V417" s="53" t="str">
        <f t="shared" si="12"/>
        <v>FAST</v>
      </c>
      <c r="W417" s="53">
        <f>IFERROR(__xludf.DUMMYFUNCTION("IFERROR(ROUND((B417/GOOGLEFINANCE(A417,""high52"")-1)*100,1),"""")"),-37.1)</f>
        <v>-37.1</v>
      </c>
      <c r="X417" s="53">
        <f>IFERROR(__xludf.DUMMYFUNCTION("IFERROR(ROUND((B417-GOOGLEFINANCE(A417,""low52""))/(GOOGLEFINANCE(A417,""high52"")-GOOGLEFINANCE(A417,""low52""))*100,1),"""")"),9.6)</f>
        <v>9.6</v>
      </c>
      <c r="Y417" s="53" t="str">
        <f t="shared" si="13"/>
        <v>MID</v>
      </c>
      <c r="Z417" s="53">
        <f>IFERROR(__xludf.DUMMYFUNCTION("IFERROR(ROUND(((B417 / INDEX(GOOGLEFINANCE(TRIM(A417), ""price"", TODAY()-34, TODAY()), 2, 2)) - (GOOGLEFINANCE(""NIFTY_50"") / INDEX(GOOGLEFINANCE(""NIFTY_50"", ""price"", TODAY()-34, TODAY()), 2, 2))) * 100, 2), ""Check History"")"),-9.57)</f>
        <v>-9.57</v>
      </c>
      <c r="AA417" s="53" t="str">
        <f t="shared" si="14"/>
        <v>WEAK RS</v>
      </c>
      <c r="AB417" s="53">
        <f>IFERROR(__xludf.DUMMYFUNCTION("IFERROR(LET(
  p, QUERY(GOOGLEFINANCE(TRIM(A417),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Loading"")"),30.1)</f>
        <v>30.1</v>
      </c>
      <c r="AC417" s="53" t="str">
        <f t="shared" si="15"/>
        <v>WEAK MOM</v>
      </c>
      <c r="AD417" s="53" t="str">
        <f>IFERROR(__xludf.DUMMYFUNCTION("IFERROR(IF(GOOGLEFINANCE(A417,""eps"")&gt;0,""EPS+"",""EPS-""),"""")"),"")</f>
        <v/>
      </c>
      <c r="AE417" s="53">
        <f t="shared" si="16"/>
        <v>6</v>
      </c>
      <c r="AF417" s="53">
        <f>IFERROR(__xludf.DUMMYFUNCTION("IFERROR(N417+IF(S417&gt;=1.2,1,0)+IF(U417&gt;=1,1,0)+IF(Z417&gt;0,1,0)+IF(AND(W417&gt;=-20,W417&lt;=0),1,0)+IF(IFERROR(GOOGLEFINANCE(A417,""eps""),0)&gt;0,1,0),"""")"),3.0)</f>
        <v>3</v>
      </c>
      <c r="AG417" s="53" t="str">
        <f t="shared" si="17"/>
        <v>REVERSE TRADE</v>
      </c>
    </row>
    <row r="418" ht="15.75" customHeight="1">
      <c r="A418" s="55" t="s">
        <v>585</v>
      </c>
      <c r="B418" s="44">
        <f>IFERROR(__xludf.DUMMYFUNCTION("GOOGLEFINANCE(A418,""price"")"),176.15)</f>
        <v>176.15</v>
      </c>
      <c r="C418" s="45">
        <f>IFERROR(__xludf.DUMMYFUNCTION("AVERAGE(QUERY(SORT(GOOGLEFINANCE(A418,""price"",TODAY()-150,TODAY()),1,0),""select Col2 limit 50""))"),211.745)</f>
        <v>211.745</v>
      </c>
      <c r="D418" s="45">
        <f>IFERROR(__xludf.DUMMYFUNCTION("AVERAGE(QUERY(SORT(GOOGLEFINANCE(A418,""price"",TODAY()-300,TODAY()),1,0),""select Col2 limit 100""))"),224.9225999999999)</f>
        <v>224.9226</v>
      </c>
      <c r="E418" s="45">
        <f>IFERROR(__xludf.DUMMYFUNCTION("AVERAGE(QUERY(SORT(GOOGLEFINANCE(A418,""price"",TODAY()-500,TODAY()),1,0),""select Col2 limit 200""))"),244.54334999999995)</f>
        <v>244.54335</v>
      </c>
      <c r="F418" s="46" t="str">
        <f t="shared" si="1"/>
        <v>In Bear Run</v>
      </c>
      <c r="G418" s="47">
        <f t="shared" si="2"/>
        <v>-27.96778158</v>
      </c>
      <c r="H418" s="48" t="str">
        <f t="shared" si="3"/>
        <v>Inverted ✗</v>
      </c>
      <c r="I418" s="48">
        <f t="shared" si="4"/>
        <v>0</v>
      </c>
      <c r="J418" s="48">
        <f t="shared" si="5"/>
        <v>0</v>
      </c>
      <c r="K418" s="49" t="str">
        <f>IFERROR(__xludf.DUMMYFUNCTION("IFERROR(IF(A418="""",""ENTER STOCK"",LET(stock,A418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18" s="48">
        <f t="shared" si="6"/>
        <v>0</v>
      </c>
      <c r="M418" s="48">
        <f t="shared" si="7"/>
        <v>1</v>
      </c>
      <c r="N418" s="50">
        <f t="shared" si="8"/>
        <v>1</v>
      </c>
      <c r="P418" s="46" t="str">
        <f t="shared" si="9"/>
        <v>REVERSE TRADE</v>
      </c>
      <c r="Q418" s="52"/>
      <c r="R418" s="53">
        <f t="shared" si="10"/>
        <v>15</v>
      </c>
      <c r="S418" s="53">
        <f>IFERROR(__xludf.DUMMYFUNCTION("IFERROR(ROUND(GOOGLEFINANCE(A418,""volume"")/GOOGLEFINANCE(A418,""volumeavg""),2),"""")"),2.17)</f>
        <v>2.17</v>
      </c>
      <c r="T418" s="53" t="str">
        <f t="shared" si="11"/>
        <v>HIGH VOL</v>
      </c>
      <c r="U418" s="53">
        <f>IFERROR(__xludf.DUMMYFUNCTION("IFERROR(
  LET(
    sd, GOOGLEFINANCE(A418,""close"",TODAY()-100,TODAY()),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"""")"),1.25)</f>
        <v>1.25</v>
      </c>
      <c r="V418" s="53" t="str">
        <f t="shared" si="12"/>
        <v>FAST</v>
      </c>
      <c r="W418" s="53">
        <f>IFERROR(__xludf.DUMMYFUNCTION("IFERROR(ROUND((B418/GOOGLEFINANCE(A418,""high52"")-1)*100,1),"""")"),-44.3)</f>
        <v>-44.3</v>
      </c>
      <c r="X418" s="53">
        <f>IFERROR(__xludf.DUMMYFUNCTION("IFERROR(ROUND((B418-GOOGLEFINANCE(A418,""low52""))/(GOOGLEFINANCE(A418,""high52"")-GOOGLEFINANCE(A418,""low52""))*100,1),"""")"),0.8)</f>
        <v>0.8</v>
      </c>
      <c r="Y418" s="53" t="str">
        <f t="shared" si="13"/>
        <v>DEEP RECOVERY</v>
      </c>
      <c r="Z418" s="53">
        <f>IFERROR(__xludf.DUMMYFUNCTION("IFERROR(ROUND(((B418 / INDEX(GOOGLEFINANCE(TRIM(A418), ""price"", TODAY()-34, TODAY()), 2, 2)) - (GOOGLEFINANCE(""NIFTY_50"") / INDEX(GOOGLEFINANCE(""NIFTY_50"", ""price"", TODAY()-34, TODAY()), 2, 2))) * 100, 2), ""Check History"")"),-6.64)</f>
        <v>-6.64</v>
      </c>
      <c r="AA418" s="53" t="str">
        <f t="shared" si="14"/>
        <v>WEAK RS</v>
      </c>
      <c r="AB418" s="53">
        <f>IFERROR(__xludf.DUMMYFUNCTION("IFERROR(LET(
  p, QUERY(GOOGLEFINANCE(TRIM(A418),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Loading"")"),35.1)</f>
        <v>35.1</v>
      </c>
      <c r="AC418" s="53" t="str">
        <f t="shared" si="15"/>
        <v>WEAK MOM</v>
      </c>
      <c r="AD418" s="53" t="str">
        <f>IFERROR(__xludf.DUMMYFUNCTION("IFERROR(IF(GOOGLEFINANCE(A418,""eps"")&gt;0,""EPS+"",""EPS-""),"""")"),"EPS+")</f>
        <v>EPS+</v>
      </c>
      <c r="AE418" s="53">
        <f t="shared" si="16"/>
        <v>6</v>
      </c>
      <c r="AF418" s="53">
        <f>IFERROR(__xludf.DUMMYFUNCTION("IFERROR(N418+IF(S418&gt;=1.2,1,0)+IF(U418&gt;=1,1,0)+IF(Z418&gt;0,1,0)+IF(AND(W418&gt;=-20,W418&lt;=0),1,0)+IF(IFERROR(GOOGLEFINANCE(A418,""eps""),0)&gt;0,1,0),"""")"),4.0)</f>
        <v>4</v>
      </c>
      <c r="AG418" s="53" t="str">
        <f t="shared" si="17"/>
        <v>REVERSE TRADE</v>
      </c>
    </row>
    <row r="419" ht="15.75" customHeight="1">
      <c r="A419" s="55" t="s">
        <v>586</v>
      </c>
      <c r="B419" s="44">
        <f>IFERROR(__xludf.DUMMYFUNCTION("GOOGLEFINANCE(A419,""price"")"),2601.0)</f>
        <v>2601</v>
      </c>
      <c r="C419" s="45">
        <f>IFERROR(__xludf.DUMMYFUNCTION("AVERAGE(QUERY(SORT(GOOGLEFINANCE(A419,""price"",TODAY()-150,TODAY()),1,0),""select Col2 limit 50""))"),2757.0559999999996)</f>
        <v>2757.056</v>
      </c>
      <c r="D419" s="45">
        <f>IFERROR(__xludf.DUMMYFUNCTION("AVERAGE(QUERY(SORT(GOOGLEFINANCE(A419,""price"",TODAY()-300,TODAY()),1,0),""select Col2 limit 100""))"),2982.5969999999998)</f>
        <v>2982.597</v>
      </c>
      <c r="E419" s="45">
        <f>IFERROR(__xludf.DUMMYFUNCTION("AVERAGE(QUERY(SORT(GOOGLEFINANCE(A419,""price"",TODAY()-500,TODAY()),1,0),""select Col2 limit 200""))"),2912.3344999999995)</f>
        <v>2912.3345</v>
      </c>
      <c r="F419" s="46" t="str">
        <f t="shared" si="1"/>
        <v>In Bear Run</v>
      </c>
      <c r="G419" s="47">
        <f t="shared" si="2"/>
        <v>-10.69020403</v>
      </c>
      <c r="H419" s="48" t="str">
        <f t="shared" si="3"/>
        <v>Inverted ✗</v>
      </c>
      <c r="I419" s="48">
        <f t="shared" si="4"/>
        <v>0</v>
      </c>
      <c r="J419" s="48">
        <f t="shared" si="5"/>
        <v>0</v>
      </c>
      <c r="K419" s="49" t="str">
        <f>IFERROR(__xludf.DUMMYFUNCTION("IFERROR(IF(A419="""",""ENTER STOCK"",LET(stock,A419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19" s="48">
        <f t="shared" si="6"/>
        <v>0</v>
      </c>
      <c r="M419" s="48">
        <f t="shared" si="7"/>
        <v>1</v>
      </c>
      <c r="N419" s="50">
        <f t="shared" si="8"/>
        <v>1</v>
      </c>
      <c r="P419" s="46" t="str">
        <f t="shared" si="9"/>
        <v>REVERSE TRADE</v>
      </c>
      <c r="Q419" s="52"/>
      <c r="R419" s="53">
        <f t="shared" si="10"/>
        <v>15</v>
      </c>
      <c r="S419" s="53">
        <f>IFERROR(__xludf.DUMMYFUNCTION("IFERROR(ROUND(GOOGLEFINANCE(A419,""volume"")/GOOGLEFINANCE(A419,""volumeavg""),2),"""")"),1.05)</f>
        <v>1.05</v>
      </c>
      <c r="T419" s="53" t="str">
        <f t="shared" si="11"/>
        <v>LOW VOL</v>
      </c>
      <c r="U419" s="53">
        <f>IFERROR(__xludf.DUMMYFUNCTION("IFERROR(
  LET(
    sd, GOOGLEFINANCE(A419,""close"",TODAY()-100,TODAY()),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"""")"),0.54)</f>
        <v>0.54</v>
      </c>
      <c r="V419" s="53" t="str">
        <f t="shared" si="12"/>
        <v>SLOW</v>
      </c>
      <c r="W419" s="53">
        <f>IFERROR(__xludf.DUMMYFUNCTION("IFERROR(ROUND((B419/GOOGLEFINANCE(A419,""high52"")-1)*100,1),"""")"),-27.6)</f>
        <v>-27.6</v>
      </c>
      <c r="X419" s="53">
        <f>IFERROR(__xludf.DUMMYFUNCTION("IFERROR(ROUND((B419-GOOGLEFINANCE(A419,""low52""))/(GOOGLEFINANCE(A419,""high52"")-GOOGLEFINANCE(A419,""low52""))*100,1),"""")"),28.8)</f>
        <v>28.8</v>
      </c>
      <c r="Y419" s="53" t="str">
        <f t="shared" si="13"/>
        <v>MID</v>
      </c>
      <c r="Z419" s="53">
        <f>IFERROR(__xludf.DUMMYFUNCTION("IFERROR(ROUND(((B419 / INDEX(GOOGLEFINANCE(TRIM(A419), ""price"", TODAY()-34, TODAY()), 2, 2)) - (GOOGLEFINANCE(""NIFTY_50"") / INDEX(GOOGLEFINANCE(""NIFTY_50"", ""price"", TODAY()-34, TODAY()), 2, 2))) * 100, 2), ""Check History"")"),7.79)</f>
        <v>7.79</v>
      </c>
      <c r="AA419" s="53" t="str">
        <f t="shared" si="14"/>
        <v>STRONG RS</v>
      </c>
      <c r="AB419" s="53">
        <f>IFERROR(__xludf.DUMMYFUNCTION("IFERROR(LET(
  p, QUERY(GOOGLEFINANCE(TRIM(A419),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Loading"")"),50.2)</f>
        <v>50.2</v>
      </c>
      <c r="AC419" s="53" t="str">
        <f t="shared" si="15"/>
        <v>IDEAL ENTRY</v>
      </c>
      <c r="AD419" s="53" t="str">
        <f>IFERROR(__xludf.DUMMYFUNCTION("IFERROR(IF(GOOGLEFINANCE(A419,""eps"")&gt;0,""EPS+"",""EPS-""),"""")"),"EPS+")</f>
        <v>EPS+</v>
      </c>
      <c r="AE419" s="53">
        <f t="shared" si="16"/>
        <v>3</v>
      </c>
      <c r="AF419" s="53">
        <f>IFERROR(__xludf.DUMMYFUNCTION("IFERROR(N419+IF(S419&gt;=1.2,1,0)+IF(U419&gt;=1,1,0)+IF(Z419&gt;0,1,0)+IF(AND(W419&gt;=-20,W419&lt;=0),1,0)+IF(IFERROR(GOOGLEFINANCE(A419,""eps""),0)&gt;0,1,0),"""")"),3.0)</f>
        <v>3</v>
      </c>
      <c r="AG419" s="53" t="str">
        <f t="shared" si="17"/>
        <v>REVERSE TRADE</v>
      </c>
    </row>
    <row r="420" ht="15.75" customHeight="1">
      <c r="A420" s="55" t="s">
        <v>587</v>
      </c>
      <c r="B420" s="44">
        <f>IFERROR(__xludf.DUMMYFUNCTION("GOOGLEFINANCE(A420,""price"")"),245.95)</f>
        <v>245.95</v>
      </c>
      <c r="C420" s="45">
        <f>IFERROR(__xludf.DUMMYFUNCTION("AVERAGE(QUERY(SORT(GOOGLEFINANCE(A420,""price"",TODAY()-150,TODAY()),1,0),""select Col2 limit 50""))"),311.112)</f>
        <v>311.112</v>
      </c>
      <c r="D420" s="45">
        <f>IFERROR(__xludf.DUMMYFUNCTION("AVERAGE(QUERY(SORT(GOOGLEFINANCE(A420,""price"",TODAY()-300,TODAY()),1,0),""select Col2 limit 100""))"),329.63800000000003)</f>
        <v>329.638</v>
      </c>
      <c r="E420" s="45">
        <f>IFERROR(__xludf.DUMMYFUNCTION("AVERAGE(QUERY(SORT(GOOGLEFINANCE(A420,""price"",TODAY()-500,TODAY()),1,0),""select Col2 limit 200""))"),357.39700000000005)</f>
        <v>357.397</v>
      </c>
      <c r="F420" s="46" t="str">
        <f t="shared" si="1"/>
        <v>In Bear Run</v>
      </c>
      <c r="G420" s="47">
        <f t="shared" si="2"/>
        <v>-31.1829702</v>
      </c>
      <c r="H420" s="48" t="str">
        <f t="shared" si="3"/>
        <v>Inverted ✗</v>
      </c>
      <c r="I420" s="48">
        <f t="shared" si="4"/>
        <v>0</v>
      </c>
      <c r="J420" s="48">
        <f t="shared" si="5"/>
        <v>0</v>
      </c>
      <c r="K420" s="49" t="str">
        <f>IFERROR(__xludf.DUMMYFUNCTION("IFERROR(IF(A420="""",""ENTER STOCK"",LET(stock,A420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20" s="48">
        <f t="shared" si="6"/>
        <v>0</v>
      </c>
      <c r="M420" s="48">
        <f t="shared" si="7"/>
        <v>1</v>
      </c>
      <c r="N420" s="50">
        <f t="shared" si="8"/>
        <v>1</v>
      </c>
      <c r="P420" s="46" t="str">
        <f t="shared" si="9"/>
        <v>REVERSE TRADE</v>
      </c>
      <c r="Q420" s="52"/>
      <c r="R420" s="53">
        <f t="shared" si="10"/>
        <v>15</v>
      </c>
      <c r="S420" s="53">
        <f>IFERROR(__xludf.DUMMYFUNCTION("IFERROR(ROUND(GOOGLEFINANCE(A420,""volume"")/GOOGLEFINANCE(A420,""volumeavg""),2),"""")"),2.0)</f>
        <v>2</v>
      </c>
      <c r="T420" s="53" t="str">
        <f t="shared" si="11"/>
        <v>HIGH VOL</v>
      </c>
      <c r="U420" s="53">
        <f>IFERROR(__xludf.DUMMYFUNCTION("IFERROR(
  LET(
    sd, GOOGLEFINANCE(A420,""close"",TODAY()-100,TODAY()),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"""")"),1.52)</f>
        <v>1.52</v>
      </c>
      <c r="V420" s="53" t="str">
        <f t="shared" si="12"/>
        <v>FAST</v>
      </c>
      <c r="W420" s="53">
        <f>IFERROR(__xludf.DUMMYFUNCTION("IFERROR(ROUND((B420/GOOGLEFINANCE(A420,""high52"")-1)*100,1),"""")"),-48.6)</f>
        <v>-48.6</v>
      </c>
      <c r="X420" s="53">
        <f>IFERROR(__xludf.DUMMYFUNCTION("IFERROR(ROUND((B420-GOOGLEFINANCE(A420,""low52""))/(GOOGLEFINANCE(A420,""high52"")-GOOGLEFINANCE(A420,""low52""))*100,1),"""")"),0.4)</f>
        <v>0.4</v>
      </c>
      <c r="Y420" s="53" t="str">
        <f t="shared" si="13"/>
        <v>DEEP RECOVERY</v>
      </c>
      <c r="Z420" s="53">
        <f>IFERROR(__xludf.DUMMYFUNCTION("IFERROR(ROUND(((B420 / INDEX(GOOGLEFINANCE(TRIM(A420), ""price"", TODAY()-34, TODAY()), 2, 2)) - (GOOGLEFINANCE(""NIFTY_50"") / INDEX(GOOGLEFINANCE(""NIFTY_50"", ""price"", TODAY()-34, TODAY()), 2, 2))) * 100, 2), ""Check History"")"),-11.79)</f>
        <v>-11.79</v>
      </c>
      <c r="AA420" s="53" t="str">
        <f t="shared" si="14"/>
        <v>WEAK RS</v>
      </c>
      <c r="AB420" s="53">
        <f>IFERROR(__xludf.DUMMYFUNCTION("IFERROR(LET(
  p, QUERY(GOOGLEFINANCE(TRIM(A420),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Loading"")"),34.2)</f>
        <v>34.2</v>
      </c>
      <c r="AC420" s="53" t="str">
        <f t="shared" si="15"/>
        <v>WEAK MOM</v>
      </c>
      <c r="AD420" s="53" t="str">
        <f>IFERROR(__xludf.DUMMYFUNCTION("IFERROR(IF(GOOGLEFINANCE(A420,""eps"")&gt;0,""EPS+"",""EPS-""),"""")"),"EPS+")</f>
        <v>EPS+</v>
      </c>
      <c r="AE420" s="53">
        <f t="shared" si="16"/>
        <v>6</v>
      </c>
      <c r="AF420" s="53">
        <f>IFERROR(__xludf.DUMMYFUNCTION("IFERROR(N420+IF(S420&gt;=1.2,1,0)+IF(U420&gt;=1,1,0)+IF(Z420&gt;0,1,0)+IF(AND(W420&gt;=-20,W420&lt;=0),1,0)+IF(IFERROR(GOOGLEFINANCE(A420,""eps""),0)&gt;0,1,0),"""")"),4.0)</f>
        <v>4</v>
      </c>
      <c r="AG420" s="53" t="str">
        <f t="shared" si="17"/>
        <v>REVERSE TRADE</v>
      </c>
    </row>
    <row r="421" ht="15.75" customHeight="1">
      <c r="A421" s="55" t="s">
        <v>588</v>
      </c>
      <c r="B421" s="44">
        <f>IFERROR(__xludf.DUMMYFUNCTION("GOOGLEFINANCE(A421,""price"")"),466.55)</f>
        <v>466.55</v>
      </c>
      <c r="C421" s="45">
        <f>IFERROR(__xludf.DUMMYFUNCTION("AVERAGE(QUERY(SORT(GOOGLEFINANCE(A421,""price"",TODAY()-150,TODAY()),1,0),""select Col2 limit 50""))"),534.8479999999998)</f>
        <v>534.848</v>
      </c>
      <c r="D421" s="45">
        <f>IFERROR(__xludf.DUMMYFUNCTION("AVERAGE(QUERY(SORT(GOOGLEFINANCE(A421,""price"",TODAY()-300,TODAY()),1,0),""select Col2 limit 100""))"),530.0124999999998)</f>
        <v>530.0125</v>
      </c>
      <c r="E421" s="45">
        <f>IFERROR(__xludf.DUMMYFUNCTION("AVERAGE(QUERY(SORT(GOOGLEFINANCE(A421,""price"",TODAY()-500,TODAY()),1,0),""select Col2 limit 200""))"),562.1677499999998)</f>
        <v>562.16775</v>
      </c>
      <c r="F421" s="46" t="str">
        <f t="shared" si="1"/>
        <v>In Bear Run</v>
      </c>
      <c r="G421" s="47">
        <f t="shared" si="2"/>
        <v>-17.00875762</v>
      </c>
      <c r="H421" s="48" t="str">
        <f t="shared" si="3"/>
        <v>Inverted ✗</v>
      </c>
      <c r="I421" s="48">
        <f t="shared" si="4"/>
        <v>0</v>
      </c>
      <c r="J421" s="48">
        <f t="shared" si="5"/>
        <v>0</v>
      </c>
      <c r="K421" s="49" t="str">
        <f>IFERROR(__xludf.DUMMYFUNCTION("IFERROR(IF(A421="""",""ENTER STOCK"",LET(stock,A421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21" s="48">
        <f t="shared" si="6"/>
        <v>0</v>
      </c>
      <c r="M421" s="48">
        <f t="shared" si="7"/>
        <v>1</v>
      </c>
      <c r="N421" s="50">
        <f t="shared" si="8"/>
        <v>1</v>
      </c>
      <c r="P421" s="46" t="str">
        <f t="shared" si="9"/>
        <v>REVERSE TRADE</v>
      </c>
      <c r="Q421" s="52"/>
      <c r="R421" s="53">
        <f t="shared" si="10"/>
        <v>15</v>
      </c>
      <c r="S421" s="53">
        <f>IFERROR(__xludf.DUMMYFUNCTION("IFERROR(ROUND(GOOGLEFINANCE(A421,""volume"")/GOOGLEFINANCE(A421,""volumeavg""),2),"""")"),2.16)</f>
        <v>2.16</v>
      </c>
      <c r="T421" s="53" t="str">
        <f t="shared" si="11"/>
        <v>HIGH VOL</v>
      </c>
      <c r="U421" s="53">
        <f>IFERROR(__xludf.DUMMYFUNCTION("IFERROR(
  LET(
    sd, GOOGLEFINANCE(A421,""close"",TODAY()-100,TODAY()),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"""")"),1.29)</f>
        <v>1.29</v>
      </c>
      <c r="V421" s="53" t="str">
        <f t="shared" si="12"/>
        <v>FAST</v>
      </c>
      <c r="W421" s="53">
        <f>IFERROR(__xludf.DUMMYFUNCTION("IFERROR(ROUND((B421/GOOGLEFINANCE(A421,""high52"")-1)*100,1),"""")"),-40.5)</f>
        <v>-40.5</v>
      </c>
      <c r="X421" s="53">
        <f>IFERROR(__xludf.DUMMYFUNCTION("IFERROR(ROUND((B421-GOOGLEFINANCE(A421,""low52""))/(GOOGLEFINANCE(A421,""high52"")-GOOGLEFINANCE(A421,""low52""))*100,1),"""")"),2.0)</f>
        <v>2</v>
      </c>
      <c r="Y421" s="53" t="str">
        <f t="shared" si="13"/>
        <v>DEEP RECOVERY</v>
      </c>
      <c r="Z421" s="53">
        <f>IFERROR(__xludf.DUMMYFUNCTION("IFERROR(ROUND(((B421 / INDEX(GOOGLEFINANCE(TRIM(A421), ""price"", TODAY()-34, TODAY()), 2, 2)) - (GOOGLEFINANCE(""NIFTY_50"") / INDEX(GOOGLEFINANCE(""NIFTY_50"", ""price"", TODAY()-34, TODAY()), 2, 2))) * 100, 2), ""Check History"")"),-2.06)</f>
        <v>-2.06</v>
      </c>
      <c r="AA421" s="53" t="str">
        <f t="shared" si="14"/>
        <v>WEAK RS</v>
      </c>
      <c r="AB421" s="53">
        <f>IFERROR(__xludf.DUMMYFUNCTION("IFERROR(LET(
  p, QUERY(GOOGLEFINANCE(TRIM(A421),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Loading"")"),49.5)</f>
        <v>49.5</v>
      </c>
      <c r="AC421" s="53" t="str">
        <f t="shared" si="15"/>
        <v>IDEAL ENTRY</v>
      </c>
      <c r="AD421" s="53" t="str">
        <f>IFERROR(__xludf.DUMMYFUNCTION("IFERROR(IF(GOOGLEFINANCE(A421,""eps"")&gt;0,""EPS+"",""EPS-""),"""")"),"EPS+")</f>
        <v>EPS+</v>
      </c>
      <c r="AE421" s="53">
        <f t="shared" si="16"/>
        <v>6</v>
      </c>
      <c r="AF421" s="53">
        <f>IFERROR(__xludf.DUMMYFUNCTION("IFERROR(N421+IF(S421&gt;=1.2,1,0)+IF(U421&gt;=1,1,0)+IF(Z421&gt;0,1,0)+IF(AND(W421&gt;=-20,W421&lt;=0),1,0)+IF(IFERROR(GOOGLEFINANCE(A421,""eps""),0)&gt;0,1,0),"""")"),4.0)</f>
        <v>4</v>
      </c>
      <c r="AG421" s="53" t="str">
        <f t="shared" si="17"/>
        <v>REVERSE TRADE</v>
      </c>
    </row>
    <row r="422" ht="15.75" customHeight="1">
      <c r="A422" s="55" t="s">
        <v>589</v>
      </c>
      <c r="B422" s="44">
        <f>IFERROR(__xludf.DUMMYFUNCTION("GOOGLEFINANCE(A422,""price"")"),106.45)</f>
        <v>106.45</v>
      </c>
      <c r="C422" s="45">
        <f>IFERROR(__xludf.DUMMYFUNCTION("AVERAGE(QUERY(SORT(GOOGLEFINANCE(A422,""price"",TODAY()-150,TODAY()),1,0),""select Col2 limit 50""))"),126.65560000000005)</f>
        <v>126.6556</v>
      </c>
      <c r="D422" s="45">
        <f>IFERROR(__xludf.DUMMYFUNCTION("AVERAGE(QUERY(SORT(GOOGLEFINANCE(A422,""price"",TODAY()-300,TODAY()),1,0),""select Col2 limit 100""))"),135.04650000000004)</f>
        <v>135.0465</v>
      </c>
      <c r="E422" s="45">
        <f>IFERROR(__xludf.DUMMYFUNCTION("AVERAGE(QUERY(SORT(GOOGLEFINANCE(A422,""price"",TODAY()-500,TODAY()),1,0),""select Col2 limit 200""))"),143.78435000000002)</f>
        <v>143.78435</v>
      </c>
      <c r="F422" s="46" t="str">
        <f t="shared" si="1"/>
        <v>In Bear Run</v>
      </c>
      <c r="G422" s="47">
        <f t="shared" si="2"/>
        <v>-25.96551711</v>
      </c>
      <c r="H422" s="48" t="str">
        <f t="shared" si="3"/>
        <v>Inverted ✗</v>
      </c>
      <c r="I422" s="48">
        <f t="shared" si="4"/>
        <v>0</v>
      </c>
      <c r="J422" s="48">
        <f t="shared" si="5"/>
        <v>0</v>
      </c>
      <c r="K422" s="49" t="str">
        <f>IFERROR(__xludf.DUMMYFUNCTION("IFERROR(IF(A422="""",""ENTER STOCK"",LET(stock,A422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22" s="48">
        <f t="shared" si="6"/>
        <v>0</v>
      </c>
      <c r="M422" s="48">
        <f t="shared" si="7"/>
        <v>1</v>
      </c>
      <c r="N422" s="50">
        <f t="shared" si="8"/>
        <v>1</v>
      </c>
      <c r="P422" s="46" t="str">
        <f t="shared" si="9"/>
        <v>REVERSE TRADE</v>
      </c>
      <c r="Q422" s="52"/>
      <c r="R422" s="53">
        <f t="shared" si="10"/>
        <v>15</v>
      </c>
      <c r="S422" s="53">
        <f>IFERROR(__xludf.DUMMYFUNCTION("IFERROR(ROUND(GOOGLEFINANCE(A422,""volume"")/GOOGLEFINANCE(A422,""volumeavg""),2),"""")"),0.56)</f>
        <v>0.56</v>
      </c>
      <c r="T422" s="53" t="str">
        <f t="shared" si="11"/>
        <v>LOW VOL</v>
      </c>
      <c r="U422" s="53">
        <f>IFERROR(__xludf.DUMMYFUNCTION("IFERROR(
  LET(
    sd, GOOGLEFINANCE(A422,""close"",TODAY()-100,TODAY()),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"""")"),1.57)</f>
        <v>1.57</v>
      </c>
      <c r="V422" s="53" t="str">
        <f t="shared" si="12"/>
        <v>FAST</v>
      </c>
      <c r="W422" s="53">
        <f>IFERROR(__xludf.DUMMYFUNCTION("IFERROR(ROUND((B422/GOOGLEFINANCE(A422,""high52"")-1)*100,1),"""")"),-36.1)</f>
        <v>-36.1</v>
      </c>
      <c r="X422" s="53">
        <f>IFERROR(__xludf.DUMMYFUNCTION("IFERROR(ROUND((B422-GOOGLEFINANCE(A422,""low52""))/(GOOGLEFINANCE(A422,""high52"")-GOOGLEFINANCE(A422,""low52""))*100,1),"""")"),0.7)</f>
        <v>0.7</v>
      </c>
      <c r="Y422" s="53" t="str">
        <f t="shared" si="13"/>
        <v>MID</v>
      </c>
      <c r="Z422" s="53">
        <f>IFERROR(__xludf.DUMMYFUNCTION("IFERROR(ROUND(((B422 / INDEX(GOOGLEFINANCE(TRIM(A422), ""price"", TODAY()-34, TODAY()), 2, 2)) - (GOOGLEFINANCE(""NIFTY_50"") / INDEX(GOOGLEFINANCE(""NIFTY_50"", ""price"", TODAY()-34, TODAY()), 2, 2))) * 100, 2), ""Check History"")"),-4.42)</f>
        <v>-4.42</v>
      </c>
      <c r="AA422" s="53" t="str">
        <f t="shared" si="14"/>
        <v>WEAK RS</v>
      </c>
      <c r="AB422" s="53">
        <f>IFERROR(__xludf.DUMMYFUNCTION("IFERROR(LET(
  p, QUERY(GOOGLEFINANCE(TRIM(A422),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Loading"")"),47.3)</f>
        <v>47.3</v>
      </c>
      <c r="AC422" s="53" t="str">
        <f t="shared" si="15"/>
        <v>IDEAL ENTRY</v>
      </c>
      <c r="AD422" s="53" t="str">
        <f>IFERROR(__xludf.DUMMYFUNCTION("IFERROR(IF(GOOGLEFINANCE(A422,""eps"")&gt;0,""EPS+"",""EPS-""),"""")"),"EPS+")</f>
        <v>EPS+</v>
      </c>
      <c r="AE422" s="53">
        <f t="shared" si="16"/>
        <v>3</v>
      </c>
      <c r="AF422" s="53">
        <f>IFERROR(__xludf.DUMMYFUNCTION("IFERROR(N422+IF(S422&gt;=1.2,1,0)+IF(U422&gt;=1,1,0)+IF(Z422&gt;0,1,0)+IF(AND(W422&gt;=-20,W422&lt;=0),1,0)+IF(IFERROR(GOOGLEFINANCE(A422,""eps""),0)&gt;0,1,0),"""")"),3.0)</f>
        <v>3</v>
      </c>
      <c r="AG422" s="53" t="str">
        <f t="shared" si="17"/>
        <v>REVERSE TRADE</v>
      </c>
    </row>
    <row r="423" ht="15.75" customHeight="1">
      <c r="A423" s="55" t="s">
        <v>590</v>
      </c>
      <c r="B423" s="44">
        <f>IFERROR(__xludf.DUMMYFUNCTION("GOOGLEFINANCE(A423,""price"")"),197.95)</f>
        <v>197.95</v>
      </c>
      <c r="C423" s="45">
        <f>IFERROR(__xludf.DUMMYFUNCTION("AVERAGE(QUERY(SORT(GOOGLEFINANCE(A423,""price"",TODAY()-150,TODAY()),1,0),""select Col2 limit 50""))"),250.04100000000003)</f>
        <v>250.041</v>
      </c>
      <c r="D423" s="45">
        <f>IFERROR(__xludf.DUMMYFUNCTION("AVERAGE(QUERY(SORT(GOOGLEFINANCE(A423,""price"",TODAY()-300,TODAY()),1,0),""select Col2 limit 100""))"),264.73449999999997)</f>
        <v>264.7345</v>
      </c>
      <c r="E423" s="45">
        <f>IFERROR(__xludf.DUMMYFUNCTION("AVERAGE(QUERY(SORT(GOOGLEFINANCE(A423,""price"",TODAY()-500,TODAY()),1,0),""select Col2 limit 200""))"),269.8697999999998)</f>
        <v>269.8698</v>
      </c>
      <c r="F423" s="46" t="str">
        <f t="shared" si="1"/>
        <v>In Bear Run</v>
      </c>
      <c r="G423" s="47">
        <f t="shared" si="2"/>
        <v>-26.6498141</v>
      </c>
      <c r="H423" s="48" t="str">
        <f t="shared" si="3"/>
        <v>Inverted ✗</v>
      </c>
      <c r="I423" s="48">
        <f t="shared" si="4"/>
        <v>0</v>
      </c>
      <c r="J423" s="48">
        <f t="shared" si="5"/>
        <v>0</v>
      </c>
      <c r="K423" s="49" t="str">
        <f>IFERROR(__xludf.DUMMYFUNCTION("IFERROR(IF(A423="""",""ENTER STOCK"",LET(stock,A423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23" s="48">
        <f t="shared" si="6"/>
        <v>0</v>
      </c>
      <c r="M423" s="48">
        <f t="shared" si="7"/>
        <v>1</v>
      </c>
      <c r="N423" s="50">
        <f t="shared" si="8"/>
        <v>1</v>
      </c>
      <c r="P423" s="46" t="str">
        <f t="shared" si="9"/>
        <v>REVERSE TRADE</v>
      </c>
      <c r="Q423" s="52"/>
      <c r="R423" s="53">
        <f t="shared" si="10"/>
        <v>15</v>
      </c>
      <c r="S423" s="53">
        <f>IFERROR(__xludf.DUMMYFUNCTION("IFERROR(ROUND(GOOGLEFINANCE(A423,""volume"")/GOOGLEFINANCE(A423,""volumeavg""),2),"""")"),0.72)</f>
        <v>0.72</v>
      </c>
      <c r="T423" s="53" t="str">
        <f t="shared" si="11"/>
        <v>LOW VOL</v>
      </c>
      <c r="U423" s="53">
        <f>IFERROR(__xludf.DUMMYFUNCTION("IFERROR(
  LET(
    sd, GOOGLEFINANCE(A423,""close"",TODAY()-100,TODAY()),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"""")"),1.33)</f>
        <v>1.33</v>
      </c>
      <c r="V423" s="53" t="str">
        <f t="shared" si="12"/>
        <v>FAST</v>
      </c>
      <c r="W423" s="53">
        <f>IFERROR(__xludf.DUMMYFUNCTION("IFERROR(ROUND((B423/GOOGLEFINANCE(A423,""high52"")-1)*100,1),"""")"),-40.9)</f>
        <v>-40.9</v>
      </c>
      <c r="X423" s="53">
        <f>IFERROR(__xludf.DUMMYFUNCTION("IFERROR(ROUND((B423-GOOGLEFINANCE(A423,""low52""))/(GOOGLEFINANCE(A423,""high52"")-GOOGLEFINANCE(A423,""low52""))*100,1),"""")"),13.3)</f>
        <v>13.3</v>
      </c>
      <c r="Y423" s="53" t="str">
        <f t="shared" si="13"/>
        <v>DEEP RECOVERY</v>
      </c>
      <c r="Z423" s="53">
        <f>IFERROR(__xludf.DUMMYFUNCTION("IFERROR(ROUND(((B423 / INDEX(GOOGLEFINANCE(TRIM(A423), ""price"", TODAY()-34, TODAY()), 2, 2)) - (GOOGLEFINANCE(""NIFTY_50"") / INDEX(GOOGLEFINANCE(""NIFTY_50"", ""price"", TODAY()-34, TODAY()), 2, 2))) * 100, 2), ""Check History"")"),-5.34)</f>
        <v>-5.34</v>
      </c>
      <c r="AA423" s="53" t="str">
        <f t="shared" si="14"/>
        <v>WEAK RS</v>
      </c>
      <c r="AB423" s="53">
        <f>IFERROR(__xludf.DUMMYFUNCTION("IFERROR(LET(
  p, QUERY(GOOGLEFINANCE(TRIM(A423),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Loading"")"),56.7)</f>
        <v>56.7</v>
      </c>
      <c r="AC423" s="53" t="str">
        <f t="shared" si="15"/>
        <v>IDEAL ENTRY</v>
      </c>
      <c r="AD423" s="53" t="str">
        <f>IFERROR(__xludf.DUMMYFUNCTION("IFERROR(IF(GOOGLEFINANCE(A423,""eps"")&gt;0,""EPS+"",""EPS-""),"""")"),"EPS+")</f>
        <v>EPS+</v>
      </c>
      <c r="AE423" s="53">
        <f t="shared" si="16"/>
        <v>3</v>
      </c>
      <c r="AF423" s="53">
        <f>IFERROR(__xludf.DUMMYFUNCTION("IFERROR(N423+IF(S423&gt;=1.2,1,0)+IF(U423&gt;=1,1,0)+IF(Z423&gt;0,1,0)+IF(AND(W423&gt;=-20,W423&lt;=0),1,0)+IF(IFERROR(GOOGLEFINANCE(A423,""eps""),0)&gt;0,1,0),"""")"),3.0)</f>
        <v>3</v>
      </c>
      <c r="AG423" s="53" t="str">
        <f t="shared" si="17"/>
        <v>REVERSE TRADE</v>
      </c>
    </row>
    <row r="424" ht="15.75" customHeight="1">
      <c r="A424" s="55" t="s">
        <v>591</v>
      </c>
      <c r="B424" s="44">
        <f>IFERROR(__xludf.DUMMYFUNCTION("GOOGLEFINANCE(A424,""price"")"),66.97)</f>
        <v>66.97</v>
      </c>
      <c r="C424" s="45">
        <f>IFERROR(__xludf.DUMMYFUNCTION("AVERAGE(QUERY(SORT(GOOGLEFINANCE(A424,""price"",TODAY()-150,TODAY()),1,0),""select Col2 limit 50""))"),108.22779999999999)</f>
        <v>108.2278</v>
      </c>
      <c r="D424" s="45">
        <f>IFERROR(__xludf.DUMMYFUNCTION("AVERAGE(QUERY(SORT(GOOGLEFINANCE(A424,""price"",TODAY()-300,TODAY()),1,0),""select Col2 limit 100""))"),151.6976)</f>
        <v>151.6976</v>
      </c>
      <c r="E424" s="45">
        <f>IFERROR(__xludf.DUMMYFUNCTION("AVERAGE(QUERY(SORT(GOOGLEFINANCE(A424,""price"",TODAY()-500,TODAY()),1,0),""select Col2 limit 200""))"),236.06155000000007)</f>
        <v>236.06155</v>
      </c>
      <c r="F424" s="46" t="str">
        <f t="shared" si="1"/>
        <v>In Bear Run</v>
      </c>
      <c r="G424" s="47">
        <f t="shared" si="2"/>
        <v>-71.63028032</v>
      </c>
      <c r="H424" s="48" t="str">
        <f t="shared" si="3"/>
        <v>Inverted ✗</v>
      </c>
      <c r="I424" s="48">
        <f t="shared" si="4"/>
        <v>0</v>
      </c>
      <c r="J424" s="48">
        <f t="shared" si="5"/>
        <v>0</v>
      </c>
      <c r="K424" s="49" t="str">
        <f>IFERROR(__xludf.DUMMYFUNCTION("IFERROR(IF(A424="""",""ENTER STOCK"",LET(stock,A424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24" s="48">
        <f t="shared" si="6"/>
        <v>0</v>
      </c>
      <c r="M424" s="48">
        <f t="shared" si="7"/>
        <v>1</v>
      </c>
      <c r="N424" s="50">
        <f t="shared" si="8"/>
        <v>1</v>
      </c>
      <c r="P424" s="46" t="str">
        <f t="shared" si="9"/>
        <v>REVERSE TRADE</v>
      </c>
      <c r="Q424" s="52"/>
      <c r="R424" s="53">
        <f t="shared" si="10"/>
        <v>15</v>
      </c>
      <c r="S424" s="53">
        <f>IFERROR(__xludf.DUMMYFUNCTION("IFERROR(ROUND(GOOGLEFINANCE(A424,""volume"")/GOOGLEFINANCE(A424,""volumeavg""),2),"""")"),1.02)</f>
        <v>1.02</v>
      </c>
      <c r="T424" s="53" t="str">
        <f t="shared" si="11"/>
        <v>LOW VOL</v>
      </c>
      <c r="U424" s="53">
        <f>IFERROR(__xludf.DUMMYFUNCTION("IFERROR(
  LET(
    sd, GOOGLEFINANCE(A424,""close"",TODAY()-100,TODAY()),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"""")"),0.39)</f>
        <v>0.39</v>
      </c>
      <c r="V424" s="53" t="str">
        <f t="shared" si="12"/>
        <v>SLOW</v>
      </c>
      <c r="W424" s="53">
        <f>IFERROR(__xludf.DUMMYFUNCTION("IFERROR(ROUND((B424/GOOGLEFINANCE(A424,""high52"")-1)*100,1),"""")"),-84.2)</f>
        <v>-84.2</v>
      </c>
      <c r="X424" s="53">
        <f>IFERROR(__xludf.DUMMYFUNCTION("IFERROR(ROUND((B424-GOOGLEFINANCE(A424,""low52""))/(GOOGLEFINANCE(A424,""high52"")-GOOGLEFINANCE(A424,""low52""))*100,1),"""")"),0.0)</f>
        <v>0</v>
      </c>
      <c r="Y424" s="53" t="str">
        <f t="shared" si="13"/>
        <v>DEEP RECOVERY</v>
      </c>
      <c r="Z424" s="53">
        <f>IFERROR(__xludf.DUMMYFUNCTION("IFERROR(ROUND(((B424 / INDEX(GOOGLEFINANCE(TRIM(A424), ""price"", TODAY()-34, TODAY()), 2, 2)) - (GOOGLEFINANCE(""NIFTY_50"") / INDEX(GOOGLEFINANCE(""NIFTY_50"", ""price"", TODAY()-34, TODAY()), 2, 2))) * 100, 2), ""Check History"")"),-17.77)</f>
        <v>-17.77</v>
      </c>
      <c r="AA424" s="53" t="str">
        <f t="shared" si="14"/>
        <v>WEAK RS</v>
      </c>
      <c r="AB424" s="53">
        <f>IFERROR(__xludf.DUMMYFUNCTION("IFERROR(LET(
  p, QUERY(GOOGLEFINANCE(TRIM(A424),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Loading"")"),35.6)</f>
        <v>35.6</v>
      </c>
      <c r="AC424" s="53" t="str">
        <f t="shared" si="15"/>
        <v>WEAK MOM</v>
      </c>
      <c r="AD424" s="53" t="str">
        <f>IFERROR(__xludf.DUMMYFUNCTION("IFERROR(IF(GOOGLEFINANCE(A424,""eps"")&gt;0,""EPS+"",""EPS-""),"""")"),"EPS+")</f>
        <v>EPS+</v>
      </c>
      <c r="AE424" s="53">
        <f t="shared" si="16"/>
        <v>1</v>
      </c>
      <c r="AF424" s="53">
        <f>IFERROR(__xludf.DUMMYFUNCTION("IFERROR(N424+IF(S424&gt;=1.2,1,0)+IF(U424&gt;=1,1,0)+IF(Z424&gt;0,1,0)+IF(AND(W424&gt;=-20,W424&lt;=0),1,0)+IF(IFERROR(GOOGLEFINANCE(A424,""eps""),0)&gt;0,1,0),"""")"),2.0)</f>
        <v>2</v>
      </c>
      <c r="AG424" s="53" t="str">
        <f t="shared" si="17"/>
        <v>REVERSE TRADE</v>
      </c>
    </row>
    <row r="425" ht="15.75" customHeight="1">
      <c r="A425" s="55" t="s">
        <v>592</v>
      </c>
      <c r="B425" s="44">
        <f>IFERROR(__xludf.DUMMYFUNCTION("GOOGLEFINANCE(A425,""price"")"),20.37)</f>
        <v>20.37</v>
      </c>
      <c r="C425" s="45">
        <f>IFERROR(__xludf.DUMMYFUNCTION("AVERAGE(QUERY(SORT(GOOGLEFINANCE(A425,""price"",TODAY()-150,TODAY()),1,0),""select Col2 limit 50""))"),25.790800000000008)</f>
        <v>25.7908</v>
      </c>
      <c r="D425" s="45">
        <f>IFERROR(__xludf.DUMMYFUNCTION("AVERAGE(QUERY(SORT(GOOGLEFINANCE(A425,""price"",TODAY()-300,TODAY()),1,0),""select Col2 limit 100""))"),31.6187)</f>
        <v>31.6187</v>
      </c>
      <c r="E425" s="45">
        <f>IFERROR(__xludf.DUMMYFUNCTION("AVERAGE(QUERY(SORT(GOOGLEFINANCE(A425,""price"",TODAY()-500,TODAY()),1,0),""select Col2 limit 200""))"),42.236799999999995)</f>
        <v>42.2368</v>
      </c>
      <c r="F425" s="46" t="str">
        <f t="shared" si="1"/>
        <v>In Bear Run</v>
      </c>
      <c r="G425" s="47">
        <f t="shared" si="2"/>
        <v>-51.77191454</v>
      </c>
      <c r="H425" s="48" t="str">
        <f t="shared" si="3"/>
        <v>Inverted ✗</v>
      </c>
      <c r="I425" s="48">
        <f t="shared" si="4"/>
        <v>0</v>
      </c>
      <c r="J425" s="48">
        <f t="shared" si="5"/>
        <v>0</v>
      </c>
      <c r="K425" s="49" t="str">
        <f>IFERROR(__xludf.DUMMYFUNCTION("IFERROR(IF(A425="""",""ENTER STOCK"",LET(stock,A425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25" s="48">
        <f t="shared" si="6"/>
        <v>0</v>
      </c>
      <c r="M425" s="48">
        <f t="shared" si="7"/>
        <v>1</v>
      </c>
      <c r="N425" s="50">
        <f t="shared" si="8"/>
        <v>1</v>
      </c>
      <c r="P425" s="46" t="str">
        <f t="shared" si="9"/>
        <v>REVERSE TRADE</v>
      </c>
      <c r="Q425" s="52"/>
      <c r="R425" s="53">
        <f t="shared" si="10"/>
        <v>15</v>
      </c>
      <c r="S425" s="53">
        <f>IFERROR(__xludf.DUMMYFUNCTION("IFERROR(ROUND(GOOGLEFINANCE(A425,""volume"")/GOOGLEFINANCE(A425,""volumeavg""),2),"""")"),1.59)</f>
        <v>1.59</v>
      </c>
      <c r="T425" s="53" t="str">
        <f t="shared" si="11"/>
        <v>HIGH VOL</v>
      </c>
      <c r="U425" s="53">
        <f>IFERROR(__xludf.DUMMYFUNCTION("IFERROR(
  LET(
    sd, GOOGLEFINANCE(A425,""close"",TODAY()-100,TODAY()),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"""")"),1.76)</f>
        <v>1.76</v>
      </c>
      <c r="V425" s="53" t="str">
        <f t="shared" si="12"/>
        <v>FAST</v>
      </c>
      <c r="W425" s="53">
        <f>IFERROR(__xludf.DUMMYFUNCTION("IFERROR(ROUND((B425/GOOGLEFINANCE(A425,""high52"")-1)*100,1),"""")"),-73.4)</f>
        <v>-73.4</v>
      </c>
      <c r="X425" s="53">
        <f>IFERROR(__xludf.DUMMYFUNCTION("IFERROR(ROUND((B425-GOOGLEFINANCE(A425,""low52""))/(GOOGLEFINANCE(A425,""high52"")-GOOGLEFINANCE(A425,""low52""))*100,1),"""")"),0.4)</f>
        <v>0.4</v>
      </c>
      <c r="Y425" s="53" t="str">
        <f t="shared" si="13"/>
        <v>DEEP RECOVERY</v>
      </c>
      <c r="Z425" s="53">
        <f>IFERROR(__xludf.DUMMYFUNCTION("IFERROR(ROUND(((B425 / INDEX(GOOGLEFINANCE(TRIM(A425), ""price"", TODAY()-34, TODAY()), 2, 2)) - (GOOGLEFINANCE(""NIFTY_50"") / INDEX(GOOGLEFINANCE(""NIFTY_50"", ""price"", TODAY()-34, TODAY()), 2, 2))) * 100, 2), ""Check History"")"),-7.76)</f>
        <v>-7.76</v>
      </c>
      <c r="AA425" s="53" t="str">
        <f t="shared" si="14"/>
        <v>WEAK RS</v>
      </c>
      <c r="AB425" s="53">
        <f>IFERROR(__xludf.DUMMYFUNCTION("IFERROR(LET(
  p, QUERY(GOOGLEFINANCE(TRIM(A425),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Loading"")"),35.2)</f>
        <v>35.2</v>
      </c>
      <c r="AC425" s="53" t="str">
        <f t="shared" si="15"/>
        <v>WEAK MOM</v>
      </c>
      <c r="AD425" s="53" t="str">
        <f>IFERROR(__xludf.DUMMYFUNCTION("IFERROR(IF(GOOGLEFINANCE(A425,""eps"")&gt;0,""EPS+"",""EPS-""),"""")"),"EPS+")</f>
        <v>EPS+</v>
      </c>
      <c r="AE425" s="53">
        <f t="shared" si="16"/>
        <v>6</v>
      </c>
      <c r="AF425" s="53">
        <f>IFERROR(__xludf.DUMMYFUNCTION("IFERROR(N425+IF(S425&gt;=1.2,1,0)+IF(U425&gt;=1,1,0)+IF(Z425&gt;0,1,0)+IF(AND(W425&gt;=-20,W425&lt;=0),1,0)+IF(IFERROR(GOOGLEFINANCE(A425,""eps""),0)&gt;0,1,0),"""")"),4.0)</f>
        <v>4</v>
      </c>
      <c r="AG425" s="53" t="str">
        <f t="shared" si="17"/>
        <v>REVERSE TRADE</v>
      </c>
    </row>
    <row r="426" ht="15.75" customHeight="1">
      <c r="A426" s="55" t="s">
        <v>593</v>
      </c>
      <c r="B426" s="44">
        <f>IFERROR(__xludf.DUMMYFUNCTION("GOOGLEFINANCE(A426,""price"")"),81.05)</f>
        <v>81.05</v>
      </c>
      <c r="C426" s="45">
        <f>IFERROR(__xludf.DUMMYFUNCTION("AVERAGE(QUERY(SORT(GOOGLEFINANCE(A426,""price"",TODAY()-150,TODAY()),1,0),""select Col2 limit 50""))"),93.3944)</f>
        <v>93.3944</v>
      </c>
      <c r="D426" s="45">
        <f>IFERROR(__xludf.DUMMYFUNCTION("AVERAGE(QUERY(SORT(GOOGLEFINANCE(A426,""price"",TODAY()-300,TODAY()),1,0),""select Col2 limit 100""))"),99.9605)</f>
        <v>99.9605</v>
      </c>
      <c r="E426" s="45">
        <f>IFERROR(__xludf.DUMMYFUNCTION("AVERAGE(QUERY(SORT(GOOGLEFINANCE(A426,""price"",TODAY()-500,TODAY()),1,0),""select Col2 limit 200""))"),104.65995000000002)</f>
        <v>104.65995</v>
      </c>
      <c r="F426" s="46" t="str">
        <f t="shared" si="1"/>
        <v>In Bear Run</v>
      </c>
      <c r="G426" s="47">
        <f t="shared" si="2"/>
        <v>-22.55872471</v>
      </c>
      <c r="H426" s="48" t="str">
        <f t="shared" si="3"/>
        <v>Inverted ✗</v>
      </c>
      <c r="I426" s="48">
        <f t="shared" si="4"/>
        <v>0</v>
      </c>
      <c r="J426" s="48">
        <f t="shared" si="5"/>
        <v>0</v>
      </c>
      <c r="K426" s="49" t="str">
        <f>IFERROR(__xludf.DUMMYFUNCTION("IFERROR(IF(A426="""",""ENTER STOCK"",LET(stock,A426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26" s="48">
        <f t="shared" si="6"/>
        <v>0</v>
      </c>
      <c r="M426" s="48">
        <f t="shared" si="7"/>
        <v>1</v>
      </c>
      <c r="N426" s="50">
        <f t="shared" si="8"/>
        <v>1</v>
      </c>
      <c r="P426" s="46" t="str">
        <f t="shared" si="9"/>
        <v>REVERSE TRADE</v>
      </c>
      <c r="Q426" s="52"/>
      <c r="R426" s="53">
        <f t="shared" si="10"/>
        <v>15</v>
      </c>
      <c r="S426" s="53">
        <f>IFERROR(__xludf.DUMMYFUNCTION("IFERROR(ROUND(GOOGLEFINANCE(A426,""volume"")/GOOGLEFINANCE(A426,""volumeavg""),2),"""")"),2.32)</f>
        <v>2.32</v>
      </c>
      <c r="T426" s="53" t="str">
        <f t="shared" si="11"/>
        <v>HIGH VOL</v>
      </c>
      <c r="U426" s="53">
        <f>IFERROR(__xludf.DUMMYFUNCTION("IFERROR(
  LET(
    sd, GOOGLEFINANCE(A426,""close"",TODAY()-100,TODAY()),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"""")"),0.84)</f>
        <v>0.84</v>
      </c>
      <c r="V426" s="53" t="str">
        <f t="shared" si="12"/>
        <v>SLOW</v>
      </c>
      <c r="W426" s="53">
        <f>IFERROR(__xludf.DUMMYFUNCTION("IFERROR(ROUND((B426/GOOGLEFINANCE(A426,""high52"")-1)*100,1),"""")"),-34.1)</f>
        <v>-34.1</v>
      </c>
      <c r="X426" s="53">
        <f>IFERROR(__xludf.DUMMYFUNCTION("IFERROR(ROUND((B426-GOOGLEFINANCE(A426,""low52""))/(GOOGLEFINANCE(A426,""high52"")-GOOGLEFINANCE(A426,""low52""))*100,1),"""")"),3.3)</f>
        <v>3.3</v>
      </c>
      <c r="Y426" s="53" t="str">
        <f t="shared" si="13"/>
        <v>MID</v>
      </c>
      <c r="Z426" s="53">
        <f>IFERROR(__xludf.DUMMYFUNCTION("IFERROR(ROUND(((B426 / INDEX(GOOGLEFINANCE(TRIM(A426), ""price"", TODAY()-34, TODAY()), 2, 2)) - (GOOGLEFINANCE(""NIFTY_50"") / INDEX(GOOGLEFINANCE(""NIFTY_50"", ""price"", TODAY()-34, TODAY()), 2, 2))) * 100, 2), ""Check History"")"),-4.16)</f>
        <v>-4.16</v>
      </c>
      <c r="AA426" s="53" t="str">
        <f t="shared" si="14"/>
        <v>WEAK RS</v>
      </c>
      <c r="AB426" s="53">
        <f>IFERROR(__xludf.DUMMYFUNCTION("IFERROR(LET(
  p, QUERY(GOOGLEFINANCE(TRIM(A426),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Loading"")"),25.2)</f>
        <v>25.2</v>
      </c>
      <c r="AC426" s="53" t="str">
        <f t="shared" si="15"/>
        <v>WEAK MOM</v>
      </c>
      <c r="AD426" s="53" t="str">
        <f>IFERROR(__xludf.DUMMYFUNCTION("IFERROR(IF(GOOGLEFINANCE(A426,""eps"")&gt;0,""EPS+"",""EPS-""),"""")"),"EPS+")</f>
        <v>EPS+</v>
      </c>
      <c r="AE426" s="53">
        <f t="shared" si="16"/>
        <v>4</v>
      </c>
      <c r="AF426" s="53">
        <f>IFERROR(__xludf.DUMMYFUNCTION("IFERROR(N426+IF(S426&gt;=1.2,1,0)+IF(U426&gt;=1,1,0)+IF(Z426&gt;0,1,0)+IF(AND(W426&gt;=-20,W426&lt;=0),1,0)+IF(IFERROR(GOOGLEFINANCE(A426,""eps""),0)&gt;0,1,0),"""")"),3.0)</f>
        <v>3</v>
      </c>
      <c r="AG426" s="53" t="str">
        <f t="shared" si="17"/>
        <v>REVERSE TRADE</v>
      </c>
    </row>
    <row r="427" ht="15.75" customHeight="1">
      <c r="A427" s="55" t="s">
        <v>594</v>
      </c>
      <c r="B427" s="44">
        <f>IFERROR(__xludf.DUMMYFUNCTION("GOOGLEFINANCE(A427,""price"")"),39.94)</f>
        <v>39.94</v>
      </c>
      <c r="C427" s="45">
        <f>IFERROR(__xludf.DUMMYFUNCTION("AVERAGE(QUERY(SORT(GOOGLEFINANCE(A427,""price"",TODAY()-150,TODAY()),1,0),""select Col2 limit 50""))"),44.635799999999996)</f>
        <v>44.6358</v>
      </c>
      <c r="D427" s="45">
        <f>IFERROR(__xludf.DUMMYFUNCTION("AVERAGE(QUERY(SORT(GOOGLEFINANCE(A427,""price"",TODAY()-300,TODAY()),1,0),""select Col2 limit 100""))"),47.73609999999998)</f>
        <v>47.7361</v>
      </c>
      <c r="E427" s="45">
        <f>IFERROR(__xludf.DUMMYFUNCTION("AVERAGE(QUERY(SORT(GOOGLEFINANCE(A427,""price"",TODAY()-500,TODAY()),1,0),""select Col2 limit 200""))"),46.004699999999985)</f>
        <v>46.0047</v>
      </c>
      <c r="F427" s="46" t="str">
        <f t="shared" si="1"/>
        <v>In Bear Run</v>
      </c>
      <c r="G427" s="47">
        <f t="shared" si="2"/>
        <v>-13.1827835</v>
      </c>
      <c r="H427" s="48" t="str">
        <f t="shared" si="3"/>
        <v>Inverted ✗</v>
      </c>
      <c r="I427" s="48">
        <f t="shared" si="4"/>
        <v>0</v>
      </c>
      <c r="J427" s="48">
        <f t="shared" si="5"/>
        <v>0</v>
      </c>
      <c r="K427" s="49" t="str">
        <f>IFERROR(__xludf.DUMMYFUNCTION("IFERROR(IF(A427="""",""ENTER STOCK"",LET(stock,A427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27" s="48">
        <f t="shared" si="6"/>
        <v>0</v>
      </c>
      <c r="M427" s="48">
        <f t="shared" si="7"/>
        <v>1</v>
      </c>
      <c r="N427" s="50">
        <f t="shared" si="8"/>
        <v>1</v>
      </c>
      <c r="P427" s="46" t="str">
        <f t="shared" si="9"/>
        <v>REVERSE TRADE</v>
      </c>
      <c r="Q427" s="52"/>
      <c r="R427" s="53">
        <f t="shared" si="10"/>
        <v>15</v>
      </c>
      <c r="S427" s="53">
        <f>IFERROR(__xludf.DUMMYFUNCTION("IFERROR(ROUND(GOOGLEFINANCE(A427,""volume"")/GOOGLEFINANCE(A427,""volumeavg""),2),"""")"),0.67)</f>
        <v>0.67</v>
      </c>
      <c r="T427" s="53" t="str">
        <f t="shared" si="11"/>
        <v>LOW VOL</v>
      </c>
      <c r="U427" s="53">
        <f>IFERROR(__xludf.DUMMYFUNCTION("IFERROR(
  LET(
    sd, GOOGLEFINANCE(A427,""close"",TODAY()-100,TODAY()),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"""")"),0.97)</f>
        <v>0.97</v>
      </c>
      <c r="V427" s="53" t="str">
        <f t="shared" si="12"/>
        <v>MEDIUM</v>
      </c>
      <c r="W427" s="53">
        <f>IFERROR(__xludf.DUMMYFUNCTION("IFERROR(ROUND((B427/GOOGLEFINANCE(A427,""high52"")-1)*100,1),"""")"),-31.0)</f>
        <v>-31</v>
      </c>
      <c r="X427" s="53">
        <f>IFERROR(__xludf.DUMMYFUNCTION("IFERROR(ROUND((B427-GOOGLEFINANCE(A427,""low52""))/(GOOGLEFINANCE(A427,""high52"")-GOOGLEFINANCE(A427,""low52""))*100,1),"""")"),18.6)</f>
        <v>18.6</v>
      </c>
      <c r="Y427" s="53" t="str">
        <f t="shared" si="13"/>
        <v>MID</v>
      </c>
      <c r="Z427" s="53">
        <f>IFERROR(__xludf.DUMMYFUNCTION("IFERROR(ROUND(((B427 / INDEX(GOOGLEFINANCE(TRIM(A427), ""price"", TODAY()-34, TODAY()), 2, 2)) - (GOOGLEFINANCE(""NIFTY_50"") / INDEX(GOOGLEFINANCE(""NIFTY_50"", ""price"", TODAY()-34, TODAY()), 2, 2))) * 100, 2), ""Check History"")"),6.36)</f>
        <v>6.36</v>
      </c>
      <c r="AA427" s="53" t="str">
        <f t="shared" si="14"/>
        <v>STRONG RS</v>
      </c>
      <c r="AB427" s="53">
        <f>IFERROR(__xludf.DUMMYFUNCTION("IFERROR(LET(
  p, QUERY(GOOGLEFINANCE(TRIM(A427),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Loading"")"),52.7)</f>
        <v>52.7</v>
      </c>
      <c r="AC427" s="53" t="str">
        <f t="shared" si="15"/>
        <v>IDEAL ENTRY</v>
      </c>
      <c r="AD427" s="53" t="str">
        <f>IFERROR(__xludf.DUMMYFUNCTION("IFERROR(IF(GOOGLEFINANCE(A427,""eps"")&gt;0,""EPS+"",""EPS-""),"""")"),"EPS+")</f>
        <v>EPS+</v>
      </c>
      <c r="AE427" s="53">
        <f t="shared" si="16"/>
        <v>4</v>
      </c>
      <c r="AF427" s="53">
        <f>IFERROR(__xludf.DUMMYFUNCTION("IFERROR(N427+IF(S427&gt;=1.2,1,0)+IF(U427&gt;=1,1,0)+IF(Z427&gt;0,1,0)+IF(AND(W427&gt;=-20,W427&lt;=0),1,0)+IF(IFERROR(GOOGLEFINANCE(A427,""eps""),0)&gt;0,1,0),"""")"),3.0)</f>
        <v>3</v>
      </c>
      <c r="AG427" s="53" t="str">
        <f t="shared" si="17"/>
        <v>REVERSE TRADE</v>
      </c>
    </row>
    <row r="428" ht="15.75" customHeight="1">
      <c r="A428" s="55" t="s">
        <v>595</v>
      </c>
      <c r="B428" s="44">
        <f>IFERROR(__xludf.DUMMYFUNCTION("GOOGLEFINANCE(A428,""price"")"),968.4)</f>
        <v>968.4</v>
      </c>
      <c r="C428" s="45">
        <f>IFERROR(__xludf.DUMMYFUNCTION("AVERAGE(QUERY(SORT(GOOGLEFINANCE(A428,""price"",TODAY()-150,TODAY()),1,0),""select Col2 limit 50""))"),930.5820000000001)</f>
        <v>930.582</v>
      </c>
      <c r="D428" s="45">
        <f>IFERROR(__xludf.DUMMYFUNCTION("AVERAGE(QUERY(SORT(GOOGLEFINANCE(A428,""price"",TODAY()-300,TODAY()),1,0),""select Col2 limit 100""))"),913.4975000000003)</f>
        <v>913.4975</v>
      </c>
      <c r="E428" s="45">
        <f>IFERROR(__xludf.DUMMYFUNCTION("AVERAGE(QUERY(SORT(GOOGLEFINANCE(A428,""price"",TODAY()-500,TODAY()),1,0),""select Col2 limit 200""))"),876.17)</f>
        <v>876.17</v>
      </c>
      <c r="F428" s="46" t="str">
        <f t="shared" si="1"/>
        <v>In Bull Run</v>
      </c>
      <c r="G428" s="47">
        <f t="shared" si="2"/>
        <v>10.526496</v>
      </c>
      <c r="H428" s="48" t="str">
        <f t="shared" si="3"/>
        <v>Golden ✓</v>
      </c>
      <c r="I428" s="48">
        <f t="shared" si="4"/>
        <v>3</v>
      </c>
      <c r="J428" s="48">
        <f t="shared" si="5"/>
        <v>4</v>
      </c>
      <c r="K428" s="49" t="str">
        <f>IFERROR(__xludf.DUMMYFUNCTION("IFERROR(IF(A428="""",""ENTER STOCK"",LET(stock,A428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28" s="48">
        <f t="shared" si="6"/>
        <v>0</v>
      </c>
      <c r="M428" s="48">
        <f t="shared" si="7"/>
        <v>1</v>
      </c>
      <c r="N428" s="50">
        <f t="shared" si="8"/>
        <v>8</v>
      </c>
      <c r="P428" s="46" t="str">
        <f t="shared" si="9"/>
        <v>PRIME BUY</v>
      </c>
      <c r="Q428" s="52"/>
      <c r="R428" s="53">
        <f t="shared" si="10"/>
        <v>15</v>
      </c>
      <c r="S428" s="53">
        <f>IFERROR(__xludf.DUMMYFUNCTION("IFERROR(ROUND(GOOGLEFINANCE(A428,""volume"")/GOOGLEFINANCE(A428,""volumeavg""),2),"""")"),0.53)</f>
        <v>0.53</v>
      </c>
      <c r="T428" s="53" t="str">
        <f t="shared" si="11"/>
        <v>LOW VOL</v>
      </c>
      <c r="U428" s="53">
        <f>IFERROR(__xludf.DUMMYFUNCTION("IFERROR(
  LET(
    sd, GOOGLEFINANCE(A428,""close"",TODAY()-100,TODAY()),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"""")"),1.16)</f>
        <v>1.16</v>
      </c>
      <c r="V428" s="53" t="str">
        <f t="shared" si="12"/>
        <v>MEDIUM</v>
      </c>
      <c r="W428" s="53">
        <f>IFERROR(__xludf.DUMMYFUNCTION("IFERROR(ROUND((B428/GOOGLEFINANCE(A428,""high52"")-1)*100,1),"""")"),-10.7)</f>
        <v>-10.7</v>
      </c>
      <c r="X428" s="53">
        <f>IFERROR(__xludf.DUMMYFUNCTION("IFERROR(ROUND((B428-GOOGLEFINANCE(A428,""low52""))/(GOOGLEFINANCE(A428,""high52"")-GOOGLEFINANCE(A428,""low52""))*100,1),"""")"),74.2)</f>
        <v>74.2</v>
      </c>
      <c r="Y428" s="53" t="str">
        <f t="shared" si="13"/>
        <v>UPPER</v>
      </c>
      <c r="Z428" s="53">
        <f>IFERROR(__xludf.DUMMYFUNCTION("IFERROR(ROUND(((B428 / INDEX(GOOGLEFINANCE(TRIM(A428), ""price"", TODAY()-34, TODAY()), 2, 2)) - (GOOGLEFINANCE(""NIFTY_50"") / INDEX(GOOGLEFINANCE(""NIFTY_50"", ""price"", TODAY()-34, TODAY()), 2, 2))) * 100, 2), ""Check History"")"),14.87)</f>
        <v>14.87</v>
      </c>
      <c r="AA428" s="53" t="str">
        <f t="shared" si="14"/>
        <v>STRONG RS</v>
      </c>
      <c r="AB428" s="53">
        <f>IFERROR(__xludf.DUMMYFUNCTION("IFERROR(LET(
  p, QUERY(GOOGLEFINANCE(TRIM(A428),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Loading"")"),46.9)</f>
        <v>46.9</v>
      </c>
      <c r="AC428" s="53" t="str">
        <f t="shared" si="15"/>
        <v>IDEAL ENTRY</v>
      </c>
      <c r="AD428" s="53" t="str">
        <f>IFERROR(__xludf.DUMMYFUNCTION("IFERROR(IF(GOOGLEFINANCE(A428,""eps"")&gt;0,""EPS+"",""EPS-""),"""")"),"EPS+")</f>
        <v>EPS+</v>
      </c>
      <c r="AE428" s="53">
        <f t="shared" si="16"/>
        <v>5</v>
      </c>
      <c r="AF428" s="53">
        <f>IFERROR(__xludf.DUMMYFUNCTION("IFERROR(N428+IF(S428&gt;=1.2,1,0)+IF(U428&gt;=1,1,0)+IF(Z428&gt;0,1,0)+IF(AND(W428&gt;=-20,W428&lt;=0),1,0)+IF(IFERROR(GOOGLEFINANCE(A428,""eps""),0)&gt;0,1,0),"""")"),12.0)</f>
        <v>12</v>
      </c>
      <c r="AG428" s="53" t="str">
        <f t="shared" si="17"/>
        <v>PRIME BUY [10-20d]</v>
      </c>
    </row>
    <row r="429" ht="15.75" customHeight="1">
      <c r="A429" s="55" t="s">
        <v>596</v>
      </c>
      <c r="B429" s="44">
        <f>IFERROR(__xludf.DUMMYFUNCTION("GOOGLEFINANCE(A429,""price"")"),510.0)</f>
        <v>510</v>
      </c>
      <c r="C429" s="45">
        <f>IFERROR(__xludf.DUMMYFUNCTION("AVERAGE(QUERY(SORT(GOOGLEFINANCE(A429,""price"",TODAY()-150,TODAY()),1,0),""select Col2 limit 50""))"),510.49600000000004)</f>
        <v>510.496</v>
      </c>
      <c r="D429" s="45">
        <f>IFERROR(__xludf.DUMMYFUNCTION("AVERAGE(QUERY(SORT(GOOGLEFINANCE(A429,""price"",TODAY()-300,TODAY()),1,0),""select Col2 limit 100""))"),508.4565)</f>
        <v>508.4565</v>
      </c>
      <c r="E429" s="45">
        <f>IFERROR(__xludf.DUMMYFUNCTION("AVERAGE(QUERY(SORT(GOOGLEFINANCE(A429,""price"",TODAY()-500,TODAY()),1,0),""select Col2 limit 200""))"),513.6999999999999)</f>
        <v>513.7</v>
      </c>
      <c r="F429" s="46" t="str">
        <f t="shared" si="1"/>
        <v>Unconfirmed</v>
      </c>
      <c r="G429" s="47">
        <f t="shared" si="2"/>
        <v>-0.720264746</v>
      </c>
      <c r="H429" s="48" t="str">
        <f t="shared" si="3"/>
        <v>Inverted ✗</v>
      </c>
      <c r="I429" s="48">
        <f t="shared" si="4"/>
        <v>0</v>
      </c>
      <c r="J429" s="48">
        <f t="shared" si="5"/>
        <v>0</v>
      </c>
      <c r="K429" s="49" t="str">
        <f>IFERROR(__xludf.DUMMYFUNCTION("IFERROR(IF(A429="""",""ENTER STOCK"",LET(stock,A429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29" s="48">
        <f t="shared" si="6"/>
        <v>0</v>
      </c>
      <c r="M429" s="48">
        <f t="shared" si="7"/>
        <v>1</v>
      </c>
      <c r="N429" s="50">
        <f t="shared" si="8"/>
        <v>1</v>
      </c>
      <c r="P429" s="46" t="str">
        <f t="shared" si="9"/>
        <v>WAIT</v>
      </c>
      <c r="Q429" s="52"/>
      <c r="R429" s="53">
        <f t="shared" si="10"/>
        <v>15</v>
      </c>
      <c r="S429" s="53">
        <f>IFERROR(__xludf.DUMMYFUNCTION("IFERROR(ROUND(GOOGLEFINANCE(A429,""volume"")/GOOGLEFINANCE(A429,""volumeavg""),2),"""")"),1.0)</f>
        <v>1</v>
      </c>
      <c r="T429" s="53" t="str">
        <f t="shared" si="11"/>
        <v>LOW VOL</v>
      </c>
      <c r="U429" s="53">
        <f>IFERROR(__xludf.DUMMYFUNCTION("IFERROR(
  LET(
    sd, GOOGLEFINANCE(A429,""close"",TODAY()-100,TODAY()),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"""")"),1.06)</f>
        <v>1.06</v>
      </c>
      <c r="V429" s="53" t="str">
        <f t="shared" si="12"/>
        <v>MEDIUM</v>
      </c>
      <c r="W429" s="53">
        <f>IFERROR(__xludf.DUMMYFUNCTION("IFERROR(ROUND((B429/GOOGLEFINANCE(A429,""high52"")-1)*100,1),"""")"),-20.3)</f>
        <v>-20.3</v>
      </c>
      <c r="X429" s="53">
        <f>IFERROR(__xludf.DUMMYFUNCTION("IFERROR(ROUND((B429-GOOGLEFINANCE(A429,""low52""))/(GOOGLEFINANCE(A429,""high52"")-GOOGLEFINANCE(A429,""low52""))*100,1),"""")"),46.6)</f>
        <v>46.6</v>
      </c>
      <c r="Y429" s="53" t="str">
        <f t="shared" si="13"/>
        <v>MID</v>
      </c>
      <c r="Z429" s="53">
        <f>IFERROR(__xludf.DUMMYFUNCTION("IFERROR(ROUND(((B429 / INDEX(GOOGLEFINANCE(TRIM(A429), ""price"", TODAY()-34, TODAY()), 2, 2)) - (GOOGLEFINANCE(""NIFTY_50"") / INDEX(GOOGLEFINANCE(""NIFTY_50"", ""price"", TODAY()-34, TODAY()), 2, 2))) * 100, 2), ""Check History"")"),10.37)</f>
        <v>10.37</v>
      </c>
      <c r="AA429" s="53" t="str">
        <f t="shared" si="14"/>
        <v>STRONG RS</v>
      </c>
      <c r="AB429" s="53">
        <f>IFERROR(__xludf.DUMMYFUNCTION("IFERROR(LET(
  p, QUERY(GOOGLEFINANCE(TRIM(A429),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Loading"")"),41.1)</f>
        <v>41.1</v>
      </c>
      <c r="AC429" s="53" t="str">
        <f t="shared" si="15"/>
        <v>WEAK MOM</v>
      </c>
      <c r="AD429" s="53" t="str">
        <f>IFERROR(__xludf.DUMMYFUNCTION("IFERROR(IF(GOOGLEFINANCE(A429,""eps"")&gt;0,""EPS+"",""EPS-""),"""")"),"EPS+")</f>
        <v>EPS+</v>
      </c>
      <c r="AE429" s="53">
        <f t="shared" si="16"/>
        <v>5</v>
      </c>
      <c r="AF429" s="53">
        <f>IFERROR(__xludf.DUMMYFUNCTION("IFERROR(N429+IF(S429&gt;=1.2,1,0)+IF(U429&gt;=1,1,0)+IF(Z429&gt;0,1,0)+IF(AND(W429&gt;=-20,W429&lt;=0),1,0)+IF(IFERROR(GOOGLEFINANCE(A429,""eps""),0)&gt;0,1,0),"""")"),4.0)</f>
        <v>4</v>
      </c>
      <c r="AG429" s="53" t="str">
        <f t="shared" si="17"/>
        <v>WAIT</v>
      </c>
    </row>
    <row r="430" ht="15.75" customHeight="1">
      <c r="A430" s="55" t="s">
        <v>597</v>
      </c>
      <c r="B430" s="44">
        <f>IFERROR(__xludf.DUMMYFUNCTION("GOOGLEFINANCE(A430,""price"")"),318.0)</f>
        <v>318</v>
      </c>
      <c r="C430" s="45">
        <f>IFERROR(__xludf.DUMMYFUNCTION("AVERAGE(QUERY(SORT(GOOGLEFINANCE(A430,""price"",TODAY()-150,TODAY()),1,0),""select Col2 limit 50""))"),336.72099999999983)</f>
        <v>336.721</v>
      </c>
      <c r="D430" s="45">
        <f>IFERROR(__xludf.DUMMYFUNCTION("AVERAGE(QUERY(SORT(GOOGLEFINANCE(A430,""price"",TODAY()-300,TODAY()),1,0),""select Col2 limit 100""))"),356.83)</f>
        <v>356.83</v>
      </c>
      <c r="E430" s="45">
        <f>IFERROR(__xludf.DUMMYFUNCTION("AVERAGE(QUERY(SORT(GOOGLEFINANCE(A430,""price"",TODAY()-500,TODAY()),1,0),""select Col2 limit 200""))"),421.7104999999999)</f>
        <v>421.7105</v>
      </c>
      <c r="F430" s="46" t="str">
        <f t="shared" si="1"/>
        <v>In Bear Run</v>
      </c>
      <c r="G430" s="47">
        <f t="shared" si="2"/>
        <v>-24.59281901</v>
      </c>
      <c r="H430" s="48" t="str">
        <f t="shared" si="3"/>
        <v>Inverted ✗</v>
      </c>
      <c r="I430" s="48">
        <f t="shared" si="4"/>
        <v>0</v>
      </c>
      <c r="J430" s="48">
        <f t="shared" si="5"/>
        <v>0</v>
      </c>
      <c r="K430" s="49" t="str">
        <f>IFERROR(__xludf.DUMMYFUNCTION("IFERROR(IF(A430="""",""ENTER STOCK"",LET(stock,A430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30" s="48">
        <f t="shared" si="6"/>
        <v>0</v>
      </c>
      <c r="M430" s="48">
        <f t="shared" si="7"/>
        <v>1</v>
      </c>
      <c r="N430" s="50">
        <f t="shared" si="8"/>
        <v>1</v>
      </c>
      <c r="P430" s="46" t="str">
        <f t="shared" si="9"/>
        <v>REVERSE TRADE</v>
      </c>
      <c r="Q430" s="52"/>
      <c r="R430" s="53">
        <f t="shared" si="10"/>
        <v>15</v>
      </c>
      <c r="S430" s="53">
        <f>IFERROR(__xludf.DUMMYFUNCTION("IFERROR(ROUND(GOOGLEFINANCE(A430,""volume"")/GOOGLEFINANCE(A430,""volumeavg""),2),"""")"),0.96)</f>
        <v>0.96</v>
      </c>
      <c r="T430" s="53" t="str">
        <f t="shared" si="11"/>
        <v>LOW VOL</v>
      </c>
      <c r="U430" s="53">
        <f>IFERROR(__xludf.DUMMYFUNCTION("IFERROR(
  LET(
    sd, GOOGLEFINANCE(A430,""close"",TODAY()-100,TODAY()),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"""")"),0.91)</f>
        <v>0.91</v>
      </c>
      <c r="V430" s="53" t="str">
        <f t="shared" si="12"/>
        <v>MEDIUM</v>
      </c>
      <c r="W430" s="53">
        <f>IFERROR(__xludf.DUMMYFUNCTION("IFERROR(ROUND((B430/GOOGLEFINANCE(A430,""high52"")-1)*100,1),"""")"),-47.3)</f>
        <v>-47.3</v>
      </c>
      <c r="X430" s="53">
        <f>IFERROR(__xludf.DUMMYFUNCTION("IFERROR(ROUND((B430-GOOGLEFINANCE(A430,""low52""))/(GOOGLEFINANCE(A430,""high52"")-GOOGLEFINANCE(A430,""low52""))*100,1),"""")"),3.7)</f>
        <v>3.7</v>
      </c>
      <c r="Y430" s="53" t="str">
        <f t="shared" si="13"/>
        <v>DEEP RECOVERY</v>
      </c>
      <c r="Z430" s="53">
        <f>IFERROR(__xludf.DUMMYFUNCTION("IFERROR(ROUND(((B430 / INDEX(GOOGLEFINANCE(TRIM(A430), ""price"", TODAY()-34, TODAY()), 2, 2)) - (GOOGLEFINANCE(""NIFTY_50"") / INDEX(GOOGLEFINANCE(""NIFTY_50"", ""price"", TODAY()-34, TODAY()), 2, 2))) * 100, 2), ""Check History"")"),9.12)</f>
        <v>9.12</v>
      </c>
      <c r="AA430" s="53" t="str">
        <f t="shared" si="14"/>
        <v>STRONG RS</v>
      </c>
      <c r="AB430" s="53">
        <f>IFERROR(__xludf.DUMMYFUNCTION("IFERROR(LET(
  p, QUERY(GOOGLEFINANCE(TRIM(A430),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Loading"")"),55.5)</f>
        <v>55.5</v>
      </c>
      <c r="AC430" s="53" t="str">
        <f t="shared" si="15"/>
        <v>IDEAL ENTRY</v>
      </c>
      <c r="AD430" s="53" t="str">
        <f>IFERROR(__xludf.DUMMYFUNCTION("IFERROR(IF(GOOGLEFINANCE(A430,""eps"")&gt;0,""EPS+"",""EPS-""),"""")"),"EPS+")</f>
        <v>EPS+</v>
      </c>
      <c r="AE430" s="53">
        <f t="shared" si="16"/>
        <v>4</v>
      </c>
      <c r="AF430" s="53">
        <f>IFERROR(__xludf.DUMMYFUNCTION("IFERROR(N430+IF(S430&gt;=1.2,1,0)+IF(U430&gt;=1,1,0)+IF(Z430&gt;0,1,0)+IF(AND(W430&gt;=-20,W430&lt;=0),1,0)+IF(IFERROR(GOOGLEFINANCE(A430,""eps""),0)&gt;0,1,0),"""")"),3.0)</f>
        <v>3</v>
      </c>
      <c r="AG430" s="53" t="str">
        <f t="shared" si="17"/>
        <v>REVERSE TRADE</v>
      </c>
    </row>
    <row r="431" ht="15.75" customHeight="1">
      <c r="A431" s="55" t="s">
        <v>598</v>
      </c>
      <c r="B431" s="44">
        <f>IFERROR(__xludf.DUMMYFUNCTION("GOOGLEFINANCE(A431,""price"")"),220.9)</f>
        <v>220.9</v>
      </c>
      <c r="C431" s="45">
        <f>IFERROR(__xludf.DUMMYFUNCTION("AVERAGE(QUERY(SORT(GOOGLEFINANCE(A431,""price"",TODAY()-150,TODAY()),1,0),""select Col2 limit 50""))"),238.36499999999992)</f>
        <v>238.365</v>
      </c>
      <c r="D431" s="45">
        <f>IFERROR(__xludf.DUMMYFUNCTION("AVERAGE(QUERY(SORT(GOOGLEFINANCE(A431,""price"",TODAY()-300,TODAY()),1,0),""select Col2 limit 100""))"),236.03489999999977)</f>
        <v>236.0349</v>
      </c>
      <c r="E431" s="45">
        <f>IFERROR(__xludf.DUMMYFUNCTION("AVERAGE(QUERY(SORT(GOOGLEFINANCE(A431,""price"",TODAY()-500,TODAY()),1,0),""select Col2 limit 200""))"),229.06159999999983)</f>
        <v>229.0616</v>
      </c>
      <c r="F431" s="46" t="str">
        <f t="shared" si="1"/>
        <v>In Bear Run</v>
      </c>
      <c r="G431" s="47">
        <f t="shared" si="2"/>
        <v>-3.56305902</v>
      </c>
      <c r="H431" s="48" t="str">
        <f t="shared" si="3"/>
        <v>Golden ✓</v>
      </c>
      <c r="I431" s="48">
        <f t="shared" si="4"/>
        <v>3</v>
      </c>
      <c r="J431" s="48">
        <f t="shared" si="5"/>
        <v>0</v>
      </c>
      <c r="K431" s="49" t="str">
        <f>IFERROR(__xludf.DUMMYFUNCTION("IFERROR(IF(A431="""",""ENTER STOCK"",LET(stock,A431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31" s="48">
        <f t="shared" si="6"/>
        <v>0</v>
      </c>
      <c r="M431" s="48">
        <f t="shared" si="7"/>
        <v>1</v>
      </c>
      <c r="N431" s="50">
        <f t="shared" si="8"/>
        <v>4</v>
      </c>
      <c r="P431" s="46" t="str">
        <f t="shared" si="9"/>
        <v>REVERSE TRADE</v>
      </c>
      <c r="Q431" s="52"/>
      <c r="R431" s="53">
        <f t="shared" si="10"/>
        <v>15</v>
      </c>
      <c r="S431" s="53">
        <f>IFERROR(__xludf.DUMMYFUNCTION("IFERROR(ROUND(GOOGLEFINANCE(A431,""volume"")/GOOGLEFINANCE(A431,""volumeavg""),2),"""")"),0.7)</f>
        <v>0.7</v>
      </c>
      <c r="T431" s="53" t="str">
        <f t="shared" si="11"/>
        <v>LOW VOL</v>
      </c>
      <c r="U431" s="53">
        <f>IFERROR(__xludf.DUMMYFUNCTION("IFERROR(
  LET(
    sd, GOOGLEFINANCE(A431,""close"",TODAY()-100,TODAY()),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"""")"),1.86)</f>
        <v>1.86</v>
      </c>
      <c r="V431" s="53" t="str">
        <f t="shared" si="12"/>
        <v>FAST</v>
      </c>
      <c r="W431" s="53">
        <f>IFERROR(__xludf.DUMMYFUNCTION("IFERROR(ROUND((B431/GOOGLEFINANCE(A431,""high52"")-1)*100,1),"""")"),-21.2)</f>
        <v>-21.2</v>
      </c>
      <c r="X431" s="53">
        <f>IFERROR(__xludf.DUMMYFUNCTION("IFERROR(ROUND((B431-GOOGLEFINANCE(A431,""low52""))/(GOOGLEFINANCE(A431,""high52"")-GOOGLEFINANCE(A431,""low52""))*100,1),"""")"),55.4)</f>
        <v>55.4</v>
      </c>
      <c r="Y431" s="53" t="str">
        <f t="shared" si="13"/>
        <v>MID</v>
      </c>
      <c r="Z431" s="53">
        <f>IFERROR(__xludf.DUMMYFUNCTION("IFERROR(ROUND(((B431 / INDEX(GOOGLEFINANCE(TRIM(A431), ""price"", TODAY()-34, TODAY()), 2, 2)) - (GOOGLEFINANCE(""NIFTY_50"") / INDEX(GOOGLEFINANCE(""NIFTY_50"", ""price"", TODAY()-34, TODAY()), 2, 2))) * 100, 2), ""Check History"")"),-2.84)</f>
        <v>-2.84</v>
      </c>
      <c r="AA431" s="53" t="str">
        <f t="shared" si="14"/>
        <v>WEAK RS</v>
      </c>
      <c r="AB431" s="53">
        <f>IFERROR(__xludf.DUMMYFUNCTION("IFERROR(LET(
  p, QUERY(GOOGLEFINANCE(TRIM(A431),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Loading"")"),44.0)</f>
        <v>44</v>
      </c>
      <c r="AC431" s="53" t="str">
        <f t="shared" si="15"/>
        <v>WEAK MOM</v>
      </c>
      <c r="AD431" s="53" t="str">
        <f>IFERROR(__xludf.DUMMYFUNCTION("IFERROR(IF(GOOGLEFINANCE(A431,""eps"")&gt;0,""EPS+"",""EPS-""),"""")"),"EPS+")</f>
        <v>EPS+</v>
      </c>
      <c r="AE431" s="53">
        <f t="shared" si="16"/>
        <v>4</v>
      </c>
      <c r="AF431" s="53">
        <f>IFERROR(__xludf.DUMMYFUNCTION("IFERROR(N431+IF(S431&gt;=1.2,1,0)+IF(U431&gt;=1,1,0)+IF(Z431&gt;0,1,0)+IF(AND(W431&gt;=-20,W431&lt;=0),1,0)+IF(IFERROR(GOOGLEFINANCE(A431,""eps""),0)&gt;0,1,0),"""")"),6.0)</f>
        <v>6</v>
      </c>
      <c r="AG431" s="53" t="str">
        <f t="shared" si="17"/>
        <v>REVERSE TRADE</v>
      </c>
    </row>
    <row r="432" ht="15.75" customHeight="1">
      <c r="A432" s="55" t="s">
        <v>599</v>
      </c>
      <c r="B432" s="44">
        <f>IFERROR(__xludf.DUMMYFUNCTION("GOOGLEFINANCE(A432,""price"")"),771.0)</f>
        <v>771</v>
      </c>
      <c r="C432" s="45">
        <f>IFERROR(__xludf.DUMMYFUNCTION("AVERAGE(QUERY(SORT(GOOGLEFINANCE(A432,""price"",TODAY()-150,TODAY()),1,0),""select Col2 limit 50""))"),826.7689999999999)</f>
        <v>826.769</v>
      </c>
      <c r="D432" s="45">
        <f>IFERROR(__xludf.DUMMYFUNCTION("AVERAGE(QUERY(SORT(GOOGLEFINANCE(A432,""price"",TODAY()-300,TODAY()),1,0),""select Col2 limit 100""))"),826.7919999999999)</f>
        <v>826.792</v>
      </c>
      <c r="E432" s="45">
        <f>IFERROR(__xludf.DUMMYFUNCTION("AVERAGE(QUERY(SORT(GOOGLEFINANCE(A432,""price"",TODAY()-500,TODAY()),1,0),""select Col2 limit 200""))"),869.4865000000004)</f>
        <v>869.4865</v>
      </c>
      <c r="F432" s="46" t="str">
        <f t="shared" si="1"/>
        <v>In Bear Run</v>
      </c>
      <c r="G432" s="47">
        <f t="shared" si="2"/>
        <v>-11.32697287</v>
      </c>
      <c r="H432" s="48" t="str">
        <f t="shared" si="3"/>
        <v>Inverted ✗</v>
      </c>
      <c r="I432" s="48">
        <f t="shared" si="4"/>
        <v>0</v>
      </c>
      <c r="J432" s="48">
        <f t="shared" si="5"/>
        <v>0</v>
      </c>
      <c r="K432" s="49" t="str">
        <f>IFERROR(__xludf.DUMMYFUNCTION("IFERROR(IF(A432="""",""ENTER STOCK"",LET(stock,A432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32" s="48">
        <f t="shared" si="6"/>
        <v>0</v>
      </c>
      <c r="M432" s="48">
        <f t="shared" si="7"/>
        <v>1</v>
      </c>
      <c r="N432" s="50">
        <f t="shared" si="8"/>
        <v>1</v>
      </c>
      <c r="P432" s="46" t="str">
        <f t="shared" si="9"/>
        <v>REVERSE TRADE</v>
      </c>
      <c r="Q432" s="52"/>
      <c r="R432" s="53">
        <f t="shared" si="10"/>
        <v>15</v>
      </c>
      <c r="S432" s="53">
        <f>IFERROR(__xludf.DUMMYFUNCTION("IFERROR(ROUND(GOOGLEFINANCE(A432,""volume"")/GOOGLEFINANCE(A432,""volumeavg""),2),"""")"),4.22)</f>
        <v>4.22</v>
      </c>
      <c r="T432" s="53" t="str">
        <f t="shared" si="11"/>
        <v>HIGH VOL</v>
      </c>
      <c r="U432" s="53">
        <f>IFERROR(__xludf.DUMMYFUNCTION("IFERROR(
  LET(
    sd, GOOGLEFINANCE(A432,""close"",TODAY()-100,TODAY()),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"""")"),1.01)</f>
        <v>1.01</v>
      </c>
      <c r="V432" s="53" t="str">
        <f t="shared" si="12"/>
        <v>MEDIUM</v>
      </c>
      <c r="W432" s="53">
        <f>IFERROR(__xludf.DUMMYFUNCTION("IFERROR(ROUND((B432/GOOGLEFINANCE(A432,""high52"")-1)*100,1),"""")"),-23.0)</f>
        <v>-23</v>
      </c>
      <c r="X432" s="53">
        <f>IFERROR(__xludf.DUMMYFUNCTION("IFERROR(ROUND((B432-GOOGLEFINANCE(A432,""low52""))/(GOOGLEFINANCE(A432,""high52"")-GOOGLEFINANCE(A432,""low52""))*100,1),"""")"),10.2)</f>
        <v>10.2</v>
      </c>
      <c r="Y432" s="53" t="str">
        <f t="shared" si="13"/>
        <v>MID</v>
      </c>
      <c r="Z432" s="53">
        <f>IFERROR(__xludf.DUMMYFUNCTION("IFERROR(ROUND(((B432 / INDEX(GOOGLEFINANCE(TRIM(A432), ""price"", TODAY()-34, TODAY()), 2, 2)) - (GOOGLEFINANCE(""NIFTY_50"") / INDEX(GOOGLEFINANCE(""NIFTY_50"", ""price"", TODAY()-34, TODAY()), 2, 2))) * 100, 2), ""Check History"")"),4.96)</f>
        <v>4.96</v>
      </c>
      <c r="AA432" s="53" t="str">
        <f t="shared" si="14"/>
        <v>MILD RS</v>
      </c>
      <c r="AB432" s="53">
        <f>IFERROR(__xludf.DUMMYFUNCTION("IFERROR(LET(
  p, QUERY(GOOGLEFINANCE(TRIM(A432),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Loading"")"),50.2)</f>
        <v>50.2</v>
      </c>
      <c r="AC432" s="53" t="str">
        <f t="shared" si="15"/>
        <v>IDEAL ENTRY</v>
      </c>
      <c r="AD432" s="53" t="str">
        <f>IFERROR(__xludf.DUMMYFUNCTION("IFERROR(IF(GOOGLEFINANCE(A432,""eps"")&gt;0,""EPS+"",""EPS-""),"""")"),"EPS+")</f>
        <v>EPS+</v>
      </c>
      <c r="AE432" s="53">
        <f t="shared" si="16"/>
        <v>6</v>
      </c>
      <c r="AF432" s="53">
        <f>IFERROR(__xludf.DUMMYFUNCTION("IFERROR(N432+IF(S432&gt;=1.2,1,0)+IF(U432&gt;=1,1,0)+IF(Z432&gt;0,1,0)+IF(AND(W432&gt;=-20,W432&lt;=0),1,0)+IF(IFERROR(GOOGLEFINANCE(A432,""eps""),0)&gt;0,1,0),"""")"),5.0)</f>
        <v>5</v>
      </c>
      <c r="AG432" s="53" t="str">
        <f t="shared" si="17"/>
        <v>REVERSE TRADE</v>
      </c>
    </row>
    <row r="433" ht="15.75" customHeight="1">
      <c r="A433" s="55" t="s">
        <v>600</v>
      </c>
      <c r="B433" s="44">
        <f>IFERROR(__xludf.DUMMYFUNCTION("GOOGLEFINANCE(A433,""price"")"),711.0)</f>
        <v>711</v>
      </c>
      <c r="C433" s="45">
        <f>IFERROR(__xludf.DUMMYFUNCTION("AVERAGE(QUERY(SORT(GOOGLEFINANCE(A433,""price"",TODAY()-150,TODAY()),1,0),""select Col2 limit 50""))"),891.316)</f>
        <v>891.316</v>
      </c>
      <c r="D433" s="45">
        <f>IFERROR(__xludf.DUMMYFUNCTION("AVERAGE(QUERY(SORT(GOOGLEFINANCE(A433,""price"",TODAY()-300,TODAY()),1,0),""select Col2 limit 100""))"),996.8499999999995)</f>
        <v>996.85</v>
      </c>
      <c r="E433" s="45">
        <f>IFERROR(__xludf.DUMMYFUNCTION("AVERAGE(QUERY(SORT(GOOGLEFINANCE(A433,""price"",TODAY()-500,TODAY()),1,0),""select Col2 limit 200""))"),1072.4479999999996)</f>
        <v>1072.448</v>
      </c>
      <c r="F433" s="46" t="str">
        <f t="shared" si="1"/>
        <v>In Bear Run</v>
      </c>
      <c r="G433" s="47">
        <f t="shared" si="2"/>
        <v>-33.70307931</v>
      </c>
      <c r="H433" s="48" t="str">
        <f t="shared" si="3"/>
        <v>Inverted ✗</v>
      </c>
      <c r="I433" s="48">
        <f t="shared" si="4"/>
        <v>0</v>
      </c>
      <c r="J433" s="48">
        <f t="shared" si="5"/>
        <v>0</v>
      </c>
      <c r="K433" s="49" t="str">
        <f>IFERROR(__xludf.DUMMYFUNCTION("IFERROR(IF(A433="""",""ENTER STOCK"",LET(stock,A433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33" s="48">
        <f t="shared" si="6"/>
        <v>0</v>
      </c>
      <c r="M433" s="48">
        <f t="shared" si="7"/>
        <v>1</v>
      </c>
      <c r="N433" s="50">
        <f t="shared" si="8"/>
        <v>1</v>
      </c>
      <c r="P433" s="46" t="str">
        <f t="shared" si="9"/>
        <v>REVERSE TRADE</v>
      </c>
      <c r="Q433" s="52"/>
      <c r="R433" s="53">
        <f t="shared" si="10"/>
        <v>15</v>
      </c>
      <c r="S433" s="53">
        <f>IFERROR(__xludf.DUMMYFUNCTION("IFERROR(ROUND(GOOGLEFINANCE(A433,""volume"")/GOOGLEFINANCE(A433,""volumeavg""),2),"""")"),0.77)</f>
        <v>0.77</v>
      </c>
      <c r="T433" s="53" t="str">
        <f t="shared" si="11"/>
        <v>LOW VOL</v>
      </c>
      <c r="U433" s="53">
        <f>IFERROR(__xludf.DUMMYFUNCTION("IFERROR(
  LET(
    sd, GOOGLEFINANCE(A433,""close"",TODAY()-100,TODAY()),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"""")"),1.15)</f>
        <v>1.15</v>
      </c>
      <c r="V433" s="53" t="str">
        <f t="shared" si="12"/>
        <v>MEDIUM</v>
      </c>
      <c r="W433" s="53">
        <f>IFERROR(__xludf.DUMMYFUNCTION("IFERROR(ROUND((B433/GOOGLEFINANCE(A433,""high52"")-1)*100,1),"""")"),-45.7)</f>
        <v>-45.7</v>
      </c>
      <c r="X433" s="53">
        <f>IFERROR(__xludf.DUMMYFUNCTION("IFERROR(ROUND((B433-GOOGLEFINANCE(A433,""low52""))/(GOOGLEFINANCE(A433,""high52"")-GOOGLEFINANCE(A433,""low52""))*100,1),"""")"),0.1)</f>
        <v>0.1</v>
      </c>
      <c r="Y433" s="53" t="str">
        <f t="shared" si="13"/>
        <v>DEEP RECOVERY</v>
      </c>
      <c r="Z433" s="53">
        <f>IFERROR(__xludf.DUMMYFUNCTION("IFERROR(ROUND(((B433 / INDEX(GOOGLEFINANCE(TRIM(A433), ""price"", TODAY()-34, TODAY()), 2, 2)) - (GOOGLEFINANCE(""NIFTY_50"") / INDEX(GOOGLEFINANCE(""NIFTY_50"", ""price"", TODAY()-34, TODAY()), 2, 2))) * 100, 2), ""Check History"")"),-11.47)</f>
        <v>-11.47</v>
      </c>
      <c r="AA433" s="53" t="str">
        <f t="shared" si="14"/>
        <v>WEAK RS</v>
      </c>
      <c r="AB433" s="53">
        <f>IFERROR(__xludf.DUMMYFUNCTION("IFERROR(LET(
  p, QUERY(GOOGLEFINANCE(TRIM(A433),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Loading"")"),35.4)</f>
        <v>35.4</v>
      </c>
      <c r="AC433" s="53" t="str">
        <f t="shared" si="15"/>
        <v>WEAK MOM</v>
      </c>
      <c r="AD433" s="53" t="str">
        <f>IFERROR(__xludf.DUMMYFUNCTION("IFERROR(IF(GOOGLEFINANCE(A433,""eps"")&gt;0,""EPS+"",""EPS-""),"""")"),"EPS+")</f>
        <v>EPS+</v>
      </c>
      <c r="AE433" s="53">
        <f t="shared" si="16"/>
        <v>2</v>
      </c>
      <c r="AF433" s="53">
        <f>IFERROR(__xludf.DUMMYFUNCTION("IFERROR(N433+IF(S433&gt;=1.2,1,0)+IF(U433&gt;=1,1,0)+IF(Z433&gt;0,1,0)+IF(AND(W433&gt;=-20,W433&lt;=0),1,0)+IF(IFERROR(GOOGLEFINANCE(A433,""eps""),0)&gt;0,1,0),"""")"),3.0)</f>
        <v>3</v>
      </c>
      <c r="AG433" s="53" t="str">
        <f t="shared" si="17"/>
        <v>REVERSE TRADE</v>
      </c>
    </row>
    <row r="434" ht="15.75" customHeight="1">
      <c r="A434" s="55" t="s">
        <v>601</v>
      </c>
      <c r="B434" s="44">
        <f>IFERROR(__xludf.DUMMYFUNCTION("GOOGLEFINANCE(A434,""price"")"),1173.0)</f>
        <v>1173</v>
      </c>
      <c r="C434" s="45">
        <f>IFERROR(__xludf.DUMMYFUNCTION("AVERAGE(QUERY(SORT(GOOGLEFINANCE(A434,""price"",TODAY()-150,TODAY()),1,0),""select Col2 limit 50""))"),1398.104)</f>
        <v>1398.104</v>
      </c>
      <c r="D434" s="45">
        <f>IFERROR(__xludf.DUMMYFUNCTION("AVERAGE(QUERY(SORT(GOOGLEFINANCE(A434,""price"",TODAY()-300,TODAY()),1,0),""select Col2 limit 100""))"),1464.109)</f>
        <v>1464.109</v>
      </c>
      <c r="E434" s="45">
        <f>IFERROR(__xludf.DUMMYFUNCTION("AVERAGE(QUERY(SORT(GOOGLEFINANCE(A434,""price"",TODAY()-500,TODAY()),1,0),""select Col2 limit 200""))"),1501.054500000001)</f>
        <v>1501.0545</v>
      </c>
      <c r="F434" s="46" t="str">
        <f t="shared" si="1"/>
        <v>In Bear Run</v>
      </c>
      <c r="G434" s="47">
        <f t="shared" si="2"/>
        <v>-21.85493598</v>
      </c>
      <c r="H434" s="48" t="str">
        <f t="shared" si="3"/>
        <v>Inverted ✗</v>
      </c>
      <c r="I434" s="48">
        <f t="shared" si="4"/>
        <v>0</v>
      </c>
      <c r="J434" s="48">
        <f t="shared" si="5"/>
        <v>0</v>
      </c>
      <c r="K434" s="49" t="str">
        <f>IFERROR(__xludf.DUMMYFUNCTION("IFERROR(IF(A434="""",""ENTER STOCK"",LET(stock,A434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34" s="48">
        <f t="shared" si="6"/>
        <v>0</v>
      </c>
      <c r="M434" s="48">
        <f t="shared" si="7"/>
        <v>1</v>
      </c>
      <c r="N434" s="50">
        <f t="shared" si="8"/>
        <v>1</v>
      </c>
      <c r="P434" s="46" t="str">
        <f t="shared" si="9"/>
        <v>REVERSE TRADE</v>
      </c>
      <c r="Q434" s="52"/>
      <c r="R434" s="53">
        <f t="shared" si="10"/>
        <v>15</v>
      </c>
      <c r="S434" s="53">
        <f>IFERROR(__xludf.DUMMYFUNCTION("IFERROR(ROUND(GOOGLEFINANCE(A434,""volume"")/GOOGLEFINANCE(A434,""volumeavg""),2),"""")"),1.02)</f>
        <v>1.02</v>
      </c>
      <c r="T434" s="53" t="str">
        <f t="shared" si="11"/>
        <v>LOW VOL</v>
      </c>
      <c r="U434" s="53">
        <f>IFERROR(__xludf.DUMMYFUNCTION("IFERROR(
  LET(
    sd, GOOGLEFINANCE(A434,""close"",TODAY()-100,TODAY()),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"""")"),1.08)</f>
        <v>1.08</v>
      </c>
      <c r="V434" s="53" t="str">
        <f t="shared" si="12"/>
        <v>MEDIUM</v>
      </c>
      <c r="W434" s="53">
        <f>IFERROR(__xludf.DUMMYFUNCTION("IFERROR(ROUND((B434/GOOGLEFINANCE(A434,""high52"")-1)*100,1),"""")"),-32.3)</f>
        <v>-32.3</v>
      </c>
      <c r="X434" s="53">
        <f>IFERROR(__xludf.DUMMYFUNCTION("IFERROR(ROUND((B434-GOOGLEFINANCE(A434,""low52""))/(GOOGLEFINANCE(A434,""high52"")-GOOGLEFINANCE(A434,""low52""))*100,1),"""")"),14.9)</f>
        <v>14.9</v>
      </c>
      <c r="Y434" s="53" t="str">
        <f t="shared" si="13"/>
        <v>MID</v>
      </c>
      <c r="Z434" s="53">
        <f>IFERROR(__xludf.DUMMYFUNCTION("IFERROR(ROUND(((B434 / INDEX(GOOGLEFINANCE(TRIM(A434), ""price"", TODAY()-34, TODAY()), 2, 2)) - (GOOGLEFINANCE(""NIFTY_50"") / INDEX(GOOGLEFINANCE(""NIFTY_50"", ""price"", TODAY()-34, TODAY()), 2, 2))) * 100, 2), ""Check History"")"),-7.25)</f>
        <v>-7.25</v>
      </c>
      <c r="AA434" s="53" t="str">
        <f t="shared" si="14"/>
        <v>WEAK RS</v>
      </c>
      <c r="AB434" s="53">
        <f>IFERROR(__xludf.DUMMYFUNCTION("IFERROR(LET(
  p, QUERY(GOOGLEFINANCE(TRIM(A434),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Loading"")"),37.5)</f>
        <v>37.5</v>
      </c>
      <c r="AC434" s="53" t="str">
        <f t="shared" si="15"/>
        <v>WEAK MOM</v>
      </c>
      <c r="AD434" s="53" t="str">
        <f>IFERROR(__xludf.DUMMYFUNCTION("IFERROR(IF(GOOGLEFINANCE(A434,""eps"")&gt;0,""EPS+"",""EPS-""),"""")"),"EPS+")</f>
        <v>EPS+</v>
      </c>
      <c r="AE434" s="53">
        <f t="shared" si="16"/>
        <v>3</v>
      </c>
      <c r="AF434" s="53">
        <f>IFERROR(__xludf.DUMMYFUNCTION("IFERROR(N434+IF(S434&gt;=1.2,1,0)+IF(U434&gt;=1,1,0)+IF(Z434&gt;0,1,0)+IF(AND(W434&gt;=-20,W434&lt;=0),1,0)+IF(IFERROR(GOOGLEFINANCE(A434,""eps""),0)&gt;0,1,0),"""")"),3.0)</f>
        <v>3</v>
      </c>
      <c r="AG434" s="53" t="str">
        <f t="shared" si="17"/>
        <v>REVERSE TRADE</v>
      </c>
    </row>
    <row r="435" ht="15.75" customHeight="1">
      <c r="A435" s="55" t="s">
        <v>602</v>
      </c>
      <c r="B435" s="44">
        <f>IFERROR(__xludf.DUMMYFUNCTION("GOOGLEFINANCE(A435,""price"")"),209.4)</f>
        <v>209.4</v>
      </c>
      <c r="C435" s="45">
        <f>IFERROR(__xludf.DUMMYFUNCTION("AVERAGE(QUERY(SORT(GOOGLEFINANCE(A435,""price"",TODAY()-150,TODAY()),1,0),""select Col2 limit 50""))"),277.846)</f>
        <v>277.846</v>
      </c>
      <c r="D435" s="45">
        <f>IFERROR(__xludf.DUMMYFUNCTION("AVERAGE(QUERY(SORT(GOOGLEFINANCE(A435,""price"",TODAY()-300,TODAY()),1,0),""select Col2 limit 100""))"),319.125)</f>
        <v>319.125</v>
      </c>
      <c r="E435" s="45">
        <f>IFERROR(__xludf.DUMMYFUNCTION("AVERAGE(QUERY(SORT(GOOGLEFINANCE(A435,""price"",TODAY()-500,TODAY()),1,0),""select Col2 limit 200""))"),352.43175)</f>
        <v>352.43175</v>
      </c>
      <c r="F435" s="46" t="str">
        <f t="shared" si="1"/>
        <v>In Bear Run</v>
      </c>
      <c r="G435" s="47">
        <f t="shared" si="2"/>
        <v>-40.58424078</v>
      </c>
      <c r="H435" s="48" t="str">
        <f t="shared" si="3"/>
        <v>Inverted ✗</v>
      </c>
      <c r="I435" s="48">
        <f t="shared" si="4"/>
        <v>0</v>
      </c>
      <c r="J435" s="48">
        <f t="shared" si="5"/>
        <v>0</v>
      </c>
      <c r="K435" s="49" t="str">
        <f>IFERROR(__xludf.DUMMYFUNCTION("IFERROR(IF(A435="""",""ENTER STOCK"",LET(stock,A435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35" s="48">
        <f t="shared" si="6"/>
        <v>0</v>
      </c>
      <c r="M435" s="48">
        <f t="shared" si="7"/>
        <v>1</v>
      </c>
      <c r="N435" s="50">
        <f t="shared" si="8"/>
        <v>1</v>
      </c>
      <c r="P435" s="46" t="str">
        <f t="shared" si="9"/>
        <v>REVERSE TRADE</v>
      </c>
      <c r="Q435" s="52"/>
      <c r="R435" s="53">
        <f t="shared" si="10"/>
        <v>15</v>
      </c>
      <c r="S435" s="53">
        <f>IFERROR(__xludf.DUMMYFUNCTION("IFERROR(ROUND(GOOGLEFINANCE(A435,""volume"")/GOOGLEFINANCE(A435,""volumeavg""),2),"""")"),1.24)</f>
        <v>1.24</v>
      </c>
      <c r="T435" s="53" t="str">
        <f t="shared" si="11"/>
        <v>OK VOL</v>
      </c>
      <c r="U435" s="53">
        <f>IFERROR(__xludf.DUMMYFUNCTION("IFERROR(
  LET(
    sd, GOOGLEFINANCE(A435,""close"",TODAY()-100,TODAY()),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"""")"),1.33)</f>
        <v>1.33</v>
      </c>
      <c r="V435" s="53" t="str">
        <f t="shared" si="12"/>
        <v>FAST</v>
      </c>
      <c r="W435" s="53">
        <f>IFERROR(__xludf.DUMMYFUNCTION("IFERROR(ROUND((B435/GOOGLEFINANCE(A435,""high52"")-1)*100,1),"""")"),-54.9)</f>
        <v>-54.9</v>
      </c>
      <c r="X435" s="53">
        <f>IFERROR(__xludf.DUMMYFUNCTION("IFERROR(ROUND((B435-GOOGLEFINANCE(A435,""low52""))/(GOOGLEFINANCE(A435,""high52"")-GOOGLEFINANCE(A435,""low52""))*100,1),"""")"),0.9)</f>
        <v>0.9</v>
      </c>
      <c r="Y435" s="53" t="str">
        <f t="shared" si="13"/>
        <v>DEEP RECOVERY</v>
      </c>
      <c r="Z435" s="53">
        <f>IFERROR(__xludf.DUMMYFUNCTION("IFERROR(ROUND(((B435 / INDEX(GOOGLEFINANCE(TRIM(A435), ""price"", TODAY()-34, TODAY()), 2, 2)) - (GOOGLEFINANCE(""NIFTY_50"") / INDEX(GOOGLEFINANCE(""NIFTY_50"", ""price"", TODAY()-34, TODAY()), 2, 2))) * 100, 2), ""Check History"")"),-10.32)</f>
        <v>-10.32</v>
      </c>
      <c r="AA435" s="53" t="str">
        <f t="shared" si="14"/>
        <v>WEAK RS</v>
      </c>
      <c r="AB435" s="53">
        <f>IFERROR(__xludf.DUMMYFUNCTION("IFERROR(LET(
  p, QUERY(GOOGLEFINANCE(TRIM(A435),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Loading"")"),46.8)</f>
        <v>46.8</v>
      </c>
      <c r="AC435" s="53" t="str">
        <f t="shared" si="15"/>
        <v>IDEAL ENTRY</v>
      </c>
      <c r="AD435" s="53" t="str">
        <f>IFERROR(__xludf.DUMMYFUNCTION("IFERROR(IF(GOOGLEFINANCE(A435,""eps"")&gt;0,""EPS+"",""EPS-""),"""")"),"EPS+")</f>
        <v>EPS+</v>
      </c>
      <c r="AE435" s="53">
        <f t="shared" si="16"/>
        <v>5</v>
      </c>
      <c r="AF435" s="53">
        <f>IFERROR(__xludf.DUMMYFUNCTION("IFERROR(N435+IF(S435&gt;=1.2,1,0)+IF(U435&gt;=1,1,0)+IF(Z435&gt;0,1,0)+IF(AND(W435&gt;=-20,W435&lt;=0),1,0)+IF(IFERROR(GOOGLEFINANCE(A435,""eps""),0)&gt;0,1,0),"""")"),4.0)</f>
        <v>4</v>
      </c>
      <c r="AG435" s="53" t="str">
        <f t="shared" si="17"/>
        <v>REVERSE TRADE</v>
      </c>
    </row>
    <row r="436" ht="15.75" customHeight="1">
      <c r="A436" s="55" t="s">
        <v>603</v>
      </c>
      <c r="B436" s="44">
        <f>IFERROR(__xludf.DUMMYFUNCTION("GOOGLEFINANCE(A436,""price"")"),450.0)</f>
        <v>450</v>
      </c>
      <c r="C436" s="45">
        <f>IFERROR(__xludf.DUMMYFUNCTION("AVERAGE(QUERY(SORT(GOOGLEFINANCE(A436,""price"",TODAY()-150,TODAY()),1,0),""select Col2 limit 50""))"),457.32400000000007)</f>
        <v>457.324</v>
      </c>
      <c r="D436" s="45">
        <f>IFERROR(__xludf.DUMMYFUNCTION("AVERAGE(QUERY(SORT(GOOGLEFINANCE(A436,""price"",TODAY()-300,TODAY()),1,0),""select Col2 limit 100""))"),465.5745000000001)</f>
        <v>465.5745</v>
      </c>
      <c r="E436" s="45">
        <f>IFERROR(__xludf.DUMMYFUNCTION("AVERAGE(QUERY(SORT(GOOGLEFINANCE(A436,""price"",TODAY()-500,TODAY()),1,0),""select Col2 limit 200""))"),456.5667499999999)</f>
        <v>456.56675</v>
      </c>
      <c r="F436" s="46" t="str">
        <f t="shared" si="1"/>
        <v>In Bear Run</v>
      </c>
      <c r="G436" s="47">
        <f t="shared" si="2"/>
        <v>-1.438289144</v>
      </c>
      <c r="H436" s="48" t="str">
        <f t="shared" si="3"/>
        <v>Inverted ✗</v>
      </c>
      <c r="I436" s="48">
        <f t="shared" si="4"/>
        <v>0</v>
      </c>
      <c r="J436" s="48">
        <f t="shared" si="5"/>
        <v>0</v>
      </c>
      <c r="K436" s="49" t="str">
        <f>IFERROR(__xludf.DUMMYFUNCTION("IFERROR(IF(A436="""",""ENTER STOCK"",LET(stock,A436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36" s="48">
        <f t="shared" si="6"/>
        <v>0</v>
      </c>
      <c r="M436" s="48">
        <f t="shared" si="7"/>
        <v>1</v>
      </c>
      <c r="N436" s="50">
        <f t="shared" si="8"/>
        <v>1</v>
      </c>
      <c r="P436" s="46" t="str">
        <f t="shared" si="9"/>
        <v>REVERSE TRADE</v>
      </c>
      <c r="Q436" s="52"/>
      <c r="R436" s="53">
        <f t="shared" si="10"/>
        <v>15</v>
      </c>
      <c r="S436" s="53">
        <f>IFERROR(__xludf.DUMMYFUNCTION("IFERROR(ROUND(GOOGLEFINANCE(A436,""volume"")/GOOGLEFINANCE(A436,""volumeavg""),2),"""")"),1.42)</f>
        <v>1.42</v>
      </c>
      <c r="T436" s="53" t="str">
        <f t="shared" si="11"/>
        <v>OK VOL</v>
      </c>
      <c r="U436" s="53">
        <f>IFERROR(__xludf.DUMMYFUNCTION("IFERROR(
  LET(
    sd, GOOGLEFINANCE(A436,""close"",TODAY()-100,TODAY()),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"""")"),0.54)</f>
        <v>0.54</v>
      </c>
      <c r="V436" s="53" t="str">
        <f t="shared" si="12"/>
        <v>SLOW</v>
      </c>
      <c r="W436" s="53">
        <f>IFERROR(__xludf.DUMMYFUNCTION("IFERROR(ROUND((B436/GOOGLEFINANCE(A436,""high52"")-1)*100,1),"""")"),-15.7)</f>
        <v>-15.7</v>
      </c>
      <c r="X436" s="53">
        <f>IFERROR(__xludf.DUMMYFUNCTION("IFERROR(ROUND((B436-GOOGLEFINANCE(A436,""low52""))/(GOOGLEFINANCE(A436,""high52"")-GOOGLEFINANCE(A436,""low52""))*100,1),"""")"),59.4)</f>
        <v>59.4</v>
      </c>
      <c r="Y436" s="53" t="str">
        <f t="shared" si="13"/>
        <v>UPPER</v>
      </c>
      <c r="Z436" s="53">
        <f>IFERROR(__xludf.DUMMYFUNCTION("IFERROR(ROUND(((B436 / INDEX(GOOGLEFINANCE(TRIM(A436), ""price"", TODAY()-34, TODAY()), 2, 2)) - (GOOGLEFINANCE(""NIFTY_50"") / INDEX(GOOGLEFINANCE(""NIFTY_50"", ""price"", TODAY()-34, TODAY()), 2, 2))) * 100, 2), ""Check History"")"),10.93)</f>
        <v>10.93</v>
      </c>
      <c r="AA436" s="53" t="str">
        <f t="shared" si="14"/>
        <v>STRONG RS</v>
      </c>
      <c r="AB436" s="53">
        <f>IFERROR(__xludf.DUMMYFUNCTION("IFERROR(LET(
  p, QUERY(GOOGLEFINANCE(TRIM(A436),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Loading"")"),58.3)</f>
        <v>58.3</v>
      </c>
      <c r="AC436" s="53" t="str">
        <f t="shared" si="15"/>
        <v>IDEAL ENTRY</v>
      </c>
      <c r="AD436" s="53" t="str">
        <f>IFERROR(__xludf.DUMMYFUNCTION("IFERROR(IF(GOOGLEFINANCE(A436,""eps"")&gt;0,""EPS+"",""EPS-""),"""")"),"EPS+")</f>
        <v>EPS+</v>
      </c>
      <c r="AE436" s="53">
        <f t="shared" si="16"/>
        <v>5</v>
      </c>
      <c r="AF436" s="53">
        <f>IFERROR(__xludf.DUMMYFUNCTION("IFERROR(N436+IF(S436&gt;=1.2,1,0)+IF(U436&gt;=1,1,0)+IF(Z436&gt;0,1,0)+IF(AND(W436&gt;=-20,W436&lt;=0),1,0)+IF(IFERROR(GOOGLEFINANCE(A436,""eps""),0)&gt;0,1,0),"""")"),5.0)</f>
        <v>5</v>
      </c>
      <c r="AG436" s="53" t="str">
        <f t="shared" si="17"/>
        <v>REVERSE TRADE</v>
      </c>
    </row>
    <row r="437" ht="15.75" customHeight="1">
      <c r="A437" s="55" t="s">
        <v>604</v>
      </c>
      <c r="B437" s="44">
        <f>IFERROR(__xludf.DUMMYFUNCTION("GOOGLEFINANCE(A437,""price"")"),365.0)</f>
        <v>365</v>
      </c>
      <c r="C437" s="45">
        <f>IFERROR(__xludf.DUMMYFUNCTION("AVERAGE(QUERY(SORT(GOOGLEFINANCE(A437,""price"",TODAY()-150,TODAY()),1,0),""select Col2 limit 50""))"),404.04599999999994)</f>
        <v>404.046</v>
      </c>
      <c r="D437" s="45">
        <f>IFERROR(__xludf.DUMMYFUNCTION("AVERAGE(QUERY(SORT(GOOGLEFINANCE(A437,""price"",TODAY()-300,TODAY()),1,0),""select Col2 limit 100""))"),432.84100000000007)</f>
        <v>432.841</v>
      </c>
      <c r="E437" s="45">
        <f>IFERROR(__xludf.DUMMYFUNCTION("AVERAGE(QUERY(SORT(GOOGLEFINANCE(A437,""price"",TODAY()-500,TODAY()),1,0),""select Col2 limit 200""))"),493.65624999999994)</f>
        <v>493.65625</v>
      </c>
      <c r="F437" s="46" t="str">
        <f t="shared" si="1"/>
        <v>In Bear Run</v>
      </c>
      <c r="G437" s="47">
        <f t="shared" si="2"/>
        <v>-26.06191049</v>
      </c>
      <c r="H437" s="48" t="str">
        <f t="shared" si="3"/>
        <v>Inverted ✗</v>
      </c>
      <c r="I437" s="48">
        <f t="shared" si="4"/>
        <v>0</v>
      </c>
      <c r="J437" s="48">
        <f t="shared" si="5"/>
        <v>0</v>
      </c>
      <c r="K437" s="49" t="str">
        <f>IFERROR(__xludf.DUMMYFUNCTION("IFERROR(IF(A437="""",""ENTER STOCK"",LET(stock,A437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37" s="48">
        <f t="shared" si="6"/>
        <v>0</v>
      </c>
      <c r="M437" s="48">
        <f t="shared" si="7"/>
        <v>1</v>
      </c>
      <c r="N437" s="50">
        <f t="shared" si="8"/>
        <v>1</v>
      </c>
      <c r="P437" s="46" t="str">
        <f t="shared" si="9"/>
        <v>REVERSE TRADE</v>
      </c>
      <c r="Q437" s="52"/>
      <c r="R437" s="53">
        <f t="shared" si="10"/>
        <v>15</v>
      </c>
      <c r="S437" s="53">
        <f>IFERROR(__xludf.DUMMYFUNCTION("IFERROR(ROUND(GOOGLEFINANCE(A437,""volume"")/GOOGLEFINANCE(A437,""volumeavg""),2),"""")"),1.35)</f>
        <v>1.35</v>
      </c>
      <c r="T437" s="53" t="str">
        <f t="shared" si="11"/>
        <v>OK VOL</v>
      </c>
      <c r="U437" s="53">
        <f>IFERROR(__xludf.DUMMYFUNCTION("IFERROR(
  LET(
    sd, GOOGLEFINANCE(A437,""close"",TODAY()-100,TODAY()),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"""")"),1.0)</f>
        <v>1</v>
      </c>
      <c r="V437" s="53" t="str">
        <f t="shared" si="12"/>
        <v>MEDIUM</v>
      </c>
      <c r="W437" s="53">
        <f>IFERROR(__xludf.DUMMYFUNCTION("IFERROR(ROUND((B437/GOOGLEFINANCE(A437,""high52"")-1)*100,1),"""")"),-45.1)</f>
        <v>-45.1</v>
      </c>
      <c r="X437" s="53">
        <f>IFERROR(__xludf.DUMMYFUNCTION("IFERROR(ROUND((B437-GOOGLEFINANCE(A437,""low52""))/(GOOGLEFINANCE(A437,""high52"")-GOOGLEFINANCE(A437,""low52""))*100,1),"""")"),0.8)</f>
        <v>0.8</v>
      </c>
      <c r="Y437" s="53" t="str">
        <f t="shared" si="13"/>
        <v>DEEP RECOVERY</v>
      </c>
      <c r="Z437" s="53">
        <f>IFERROR(__xludf.DUMMYFUNCTION("IFERROR(ROUND(((B437 / INDEX(GOOGLEFINANCE(TRIM(A437), ""price"", TODAY()-34, TODAY()), 2, 2)) - (GOOGLEFINANCE(""NIFTY_50"") / INDEX(GOOGLEFINANCE(""NIFTY_50"", ""price"", TODAY()-34, TODAY()), 2, 2))) * 100, 2), ""Check History"")"),2.32)</f>
        <v>2.32</v>
      </c>
      <c r="AA437" s="53" t="str">
        <f t="shared" si="14"/>
        <v>MILD RS</v>
      </c>
      <c r="AB437" s="53">
        <f>IFERROR(__xludf.DUMMYFUNCTION("IFERROR(LET(
  p, QUERY(GOOGLEFINANCE(TRIM(A437),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Loading"")"),43.5)</f>
        <v>43.5</v>
      </c>
      <c r="AC437" s="53" t="str">
        <f t="shared" si="15"/>
        <v>WEAK MOM</v>
      </c>
      <c r="AD437" s="53" t="str">
        <f>IFERROR(__xludf.DUMMYFUNCTION("IFERROR(IF(GOOGLEFINANCE(A437,""eps"")&gt;0,""EPS+"",""EPS-""),"""")"),"EPS+")</f>
        <v>EPS+</v>
      </c>
      <c r="AE437" s="53">
        <f t="shared" si="16"/>
        <v>5</v>
      </c>
      <c r="AF437" s="53">
        <f>IFERROR(__xludf.DUMMYFUNCTION("IFERROR(N437+IF(S437&gt;=1.2,1,0)+IF(U437&gt;=1,1,0)+IF(Z437&gt;0,1,0)+IF(AND(W437&gt;=-20,W437&lt;=0),1,0)+IF(IFERROR(GOOGLEFINANCE(A437,""eps""),0)&gt;0,1,0),"""")"),5.0)</f>
        <v>5</v>
      </c>
      <c r="AG437" s="53" t="str">
        <f t="shared" si="17"/>
        <v>REVERSE TRADE</v>
      </c>
    </row>
    <row r="438" ht="15.75" customHeight="1">
      <c r="A438" s="55" t="s">
        <v>605</v>
      </c>
      <c r="B438" s="44">
        <f>IFERROR(__xludf.DUMMYFUNCTION("GOOGLEFINANCE(A438,""price"")"),565.5)</f>
        <v>565.5</v>
      </c>
      <c r="C438" s="45">
        <f>IFERROR(__xludf.DUMMYFUNCTION("AVERAGE(QUERY(SORT(GOOGLEFINANCE(A438,""price"",TODAY()-150,TODAY()),1,0),""select Col2 limit 50""))"),577.36)</f>
        <v>577.36</v>
      </c>
      <c r="D438" s="45">
        <f>IFERROR(__xludf.DUMMYFUNCTION("AVERAGE(QUERY(SORT(GOOGLEFINANCE(A438,""price"",TODAY()-300,TODAY()),1,0),""select Col2 limit 100""))"),568.8985000000002)</f>
        <v>568.8985</v>
      </c>
      <c r="E438" s="45">
        <f>IFERROR(__xludf.DUMMYFUNCTION("AVERAGE(QUERY(SORT(GOOGLEFINANCE(A438,""price"",TODAY()-500,TODAY()),1,0),""select Col2 limit 200""))"),571.2455000000001)</f>
        <v>571.2455</v>
      </c>
      <c r="F438" s="46" t="str">
        <f t="shared" si="1"/>
        <v>In Bear Run</v>
      </c>
      <c r="G438" s="47">
        <f t="shared" si="2"/>
        <v>-1.005784728</v>
      </c>
      <c r="H438" s="48" t="str">
        <f t="shared" si="3"/>
        <v>Inverted ✗</v>
      </c>
      <c r="I438" s="48">
        <f t="shared" si="4"/>
        <v>0</v>
      </c>
      <c r="J438" s="48">
        <f t="shared" si="5"/>
        <v>0</v>
      </c>
      <c r="K438" s="49" t="str">
        <f>IFERROR(__xludf.DUMMYFUNCTION("IFERROR(IF(A438="""",""ENTER STOCK"",LET(stock,A438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38" s="48">
        <f t="shared" si="6"/>
        <v>0</v>
      </c>
      <c r="M438" s="48">
        <f t="shared" si="7"/>
        <v>1</v>
      </c>
      <c r="N438" s="50">
        <f t="shared" si="8"/>
        <v>1</v>
      </c>
      <c r="P438" s="46" t="str">
        <f t="shared" si="9"/>
        <v>REVERSE TRADE</v>
      </c>
      <c r="Q438" s="52"/>
      <c r="R438" s="53">
        <f t="shared" si="10"/>
        <v>15</v>
      </c>
      <c r="S438" s="53">
        <f>IFERROR(__xludf.DUMMYFUNCTION("IFERROR(ROUND(GOOGLEFINANCE(A438,""volume"")/GOOGLEFINANCE(A438,""volumeavg""),2),"""")"),0.39)</f>
        <v>0.39</v>
      </c>
      <c r="T438" s="53" t="str">
        <f t="shared" si="11"/>
        <v>LOW VOL</v>
      </c>
      <c r="U438" s="53">
        <f>IFERROR(__xludf.DUMMYFUNCTION("IFERROR(
  LET(
    sd, GOOGLEFINANCE(A438,""close"",TODAY()-100,TODAY()),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"""")"),0.68)</f>
        <v>0.68</v>
      </c>
      <c r="V438" s="53" t="str">
        <f t="shared" si="12"/>
        <v>SLOW</v>
      </c>
      <c r="W438" s="53">
        <f>IFERROR(__xludf.DUMMYFUNCTION("IFERROR(ROUND((B438/GOOGLEFINANCE(A438,""high52"")-1)*100,1),"""")"),-18.2)</f>
        <v>-18.2</v>
      </c>
      <c r="X438" s="53">
        <f>IFERROR(__xludf.DUMMYFUNCTION("IFERROR(ROUND((B438-GOOGLEFINANCE(A438,""low52""))/(GOOGLEFINANCE(A438,""high52"")-GOOGLEFINANCE(A438,""low52""))*100,1),"""")"),40.4)</f>
        <v>40.4</v>
      </c>
      <c r="Y438" s="53" t="str">
        <f t="shared" si="13"/>
        <v>UPPER</v>
      </c>
      <c r="Z438" s="53">
        <f>IFERROR(__xludf.DUMMYFUNCTION("IFERROR(ROUND(((B438 / INDEX(GOOGLEFINANCE(TRIM(A438), ""price"", TODAY()-34, TODAY()), 2, 2)) - (GOOGLEFINANCE(""NIFTY_50"") / INDEX(GOOGLEFINANCE(""NIFTY_50"", ""price"", TODAY()-34, TODAY()), 2, 2))) * 100, 2), ""Check History"")"),8.23)</f>
        <v>8.23</v>
      </c>
      <c r="AA438" s="53" t="str">
        <f t="shared" si="14"/>
        <v>STRONG RS</v>
      </c>
      <c r="AB438" s="53">
        <f>IFERROR(__xludf.DUMMYFUNCTION("IFERROR(LET(
  p, QUERY(GOOGLEFINANCE(TRIM(A438),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Loading"")"),46.8)</f>
        <v>46.8</v>
      </c>
      <c r="AC438" s="53" t="str">
        <f t="shared" si="15"/>
        <v>IDEAL ENTRY</v>
      </c>
      <c r="AD438" s="53" t="str">
        <f>IFERROR(__xludf.DUMMYFUNCTION("IFERROR(IF(GOOGLEFINANCE(A438,""eps"")&gt;0,""EPS+"",""EPS-""),"""")"),"EPS+")</f>
        <v>EPS+</v>
      </c>
      <c r="AE438" s="53">
        <f t="shared" si="16"/>
        <v>3</v>
      </c>
      <c r="AF438" s="53">
        <f>IFERROR(__xludf.DUMMYFUNCTION("IFERROR(N438+IF(S438&gt;=1.2,1,0)+IF(U438&gt;=1,1,0)+IF(Z438&gt;0,1,0)+IF(AND(W438&gt;=-20,W438&lt;=0),1,0)+IF(IFERROR(GOOGLEFINANCE(A438,""eps""),0)&gt;0,1,0),"""")"),4.0)</f>
        <v>4</v>
      </c>
      <c r="AG438" s="53" t="str">
        <f t="shared" si="17"/>
        <v>REVERSE TRADE</v>
      </c>
    </row>
    <row r="439" ht="15.75" customHeight="1">
      <c r="A439" s="55" t="s">
        <v>606</v>
      </c>
      <c r="B439" s="44">
        <f>IFERROR(__xludf.DUMMYFUNCTION("GOOGLEFINANCE(A439,""price"")"),750.0)</f>
        <v>750</v>
      </c>
      <c r="C439" s="45">
        <f>IFERROR(__xludf.DUMMYFUNCTION("AVERAGE(QUERY(SORT(GOOGLEFINANCE(A439,""price"",TODAY()-150,TODAY()),1,0),""select Col2 limit 50""))"),884.146)</f>
        <v>884.146</v>
      </c>
      <c r="D439" s="45">
        <f>IFERROR(__xludf.DUMMYFUNCTION("AVERAGE(QUERY(SORT(GOOGLEFINANCE(A439,""price"",TODAY()-300,TODAY()),1,0),""select Col2 limit 100""))"),914.7864999999997)</f>
        <v>914.7865</v>
      </c>
      <c r="E439" s="45">
        <f>IFERROR(__xludf.DUMMYFUNCTION("AVERAGE(QUERY(SORT(GOOGLEFINANCE(A439,""price"",TODAY()-500,TODAY()),1,0),""select Col2 limit 200""))"),957.6174999999998)</f>
        <v>957.6175</v>
      </c>
      <c r="F439" s="46" t="str">
        <f t="shared" si="1"/>
        <v>In Bear Run</v>
      </c>
      <c r="G439" s="47">
        <f t="shared" si="2"/>
        <v>-21.68062927</v>
      </c>
      <c r="H439" s="48" t="str">
        <f t="shared" si="3"/>
        <v>Inverted ✗</v>
      </c>
      <c r="I439" s="48">
        <f t="shared" si="4"/>
        <v>0</v>
      </c>
      <c r="J439" s="48">
        <f t="shared" si="5"/>
        <v>0</v>
      </c>
      <c r="K439" s="49" t="str">
        <f>IFERROR(__xludf.DUMMYFUNCTION("IFERROR(IF(A439="""",""ENTER STOCK"",LET(stock,A439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39" s="48">
        <f t="shared" si="6"/>
        <v>0</v>
      </c>
      <c r="M439" s="48">
        <f t="shared" si="7"/>
        <v>1</v>
      </c>
      <c r="N439" s="50">
        <f t="shared" si="8"/>
        <v>1</v>
      </c>
      <c r="P439" s="46" t="str">
        <f t="shared" si="9"/>
        <v>REVERSE TRADE</v>
      </c>
      <c r="Q439" s="52"/>
      <c r="R439" s="53">
        <f t="shared" si="10"/>
        <v>15</v>
      </c>
      <c r="S439" s="53">
        <f>IFERROR(__xludf.DUMMYFUNCTION("IFERROR(ROUND(GOOGLEFINANCE(A439,""volume"")/GOOGLEFINANCE(A439,""volumeavg""),2),"""")"),0.63)</f>
        <v>0.63</v>
      </c>
      <c r="T439" s="53" t="str">
        <f t="shared" si="11"/>
        <v>LOW VOL</v>
      </c>
      <c r="U439" s="53">
        <f>IFERROR(__xludf.DUMMYFUNCTION("IFERROR(
  LET(
    sd, GOOGLEFINANCE(A439,""close"",TODAY()-100,TODAY()),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"""")"),0.7)</f>
        <v>0.7</v>
      </c>
      <c r="V439" s="53" t="str">
        <f t="shared" si="12"/>
        <v>SLOW</v>
      </c>
      <c r="W439" s="53">
        <f>IFERROR(__xludf.DUMMYFUNCTION("IFERROR(ROUND((B439/GOOGLEFINANCE(A439,""high52"")-1)*100,1),"""")"),-30.6)</f>
        <v>-30.6</v>
      </c>
      <c r="X439" s="53">
        <f>IFERROR(__xludf.DUMMYFUNCTION("IFERROR(ROUND((B439-GOOGLEFINANCE(A439,""low52""))/(GOOGLEFINANCE(A439,""high52"")-GOOGLEFINANCE(A439,""low52""))*100,1),"""")"),2.9)</f>
        <v>2.9</v>
      </c>
      <c r="Y439" s="53" t="str">
        <f t="shared" si="13"/>
        <v>MID</v>
      </c>
      <c r="Z439" s="53">
        <f>IFERROR(__xludf.DUMMYFUNCTION("IFERROR(ROUND(((B439 / INDEX(GOOGLEFINANCE(TRIM(A439), ""price"", TODAY()-34, TODAY()), 2, 2)) - (GOOGLEFINANCE(""NIFTY_50"") / INDEX(GOOGLEFINANCE(""NIFTY_50"", ""price"", TODAY()-34, TODAY()), 2, 2))) * 100, 2), ""Check History"")"),-6.58)</f>
        <v>-6.58</v>
      </c>
      <c r="AA439" s="53" t="str">
        <f t="shared" si="14"/>
        <v>WEAK RS</v>
      </c>
      <c r="AB439" s="53">
        <f>IFERROR(__xludf.DUMMYFUNCTION("IFERROR(LET(
  p, QUERY(GOOGLEFINANCE(TRIM(A439),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Loading"")"),41.1)</f>
        <v>41.1</v>
      </c>
      <c r="AC439" s="53" t="str">
        <f t="shared" si="15"/>
        <v>WEAK MOM</v>
      </c>
      <c r="AD439" s="53" t="str">
        <f>IFERROR(__xludf.DUMMYFUNCTION("IFERROR(IF(GOOGLEFINANCE(A439,""eps"")&gt;0,""EPS+"",""EPS-""),"""")"),"EPS+")</f>
        <v>EPS+</v>
      </c>
      <c r="AE439" s="53">
        <f t="shared" si="16"/>
        <v>1</v>
      </c>
      <c r="AF439" s="53">
        <f>IFERROR(__xludf.DUMMYFUNCTION("IFERROR(N439+IF(S439&gt;=1.2,1,0)+IF(U439&gt;=1,1,0)+IF(Z439&gt;0,1,0)+IF(AND(W439&gt;=-20,W439&lt;=0),1,0)+IF(IFERROR(GOOGLEFINANCE(A439,""eps""),0)&gt;0,1,0),"""")"),2.0)</f>
        <v>2</v>
      </c>
      <c r="AG439" s="53" t="str">
        <f t="shared" si="17"/>
        <v>REVERSE TRADE</v>
      </c>
    </row>
    <row r="440" ht="15.75" customHeight="1">
      <c r="A440" s="55" t="s">
        <v>607</v>
      </c>
      <c r="B440" s="44">
        <f>IFERROR(__xludf.DUMMYFUNCTION("GOOGLEFINANCE(A440,""price"")"),300.0)</f>
        <v>300</v>
      </c>
      <c r="C440" s="45">
        <f>IFERROR(__xludf.DUMMYFUNCTION("AVERAGE(QUERY(SORT(GOOGLEFINANCE(A440,""price"",TODAY()-150,TODAY()),1,0),""select Col2 limit 50""))"),382.4800000000001)</f>
        <v>382.48</v>
      </c>
      <c r="D440" s="45">
        <f>IFERROR(__xludf.DUMMYFUNCTION("AVERAGE(QUERY(SORT(GOOGLEFINANCE(A440,""price"",TODAY()-300,TODAY()),1,0),""select Col2 limit 100""))"),420.43250000000023)</f>
        <v>420.4325</v>
      </c>
      <c r="E440" s="45">
        <f>IFERROR(__xludf.DUMMYFUNCTION("AVERAGE(QUERY(SORT(GOOGLEFINANCE(A440,""price"",TODAY()-500,TODAY()),1,0),""select Col2 limit 200""))"),430.5196428571431)</f>
        <v>430.5196429</v>
      </c>
      <c r="F440" s="46" t="str">
        <f t="shared" si="1"/>
        <v>In Bear Run</v>
      </c>
      <c r="G440" s="47">
        <f t="shared" si="2"/>
        <v>-30.31676836</v>
      </c>
      <c r="H440" s="48" t="str">
        <f t="shared" si="3"/>
        <v>Inverted ✗</v>
      </c>
      <c r="I440" s="48">
        <f t="shared" si="4"/>
        <v>0</v>
      </c>
      <c r="J440" s="48">
        <f t="shared" si="5"/>
        <v>0</v>
      </c>
      <c r="K440" s="49" t="str">
        <f>IFERROR(__xludf.DUMMYFUNCTION("IFERROR(IF(A440="""",""ENTER STOCK"",LET(stock,A440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40" s="48">
        <f t="shared" si="6"/>
        <v>0</v>
      </c>
      <c r="M440" s="48">
        <f t="shared" si="7"/>
        <v>1</v>
      </c>
      <c r="N440" s="50">
        <f t="shared" si="8"/>
        <v>1</v>
      </c>
      <c r="P440" s="46" t="str">
        <f t="shared" si="9"/>
        <v>REVERSE TRADE</v>
      </c>
      <c r="Q440" s="52"/>
      <c r="R440" s="53">
        <f t="shared" si="10"/>
        <v>15</v>
      </c>
      <c r="S440" s="53">
        <f>IFERROR(__xludf.DUMMYFUNCTION("IFERROR(ROUND(GOOGLEFINANCE(A440,""volume"")/GOOGLEFINANCE(A440,""volumeavg""),2),"""")"),1.55)</f>
        <v>1.55</v>
      </c>
      <c r="T440" s="53" t="str">
        <f t="shared" si="11"/>
        <v>HIGH VOL</v>
      </c>
      <c r="U440" s="53">
        <f>IFERROR(__xludf.DUMMYFUNCTION("IFERROR(
  LET(
    sd, GOOGLEFINANCE(A440,""close"",TODAY()-100,TODAY()),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"""")"),1.03)</f>
        <v>1.03</v>
      </c>
      <c r="V440" s="53" t="str">
        <f t="shared" si="12"/>
        <v>MEDIUM</v>
      </c>
      <c r="W440" s="53">
        <f>IFERROR(__xludf.DUMMYFUNCTION("IFERROR(ROUND((B440/GOOGLEFINANCE(A440,""high52"")-1)*100,1),"""")"),-40.7)</f>
        <v>-40.7</v>
      </c>
      <c r="X440" s="53">
        <f>IFERROR(__xludf.DUMMYFUNCTION("IFERROR(ROUND((B440-GOOGLEFINANCE(A440,""low52""))/(GOOGLEFINANCE(A440,""high52"")-GOOGLEFINANCE(A440,""low52""))*100,1),"""")"),2.1)</f>
        <v>2.1</v>
      </c>
      <c r="Y440" s="53" t="str">
        <f t="shared" si="13"/>
        <v>DEEP RECOVERY</v>
      </c>
      <c r="Z440" s="53">
        <f>IFERROR(__xludf.DUMMYFUNCTION("IFERROR(ROUND(((B440 / INDEX(GOOGLEFINANCE(TRIM(A440), ""price"", TODAY()-34, TODAY()), 2, 2)) - (GOOGLEFINANCE(""NIFTY_50"") / INDEX(GOOGLEFINANCE(""NIFTY_50"", ""price"", TODAY()-34, TODAY()), 2, 2))) * 100, 2), ""Check History"")"),-10.06)</f>
        <v>-10.06</v>
      </c>
      <c r="AA440" s="53" t="str">
        <f t="shared" si="14"/>
        <v>WEAK RS</v>
      </c>
      <c r="AB440" s="53">
        <f>IFERROR(__xludf.DUMMYFUNCTION("IFERROR(LET(
  p, QUERY(GOOGLEFINANCE(TRIM(A440),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Loading"")"),48.0)</f>
        <v>48</v>
      </c>
      <c r="AC440" s="53" t="str">
        <f t="shared" si="15"/>
        <v>IDEAL ENTRY</v>
      </c>
      <c r="AD440" s="53" t="str">
        <f>IFERROR(__xludf.DUMMYFUNCTION("IFERROR(IF(GOOGLEFINANCE(A440,""eps"")&gt;0,""EPS+"",""EPS-""),"""")"),"EPS-")</f>
        <v>EPS-</v>
      </c>
      <c r="AE440" s="53">
        <f t="shared" si="16"/>
        <v>5</v>
      </c>
      <c r="AF440" s="53">
        <f>IFERROR(__xludf.DUMMYFUNCTION("IFERROR(N440+IF(S440&gt;=1.2,1,0)+IF(U440&gt;=1,1,0)+IF(Z440&gt;0,1,0)+IF(AND(W440&gt;=-20,W440&lt;=0),1,0)+IF(IFERROR(GOOGLEFINANCE(A440,""eps""),0)&gt;0,1,0),"""")"),3.0)</f>
        <v>3</v>
      </c>
      <c r="AG440" s="53" t="str">
        <f t="shared" si="17"/>
        <v>REVERSE TRADE</v>
      </c>
    </row>
    <row r="441" ht="15.75" customHeight="1">
      <c r="A441" s="55" t="s">
        <v>608</v>
      </c>
      <c r="B441" s="44">
        <f>IFERROR(__xludf.DUMMYFUNCTION("GOOGLEFINANCE(A441,""price"")"),770.1)</f>
        <v>770.1</v>
      </c>
      <c r="C441" s="45">
        <f>IFERROR(__xludf.DUMMYFUNCTION("AVERAGE(QUERY(SORT(GOOGLEFINANCE(A441,""price"",TODAY()-150,TODAY()),1,0),""select Col2 limit 50""))"),782.0160000000003)</f>
        <v>782.016</v>
      </c>
      <c r="D441" s="45">
        <f>IFERROR(__xludf.DUMMYFUNCTION("AVERAGE(QUERY(SORT(GOOGLEFINANCE(A441,""price"",TODAY()-300,TODAY()),1,0),""select Col2 limit 100""))"),780.2450000000001)</f>
        <v>780.245</v>
      </c>
      <c r="E441" s="45">
        <f>IFERROR(__xludf.DUMMYFUNCTION("AVERAGE(QUERY(SORT(GOOGLEFINANCE(A441,""price"",TODAY()-500,TODAY()),1,0),""select Col2 limit 200""))"),751.5157499999998)</f>
        <v>751.51575</v>
      </c>
      <c r="F441" s="46" t="str">
        <f t="shared" si="1"/>
        <v>Unconfirmed</v>
      </c>
      <c r="G441" s="47">
        <f t="shared" si="2"/>
        <v>2.472902265</v>
      </c>
      <c r="H441" s="48" t="str">
        <f t="shared" si="3"/>
        <v>Golden ✓</v>
      </c>
      <c r="I441" s="48">
        <f t="shared" si="4"/>
        <v>3</v>
      </c>
      <c r="J441" s="48">
        <f t="shared" si="5"/>
        <v>2</v>
      </c>
      <c r="K441" s="49" t="str">
        <f>IFERROR(__xludf.DUMMYFUNCTION("IFERROR(IF(A441="""",""ENTER STOCK"",LET(stock,A441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41" s="48">
        <f t="shared" si="6"/>
        <v>0</v>
      </c>
      <c r="M441" s="48">
        <f t="shared" si="7"/>
        <v>1</v>
      </c>
      <c r="N441" s="50">
        <f t="shared" si="8"/>
        <v>6</v>
      </c>
      <c r="P441" s="46" t="str">
        <f t="shared" si="9"/>
        <v>WAIT</v>
      </c>
      <c r="Q441" s="52"/>
      <c r="R441" s="53">
        <f t="shared" si="10"/>
        <v>15</v>
      </c>
      <c r="S441" s="53">
        <f>IFERROR(__xludf.DUMMYFUNCTION("IFERROR(ROUND(GOOGLEFINANCE(A441,""volume"")/GOOGLEFINANCE(A441,""volumeavg""),2),"""")"),1.01)</f>
        <v>1.01</v>
      </c>
      <c r="T441" s="53" t="str">
        <f t="shared" si="11"/>
        <v>LOW VOL</v>
      </c>
      <c r="U441" s="53">
        <f>IFERROR(__xludf.DUMMYFUNCTION("IFERROR(
  LET(
    sd, GOOGLEFINANCE(A441,""close"",TODAY()-100,TODAY()),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"""")"),2.02)</f>
        <v>2.02</v>
      </c>
      <c r="V441" s="53" t="str">
        <f t="shared" si="12"/>
        <v>FAST</v>
      </c>
      <c r="W441" s="53">
        <f>IFERROR(__xludf.DUMMYFUNCTION("IFERROR(ROUND((B441/GOOGLEFINANCE(A441,""high52"")-1)*100,1),"""")"),-15.4)</f>
        <v>-15.4</v>
      </c>
      <c r="X441" s="53">
        <f>IFERROR(__xludf.DUMMYFUNCTION("IFERROR(ROUND((B441-GOOGLEFINANCE(A441,""low52""))/(GOOGLEFINANCE(A441,""high52"")-GOOGLEFINANCE(A441,""low52""))*100,1),"""")"),74.1)</f>
        <v>74.1</v>
      </c>
      <c r="Y441" s="53" t="str">
        <f t="shared" si="13"/>
        <v>UPPER</v>
      </c>
      <c r="Z441" s="53">
        <f>IFERROR(__xludf.DUMMYFUNCTION("IFERROR(ROUND(((B441 / INDEX(GOOGLEFINANCE(TRIM(A441), ""price"", TODAY()-34, TODAY()), 2, 2)) - (GOOGLEFINANCE(""NIFTY_50"") / INDEX(GOOGLEFINANCE(""NIFTY_50"", ""price"", TODAY()-34, TODAY()), 2, 2))) * 100, 2), ""Check History"")"),5.29)</f>
        <v>5.29</v>
      </c>
      <c r="AA441" s="53" t="str">
        <f t="shared" si="14"/>
        <v>STRONG RS</v>
      </c>
      <c r="AB441" s="53">
        <f>IFERROR(__xludf.DUMMYFUNCTION("IFERROR(LET(
  p, QUERY(GOOGLEFINANCE(TRIM(A441),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Loading"")"),49.4)</f>
        <v>49.4</v>
      </c>
      <c r="AC441" s="53" t="str">
        <f t="shared" si="15"/>
        <v>IDEAL ENTRY</v>
      </c>
      <c r="AD441" s="53" t="str">
        <f>IFERROR(__xludf.DUMMYFUNCTION("IFERROR(IF(GOOGLEFINANCE(A441,""eps"")&gt;0,""EPS+"",""EPS-""),"""")"),"EPS+")</f>
        <v>EPS+</v>
      </c>
      <c r="AE441" s="53">
        <f t="shared" si="16"/>
        <v>7</v>
      </c>
      <c r="AF441" s="53">
        <f>IFERROR(__xludf.DUMMYFUNCTION("IFERROR(N441+IF(S441&gt;=1.2,1,0)+IF(U441&gt;=1,1,0)+IF(Z441&gt;0,1,0)+IF(AND(W441&gt;=-20,W441&lt;=0),1,0)+IF(IFERROR(GOOGLEFINANCE(A441,""eps""),0)&gt;0,1,0),"""")"),10.0)</f>
        <v>10</v>
      </c>
      <c r="AG441" s="53" t="str">
        <f t="shared" si="17"/>
        <v>WAIT</v>
      </c>
    </row>
    <row r="442" ht="15.75" customHeight="1">
      <c r="A442" s="55" t="s">
        <v>609</v>
      </c>
      <c r="B442" s="44">
        <f>IFERROR(__xludf.DUMMYFUNCTION("GOOGLEFINANCE(A442,""price"")"),1068.0)</f>
        <v>1068</v>
      </c>
      <c r="C442" s="45">
        <f>IFERROR(__xludf.DUMMYFUNCTION("AVERAGE(QUERY(SORT(GOOGLEFINANCE(A442,""price"",TODAY()-150,TODAY()),1,0),""select Col2 limit 50""))"),1319.8140000000003)</f>
        <v>1319.814</v>
      </c>
      <c r="D442" s="45">
        <f>IFERROR(__xludf.DUMMYFUNCTION("AVERAGE(QUERY(SORT(GOOGLEFINANCE(A442,""price"",TODAY()-300,TODAY()),1,0),""select Col2 limit 100""))"),1479.3580000000002)</f>
        <v>1479.358</v>
      </c>
      <c r="E442" s="45">
        <f>IFERROR(__xludf.DUMMYFUNCTION("AVERAGE(QUERY(SORT(GOOGLEFINANCE(A442,""price"",TODAY()-500,TODAY()),1,0),""select Col2 limit 200""))"),1466.0570000000007)</f>
        <v>1466.057</v>
      </c>
      <c r="F442" s="46" t="str">
        <f t="shared" si="1"/>
        <v>In Bear Run</v>
      </c>
      <c r="G442" s="47">
        <f t="shared" si="2"/>
        <v>-27.1515364</v>
      </c>
      <c r="H442" s="48" t="str">
        <f t="shared" si="3"/>
        <v>Inverted ✗</v>
      </c>
      <c r="I442" s="48">
        <f t="shared" si="4"/>
        <v>0</v>
      </c>
      <c r="J442" s="48">
        <f t="shared" si="5"/>
        <v>0</v>
      </c>
      <c r="K442" s="49" t="str">
        <f>IFERROR(__xludf.DUMMYFUNCTION("IFERROR(IF(A442="""",""ENTER STOCK"",LET(stock,A442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42" s="48">
        <f t="shared" si="6"/>
        <v>0</v>
      </c>
      <c r="M442" s="48">
        <f t="shared" si="7"/>
        <v>1</v>
      </c>
      <c r="N442" s="50">
        <f t="shared" si="8"/>
        <v>1</v>
      </c>
      <c r="P442" s="46" t="str">
        <f t="shared" si="9"/>
        <v>REVERSE TRADE</v>
      </c>
      <c r="Q442" s="52"/>
      <c r="R442" s="53">
        <f t="shared" si="10"/>
        <v>15</v>
      </c>
      <c r="S442" s="53">
        <f>IFERROR(__xludf.DUMMYFUNCTION("IFERROR(ROUND(GOOGLEFINANCE(A442,""volume"")/GOOGLEFINANCE(A442,""volumeavg""),2),"""")"),0.7)</f>
        <v>0.7</v>
      </c>
      <c r="T442" s="53" t="str">
        <f t="shared" si="11"/>
        <v>LOW VOL</v>
      </c>
      <c r="U442" s="53">
        <f>IFERROR(__xludf.DUMMYFUNCTION("IFERROR(
  LET(
    sd, GOOGLEFINANCE(A442,""close"",TODAY()-100,TODAY()),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"""")"),0.93)</f>
        <v>0.93</v>
      </c>
      <c r="V442" s="53" t="str">
        <f t="shared" si="12"/>
        <v>MEDIUM</v>
      </c>
      <c r="W442" s="53">
        <f>IFERROR(__xludf.DUMMYFUNCTION("IFERROR(ROUND((B442/GOOGLEFINANCE(A442,""high52"")-1)*100,1),"""")"),-39.5)</f>
        <v>-39.5</v>
      </c>
      <c r="X442" s="53">
        <f>IFERROR(__xludf.DUMMYFUNCTION("IFERROR(ROUND((B442-GOOGLEFINANCE(A442,""low52""))/(GOOGLEFINANCE(A442,""high52"")-GOOGLEFINANCE(A442,""low52""))*100,1),"""")"),9.4)</f>
        <v>9.4</v>
      </c>
      <c r="Y442" s="53" t="str">
        <f t="shared" si="13"/>
        <v>MID</v>
      </c>
      <c r="Z442" s="53">
        <f>IFERROR(__xludf.DUMMYFUNCTION("IFERROR(ROUND(((B442 / INDEX(GOOGLEFINANCE(TRIM(A442), ""price"", TODAY()-34, TODAY()), 2, 2)) - (GOOGLEFINANCE(""NIFTY_50"") / INDEX(GOOGLEFINANCE(""NIFTY_50"", ""price"", TODAY()-34, TODAY()), 2, 2))) * 100, 2), ""Check History"")"),-6.27)</f>
        <v>-6.27</v>
      </c>
      <c r="AA442" s="53" t="str">
        <f t="shared" si="14"/>
        <v>WEAK RS</v>
      </c>
      <c r="AB442" s="53">
        <f>IFERROR(__xludf.DUMMYFUNCTION("IFERROR(LET(
  p, QUERY(GOOGLEFINANCE(TRIM(A442),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Loading"")"),40.6)</f>
        <v>40.6</v>
      </c>
      <c r="AC442" s="53" t="str">
        <f t="shared" si="15"/>
        <v>WEAK MOM</v>
      </c>
      <c r="AD442" s="53" t="str">
        <f>IFERROR(__xludf.DUMMYFUNCTION("IFERROR(IF(GOOGLEFINANCE(A442,""eps"")&gt;0,""EPS+"",""EPS-""),"""")"),"EPS+")</f>
        <v>EPS+</v>
      </c>
      <c r="AE442" s="53">
        <f t="shared" si="16"/>
        <v>2</v>
      </c>
      <c r="AF442" s="53">
        <f>IFERROR(__xludf.DUMMYFUNCTION("IFERROR(N442+IF(S442&gt;=1.2,1,0)+IF(U442&gt;=1,1,0)+IF(Z442&gt;0,1,0)+IF(AND(W442&gt;=-20,W442&lt;=0),1,0)+IF(IFERROR(GOOGLEFINANCE(A442,""eps""),0)&gt;0,1,0),"""")"),2.0)</f>
        <v>2</v>
      </c>
      <c r="AG442" s="53" t="str">
        <f t="shared" si="17"/>
        <v>REVERSE TRADE</v>
      </c>
    </row>
    <row r="443" ht="15.75" customHeight="1">
      <c r="A443" s="55" t="s">
        <v>610</v>
      </c>
      <c r="B443" s="44">
        <f>IFERROR(__xludf.DUMMYFUNCTION("GOOGLEFINANCE(A443,""price"")"),585.85)</f>
        <v>585.85</v>
      </c>
      <c r="C443" s="45">
        <f>IFERROR(__xludf.DUMMYFUNCTION("AVERAGE(QUERY(SORT(GOOGLEFINANCE(A443,""price"",TODAY()-150,TODAY()),1,0),""select Col2 limit 50""))"),695.318)</f>
        <v>695.318</v>
      </c>
      <c r="D443" s="45">
        <f>IFERROR(__xludf.DUMMYFUNCTION("AVERAGE(QUERY(SORT(GOOGLEFINANCE(A443,""price"",TODAY()-300,TODAY()),1,0),""select Col2 limit 100""))"),742.6525000000005)</f>
        <v>742.6525</v>
      </c>
      <c r="E443" s="45">
        <f>IFERROR(__xludf.DUMMYFUNCTION("AVERAGE(QUERY(SORT(GOOGLEFINANCE(A443,""price"",TODAY()-500,TODAY()),1,0),""select Col2 limit 200""))"),839.9987500000004)</f>
        <v>839.99875</v>
      </c>
      <c r="F443" s="46" t="str">
        <f t="shared" si="1"/>
        <v>In Bear Run</v>
      </c>
      <c r="G443" s="47">
        <f t="shared" si="2"/>
        <v>-30.2558486</v>
      </c>
      <c r="H443" s="48" t="str">
        <f t="shared" si="3"/>
        <v>Inverted ✗</v>
      </c>
      <c r="I443" s="48">
        <f t="shared" si="4"/>
        <v>0</v>
      </c>
      <c r="J443" s="48">
        <f t="shared" si="5"/>
        <v>0</v>
      </c>
      <c r="K443" s="49" t="str">
        <f>IFERROR(__xludf.DUMMYFUNCTION("IFERROR(IF(A443="""",""ENTER STOCK"",LET(stock,A443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43" s="48">
        <f t="shared" si="6"/>
        <v>0</v>
      </c>
      <c r="M443" s="48">
        <f t="shared" si="7"/>
        <v>1</v>
      </c>
      <c r="N443" s="50">
        <f t="shared" si="8"/>
        <v>1</v>
      </c>
      <c r="P443" s="46" t="str">
        <f t="shared" si="9"/>
        <v>REVERSE TRADE</v>
      </c>
      <c r="Q443" s="52"/>
      <c r="R443" s="53">
        <f t="shared" si="10"/>
        <v>15</v>
      </c>
      <c r="S443" s="53">
        <f>IFERROR(__xludf.DUMMYFUNCTION("IFERROR(ROUND(GOOGLEFINANCE(A443,""volume"")/GOOGLEFINANCE(A443,""volumeavg""),2),"""")"),1.63)</f>
        <v>1.63</v>
      </c>
      <c r="T443" s="53" t="str">
        <f t="shared" si="11"/>
        <v>HIGH VOL</v>
      </c>
      <c r="U443" s="53">
        <f>IFERROR(__xludf.DUMMYFUNCTION("IFERROR(
  LET(
    sd, GOOGLEFINANCE(A443,""close"",TODAY()-100,TODAY()),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"""")"),0.71)</f>
        <v>0.71</v>
      </c>
      <c r="V443" s="53" t="str">
        <f t="shared" si="12"/>
        <v>SLOW</v>
      </c>
      <c r="W443" s="53">
        <f>IFERROR(__xludf.DUMMYFUNCTION("IFERROR(ROUND((B443/GOOGLEFINANCE(A443,""high52"")-1)*100,1),"""")"),-42.9)</f>
        <v>-42.9</v>
      </c>
      <c r="X443" s="53">
        <f>IFERROR(__xludf.DUMMYFUNCTION("IFERROR(ROUND((B443-GOOGLEFINANCE(A443,""low52""))/(GOOGLEFINANCE(A443,""high52"")-GOOGLEFINANCE(A443,""low52""))*100,1),"""")"),1.2)</f>
        <v>1.2</v>
      </c>
      <c r="Y443" s="53" t="str">
        <f t="shared" si="13"/>
        <v>DEEP RECOVERY</v>
      </c>
      <c r="Z443" s="53">
        <f>IFERROR(__xludf.DUMMYFUNCTION("IFERROR(ROUND(((B443 / INDEX(GOOGLEFINANCE(TRIM(A443), ""price"", TODAY()-34, TODAY()), 2, 2)) - (GOOGLEFINANCE(""NIFTY_50"") / INDEX(GOOGLEFINANCE(""NIFTY_50"", ""price"", TODAY()-34, TODAY()), 2, 2))) * 100, 2), ""Check History"")"),-5.32)</f>
        <v>-5.32</v>
      </c>
      <c r="AA443" s="53" t="str">
        <f t="shared" si="14"/>
        <v>WEAK RS</v>
      </c>
      <c r="AB443" s="53">
        <f>IFERROR(__xludf.DUMMYFUNCTION("IFERROR(LET(
  p, QUERY(GOOGLEFINANCE(TRIM(A443),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Loading"")"),62.8)</f>
        <v>62.8</v>
      </c>
      <c r="AC443" s="53" t="str">
        <f t="shared" si="15"/>
        <v>IDEAL ENTRY</v>
      </c>
      <c r="AD443" s="53" t="str">
        <f>IFERROR(__xludf.DUMMYFUNCTION("IFERROR(IF(GOOGLEFINANCE(A443,""eps"")&gt;0,""EPS+"",""EPS-""),"""")"),"EPS+")</f>
        <v>EPS+</v>
      </c>
      <c r="AE443" s="53">
        <f t="shared" si="16"/>
        <v>4</v>
      </c>
      <c r="AF443" s="53">
        <f>IFERROR(__xludf.DUMMYFUNCTION("IFERROR(N443+IF(S443&gt;=1.2,1,0)+IF(U443&gt;=1,1,0)+IF(Z443&gt;0,1,0)+IF(AND(W443&gt;=-20,W443&lt;=0),1,0)+IF(IFERROR(GOOGLEFINANCE(A443,""eps""),0)&gt;0,1,0),"""")"),3.0)</f>
        <v>3</v>
      </c>
      <c r="AG443" s="53" t="str">
        <f t="shared" si="17"/>
        <v>REVERSE TRADE</v>
      </c>
    </row>
    <row r="444" ht="15.75" customHeight="1">
      <c r="A444" s="55" t="s">
        <v>611</v>
      </c>
      <c r="B444" s="44">
        <f>IFERROR(__xludf.DUMMYFUNCTION("GOOGLEFINANCE(A444,""price"")"),31.4)</f>
        <v>31.4</v>
      </c>
      <c r="C444" s="45">
        <f>IFERROR(__xludf.DUMMYFUNCTION("AVERAGE(QUERY(SORT(GOOGLEFINANCE(A444,""price"",TODAY()-150,TODAY()),1,0),""select Col2 limit 50""))"),41.31420000000002)</f>
        <v>41.3142</v>
      </c>
      <c r="D444" s="45">
        <f>IFERROR(__xludf.DUMMYFUNCTION("AVERAGE(QUERY(SORT(GOOGLEFINANCE(A444,""price"",TODAY()-300,TODAY()),1,0),""select Col2 limit 100""))"),46.114799999999995)</f>
        <v>46.1148</v>
      </c>
      <c r="E444" s="45">
        <f>IFERROR(__xludf.DUMMYFUNCTION("AVERAGE(QUERY(SORT(GOOGLEFINANCE(A444,""price"",TODAY()-500,TODAY()),1,0),""select Col2 limit 200""))"),53.158249999999995)</f>
        <v>53.15825</v>
      </c>
      <c r="F444" s="46" t="str">
        <f t="shared" si="1"/>
        <v>In Bear Run</v>
      </c>
      <c r="G444" s="47">
        <f t="shared" si="2"/>
        <v>-40.93108784</v>
      </c>
      <c r="H444" s="48" t="str">
        <f t="shared" si="3"/>
        <v>Inverted ✗</v>
      </c>
      <c r="I444" s="48">
        <f t="shared" si="4"/>
        <v>0</v>
      </c>
      <c r="J444" s="48">
        <f t="shared" si="5"/>
        <v>0</v>
      </c>
      <c r="K444" s="49" t="str">
        <f>IFERROR(__xludf.DUMMYFUNCTION("IFERROR(IF(A444="""",""ENTER STOCK"",LET(stock,A444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44" s="48">
        <f t="shared" si="6"/>
        <v>0</v>
      </c>
      <c r="M444" s="48">
        <f t="shared" si="7"/>
        <v>1</v>
      </c>
      <c r="N444" s="50">
        <f t="shared" si="8"/>
        <v>1</v>
      </c>
      <c r="P444" s="46" t="str">
        <f t="shared" si="9"/>
        <v>REVERSE TRADE</v>
      </c>
      <c r="Q444" s="52"/>
      <c r="R444" s="53">
        <f t="shared" si="10"/>
        <v>15</v>
      </c>
      <c r="S444" s="53">
        <f>IFERROR(__xludf.DUMMYFUNCTION("IFERROR(ROUND(GOOGLEFINANCE(A444,""volume"")/GOOGLEFINANCE(A444,""volumeavg""),2),"""")"),2.25)</f>
        <v>2.25</v>
      </c>
      <c r="T444" s="53" t="str">
        <f t="shared" si="11"/>
        <v>HIGH VOL</v>
      </c>
      <c r="U444" s="53">
        <f>IFERROR(__xludf.DUMMYFUNCTION("IFERROR(
  LET(
    sd, GOOGLEFINANCE(A444,""close"",TODAY()-100,TODAY()),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"""")"),1.38)</f>
        <v>1.38</v>
      </c>
      <c r="V444" s="53" t="str">
        <f t="shared" si="12"/>
        <v>FAST</v>
      </c>
      <c r="W444" s="53">
        <f>IFERROR(__xludf.DUMMYFUNCTION("IFERROR(ROUND((B444/GOOGLEFINANCE(A444,""high52"")-1)*100,1),"""")"),-61.3)</f>
        <v>-61.3</v>
      </c>
      <c r="X444" s="53">
        <f>IFERROR(__xludf.DUMMYFUNCTION("IFERROR(ROUND((B444-GOOGLEFINANCE(A444,""low52""))/(GOOGLEFINANCE(A444,""high52"")-GOOGLEFINANCE(A444,""low52""))*100,1),"""")"),0.4)</f>
        <v>0.4</v>
      </c>
      <c r="Y444" s="53" t="str">
        <f t="shared" si="13"/>
        <v>DEEP RECOVERY</v>
      </c>
      <c r="Z444" s="53">
        <f>IFERROR(__xludf.DUMMYFUNCTION("IFERROR(ROUND(((B444 / INDEX(GOOGLEFINANCE(TRIM(A444), ""price"", TODAY()-34, TODAY()), 2, 2)) - (GOOGLEFINANCE(""NIFTY_50"") / INDEX(GOOGLEFINANCE(""NIFTY_50"", ""price"", TODAY()-34, TODAY()), 2, 2))) * 100, 2), ""Check History"")"),-13.65)</f>
        <v>-13.65</v>
      </c>
      <c r="AA444" s="53" t="str">
        <f t="shared" si="14"/>
        <v>WEAK RS</v>
      </c>
      <c r="AB444" s="53">
        <f>IFERROR(__xludf.DUMMYFUNCTION("IFERROR(LET(
  p, QUERY(GOOGLEFINANCE(TRIM(A444),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Loading"")"),40.5)</f>
        <v>40.5</v>
      </c>
      <c r="AC444" s="53" t="str">
        <f t="shared" si="15"/>
        <v>WEAK MOM</v>
      </c>
      <c r="AD444" s="53" t="str">
        <f>IFERROR(__xludf.DUMMYFUNCTION("IFERROR(IF(GOOGLEFINANCE(A444,""eps"")&gt;0,""EPS+"",""EPS-""),"""")"),"EPS-")</f>
        <v>EPS-</v>
      </c>
      <c r="AE444" s="53">
        <f t="shared" si="16"/>
        <v>6</v>
      </c>
      <c r="AF444" s="53">
        <f>IFERROR(__xludf.DUMMYFUNCTION("IFERROR(N444+IF(S444&gt;=1.2,1,0)+IF(U444&gt;=1,1,0)+IF(Z444&gt;0,1,0)+IF(AND(W444&gt;=-20,W444&lt;=0),1,0)+IF(IFERROR(GOOGLEFINANCE(A444,""eps""),0)&gt;0,1,0),"""")"),3.0)</f>
        <v>3</v>
      </c>
      <c r="AG444" s="53" t="str">
        <f t="shared" si="17"/>
        <v>REVERSE TRADE</v>
      </c>
    </row>
    <row r="445" ht="15.75" customHeight="1">
      <c r="A445" s="55" t="s">
        <v>612</v>
      </c>
      <c r="B445" s="44">
        <f>IFERROR(__xludf.DUMMYFUNCTION("GOOGLEFINANCE(A445,""price"")"),385.0)</f>
        <v>385</v>
      </c>
      <c r="C445" s="45">
        <f>IFERROR(__xludf.DUMMYFUNCTION("AVERAGE(QUERY(SORT(GOOGLEFINANCE(A445,""price"",TODAY()-150,TODAY()),1,0),""select Col2 limit 50""))"),378.26699999999977)</f>
        <v>378.267</v>
      </c>
      <c r="D445" s="45">
        <f>IFERROR(__xludf.DUMMYFUNCTION("AVERAGE(QUERY(SORT(GOOGLEFINANCE(A445,""price"",TODAY()-300,TODAY()),1,0),""select Col2 limit 100""))"),428.53749999999985)</f>
        <v>428.5375</v>
      </c>
      <c r="E445" s="45">
        <f>IFERROR(__xludf.DUMMYFUNCTION("AVERAGE(QUERY(SORT(GOOGLEFINANCE(A445,""price"",TODAY()-500,TODAY()),1,0),""select Col2 limit 200""))"),522.7467499999998)</f>
        <v>522.74675</v>
      </c>
      <c r="F445" s="46" t="str">
        <f t="shared" si="1"/>
        <v>Unconfirmed</v>
      </c>
      <c r="G445" s="47">
        <f t="shared" si="2"/>
        <v>-26.35057033</v>
      </c>
      <c r="H445" s="48" t="str">
        <f t="shared" si="3"/>
        <v>Inverted ✗</v>
      </c>
      <c r="I445" s="48">
        <f t="shared" si="4"/>
        <v>0</v>
      </c>
      <c r="J445" s="48">
        <f t="shared" si="5"/>
        <v>0</v>
      </c>
      <c r="K445" s="49" t="str">
        <f>IFERROR(__xludf.DUMMYFUNCTION("IFERROR(IF(A445="""",""ENTER STOCK"",LET(stock,A445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45" s="48">
        <f t="shared" si="6"/>
        <v>0</v>
      </c>
      <c r="M445" s="48">
        <f t="shared" si="7"/>
        <v>1</v>
      </c>
      <c r="N445" s="50">
        <f t="shared" si="8"/>
        <v>1</v>
      </c>
      <c r="P445" s="46" t="str">
        <f t="shared" si="9"/>
        <v>WAIT</v>
      </c>
      <c r="Q445" s="52"/>
      <c r="R445" s="53">
        <f t="shared" si="10"/>
        <v>15</v>
      </c>
      <c r="S445" s="53">
        <f>IFERROR(__xludf.DUMMYFUNCTION("IFERROR(ROUND(GOOGLEFINANCE(A445,""volume"")/GOOGLEFINANCE(A445,""volumeavg""),2),"""")"),0.16)</f>
        <v>0.16</v>
      </c>
      <c r="T445" s="53" t="str">
        <f t="shared" si="11"/>
        <v>LOW VOL</v>
      </c>
      <c r="U445" s="53">
        <f>IFERROR(__xludf.DUMMYFUNCTION("IFERROR(
  LET(
    sd, GOOGLEFINANCE(A445,""close"",TODAY()-100,TODAY()),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"""")"),1.56)</f>
        <v>1.56</v>
      </c>
      <c r="V445" s="53" t="str">
        <f t="shared" si="12"/>
        <v>FAST</v>
      </c>
      <c r="W445" s="53">
        <f>IFERROR(__xludf.DUMMYFUNCTION("IFERROR(ROUND((B445/GOOGLEFINANCE(A445,""high52"")-1)*100,1),"""")"),-57.9)</f>
        <v>-57.9</v>
      </c>
      <c r="X445" s="53">
        <f>IFERROR(__xludf.DUMMYFUNCTION("IFERROR(ROUND((B445-GOOGLEFINANCE(A445,""low52""))/(GOOGLEFINANCE(A445,""high52"")-GOOGLEFINANCE(A445,""low52""))*100,1),"""")"),14.7)</f>
        <v>14.7</v>
      </c>
      <c r="Y445" s="53" t="str">
        <f t="shared" si="13"/>
        <v>DEEP RECOVERY</v>
      </c>
      <c r="Z445" s="53">
        <f>IFERROR(__xludf.DUMMYFUNCTION("IFERROR(ROUND(((B445 / INDEX(GOOGLEFINANCE(TRIM(A445), ""price"", TODAY()-34, TODAY()), 2, 2)) - (GOOGLEFINANCE(""NIFTY_50"") / INDEX(GOOGLEFINANCE(""NIFTY_50"", ""price"", TODAY()-34, TODAY()), 2, 2))) * 100, 2), ""Check History"")"),33.62)</f>
        <v>33.62</v>
      </c>
      <c r="AA445" s="53" t="str">
        <f t="shared" si="14"/>
        <v>STRONG RS</v>
      </c>
      <c r="AB445" s="53">
        <f>IFERROR(__xludf.DUMMYFUNCTION("IFERROR(LET(
  p, QUERY(GOOGLEFINANCE(TRIM(A445),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Loading"")"),41.6)</f>
        <v>41.6</v>
      </c>
      <c r="AC445" s="53" t="str">
        <f t="shared" si="15"/>
        <v>WEAK MOM</v>
      </c>
      <c r="AD445" s="53" t="str">
        <f>IFERROR(__xludf.DUMMYFUNCTION("IFERROR(IF(GOOGLEFINANCE(A445,""eps"")&gt;0,""EPS+"",""EPS-""),"""")"),"EPS-")</f>
        <v>EPS-</v>
      </c>
      <c r="AE445" s="53">
        <f t="shared" si="16"/>
        <v>5</v>
      </c>
      <c r="AF445" s="53">
        <f>IFERROR(__xludf.DUMMYFUNCTION("IFERROR(N445+IF(S445&gt;=1.2,1,0)+IF(U445&gt;=1,1,0)+IF(Z445&gt;0,1,0)+IF(AND(W445&gt;=-20,W445&lt;=0),1,0)+IF(IFERROR(GOOGLEFINANCE(A445,""eps""),0)&gt;0,1,0),"""")"),3.0)</f>
        <v>3</v>
      </c>
      <c r="AG445" s="53" t="str">
        <f t="shared" si="17"/>
        <v>WAIT</v>
      </c>
    </row>
    <row r="446" ht="15.75" customHeight="1">
      <c r="A446" s="55" t="s">
        <v>613</v>
      </c>
      <c r="B446" s="44">
        <f>IFERROR(__xludf.DUMMYFUNCTION("GOOGLEFINANCE(A446,""price"")"),3250.0)</f>
        <v>3250</v>
      </c>
      <c r="C446" s="45">
        <f>IFERROR(__xludf.DUMMYFUNCTION("AVERAGE(QUERY(SORT(GOOGLEFINANCE(A446,""price"",TODAY()-150,TODAY()),1,0),""select Col2 limit 50""))"),3201.0640000000008)</f>
        <v>3201.064</v>
      </c>
      <c r="D446" s="45">
        <f>IFERROR(__xludf.DUMMYFUNCTION("AVERAGE(QUERY(SORT(GOOGLEFINANCE(A446,""price"",TODAY()-300,TODAY()),1,0),""select Col2 limit 100""))"),3131.1630000000023)</f>
        <v>3131.163</v>
      </c>
      <c r="E446" s="45">
        <f>IFERROR(__xludf.DUMMYFUNCTION("AVERAGE(QUERY(SORT(GOOGLEFINANCE(A446,""price"",TODAY()-500,TODAY()),1,0),""select Col2 limit 200""))"),3128.515500000004)</f>
        <v>3128.5155</v>
      </c>
      <c r="F446" s="46" t="str">
        <f t="shared" si="1"/>
        <v>In Bull Run</v>
      </c>
      <c r="G446" s="47">
        <f t="shared" si="2"/>
        <v>3.883135628</v>
      </c>
      <c r="H446" s="48" t="str">
        <f t="shared" si="3"/>
        <v>Golden ✓</v>
      </c>
      <c r="I446" s="48">
        <f t="shared" si="4"/>
        <v>3</v>
      </c>
      <c r="J446" s="48">
        <f t="shared" si="5"/>
        <v>4</v>
      </c>
      <c r="K446" s="49" t="str">
        <f>IFERROR(__xludf.DUMMYFUNCTION("IFERROR(IF(A446="""",""ENTER STOCK"",LET(stock,A446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46" s="48">
        <f t="shared" si="6"/>
        <v>0</v>
      </c>
      <c r="M446" s="48">
        <f t="shared" si="7"/>
        <v>1</v>
      </c>
      <c r="N446" s="50">
        <f t="shared" si="8"/>
        <v>8</v>
      </c>
      <c r="P446" s="46" t="str">
        <f t="shared" si="9"/>
        <v>PRIME BUY</v>
      </c>
      <c r="Q446" s="52"/>
      <c r="R446" s="53">
        <f t="shared" si="10"/>
        <v>15</v>
      </c>
      <c r="S446" s="53">
        <f>IFERROR(__xludf.DUMMYFUNCTION("IFERROR(ROUND(GOOGLEFINANCE(A446,""volume"")/GOOGLEFINANCE(A446,""volumeavg""),2),"""")"),0.61)</f>
        <v>0.61</v>
      </c>
      <c r="T446" s="53" t="str">
        <f t="shared" si="11"/>
        <v>LOW VOL</v>
      </c>
      <c r="U446" s="53">
        <f>IFERROR(__xludf.DUMMYFUNCTION("IFERROR(
  LET(
    sd, GOOGLEFINANCE(A446,""close"",TODAY()-100,TODAY()),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"""")"),1.04)</f>
        <v>1.04</v>
      </c>
      <c r="V446" s="53" t="str">
        <f t="shared" si="12"/>
        <v>MEDIUM</v>
      </c>
      <c r="W446" s="53">
        <f>IFERROR(__xludf.DUMMYFUNCTION("IFERROR(ROUND((B446/GOOGLEFINANCE(A446,""high52"")-1)*100,1),"""")"),-10.0)</f>
        <v>-10</v>
      </c>
      <c r="X446" s="53">
        <f>IFERROR(__xludf.DUMMYFUNCTION("IFERROR(ROUND((B446-GOOGLEFINANCE(A446,""low52""))/(GOOGLEFINANCE(A446,""high52"")-GOOGLEFINANCE(A446,""low52""))*100,1),"""")"),74.4)</f>
        <v>74.4</v>
      </c>
      <c r="Y446" s="53" t="str">
        <f t="shared" si="13"/>
        <v>UPPER</v>
      </c>
      <c r="Z446" s="53">
        <f>IFERROR(__xludf.DUMMYFUNCTION("IFERROR(ROUND(((B446 / INDEX(GOOGLEFINANCE(TRIM(A446), ""price"", TODAY()-34, TODAY()), 2, 2)) - (GOOGLEFINANCE(""NIFTY_50"") / INDEX(GOOGLEFINANCE(""NIFTY_50"", ""price"", TODAY()-34, TODAY()), 2, 2))) * 100, 2), ""Check History"")"),12.02)</f>
        <v>12.02</v>
      </c>
      <c r="AA446" s="53" t="str">
        <f t="shared" si="14"/>
        <v>STRONG RS</v>
      </c>
      <c r="AB446" s="53">
        <f>IFERROR(__xludf.DUMMYFUNCTION("IFERROR(LET(
  p, QUERY(GOOGLEFINANCE(TRIM(A446),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Loading"")"),39.9)</f>
        <v>39.9</v>
      </c>
      <c r="AC446" s="53" t="str">
        <f t="shared" si="15"/>
        <v>WEAK MOM</v>
      </c>
      <c r="AD446" s="53" t="str">
        <f>IFERROR(__xludf.DUMMYFUNCTION("IFERROR(IF(GOOGLEFINANCE(A446,""eps"")&gt;0,""EPS+"",""EPS-""),"""")"),"EPS+")</f>
        <v>EPS+</v>
      </c>
      <c r="AE446" s="53">
        <f t="shared" si="16"/>
        <v>5</v>
      </c>
      <c r="AF446" s="53">
        <f>IFERROR(__xludf.DUMMYFUNCTION("IFERROR(N446+IF(S446&gt;=1.2,1,0)+IF(U446&gt;=1,1,0)+IF(Z446&gt;0,1,0)+IF(AND(W446&gt;=-20,W446&lt;=0),1,0)+IF(IFERROR(GOOGLEFINANCE(A446,""eps""),0)&gt;0,1,0),"""")"),12.0)</f>
        <v>12</v>
      </c>
      <c r="AG446" s="53" t="str">
        <f t="shared" si="17"/>
        <v>PRIME BUY [10-20d]</v>
      </c>
    </row>
    <row r="447" ht="15.75" customHeight="1">
      <c r="A447" s="55" t="s">
        <v>614</v>
      </c>
      <c r="B447" s="44">
        <f>IFERROR(__xludf.DUMMYFUNCTION("GOOGLEFINANCE(A447,""price"")"),571.9)</f>
        <v>571.9</v>
      </c>
      <c r="C447" s="45">
        <f>IFERROR(__xludf.DUMMYFUNCTION("AVERAGE(QUERY(SORT(GOOGLEFINANCE(A447,""price"",TODAY()-150,TODAY()),1,0),""select Col2 limit 50""))"),721.7329999999998)</f>
        <v>721.733</v>
      </c>
      <c r="D447" s="45">
        <f>IFERROR(__xludf.DUMMYFUNCTION("AVERAGE(QUERY(SORT(GOOGLEFINANCE(A447,""price"",TODAY()-300,TODAY()),1,0),""select Col2 limit 100""))"),778.5039999999999)</f>
        <v>778.504</v>
      </c>
      <c r="E447" s="45">
        <f>IFERROR(__xludf.DUMMYFUNCTION("AVERAGE(QUERY(SORT(GOOGLEFINANCE(A447,""price"",TODAY()-500,TODAY()),1,0),""select Col2 limit 200""))"),834.6527500000002)</f>
        <v>834.65275</v>
      </c>
      <c r="F447" s="46" t="str">
        <f t="shared" si="1"/>
        <v>In Bear Run</v>
      </c>
      <c r="G447" s="47">
        <f t="shared" si="2"/>
        <v>-31.48048695</v>
      </c>
      <c r="H447" s="48" t="str">
        <f t="shared" si="3"/>
        <v>Inverted ✗</v>
      </c>
      <c r="I447" s="48">
        <f t="shared" si="4"/>
        <v>0</v>
      </c>
      <c r="J447" s="48">
        <f t="shared" si="5"/>
        <v>0</v>
      </c>
      <c r="K447" s="49" t="str">
        <f>IFERROR(__xludf.DUMMYFUNCTION("IFERROR(IF(A447="""",""ENTER STOCK"",LET(stock,A447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47" s="48">
        <f t="shared" si="6"/>
        <v>0</v>
      </c>
      <c r="M447" s="48">
        <f t="shared" si="7"/>
        <v>1</v>
      </c>
      <c r="N447" s="50">
        <f t="shared" si="8"/>
        <v>1</v>
      </c>
      <c r="P447" s="46" t="str">
        <f t="shared" si="9"/>
        <v>REVERSE TRADE</v>
      </c>
      <c r="Q447" s="52"/>
      <c r="R447" s="53">
        <f t="shared" si="10"/>
        <v>15</v>
      </c>
      <c r="S447" s="53">
        <f>IFERROR(__xludf.DUMMYFUNCTION("IFERROR(ROUND(GOOGLEFINANCE(A447,""volume"")/GOOGLEFINANCE(A447,""volumeavg""),2),"""")"),2.95)</f>
        <v>2.95</v>
      </c>
      <c r="T447" s="53" t="str">
        <f t="shared" si="11"/>
        <v>HIGH VOL</v>
      </c>
      <c r="U447" s="53">
        <f>IFERROR(__xludf.DUMMYFUNCTION("IFERROR(
  LET(
    sd, GOOGLEFINANCE(A447,""close"",TODAY()-100,TODAY()),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"""")"),1.34)</f>
        <v>1.34</v>
      </c>
      <c r="V447" s="53" t="str">
        <f t="shared" si="12"/>
        <v>FAST</v>
      </c>
      <c r="W447" s="53">
        <f>IFERROR(__xludf.DUMMYFUNCTION("IFERROR(ROUND((B447/GOOGLEFINANCE(A447,""high52"")-1)*100,1),"""")"),-41.3)</f>
        <v>-41.3</v>
      </c>
      <c r="X447" s="53">
        <f>IFERROR(__xludf.DUMMYFUNCTION("IFERROR(ROUND((B447-GOOGLEFINANCE(A447,""low52""))/(GOOGLEFINANCE(A447,""high52"")-GOOGLEFINANCE(A447,""low52""))*100,1),"""")"),0.8)</f>
        <v>0.8</v>
      </c>
      <c r="Y447" s="53" t="str">
        <f t="shared" si="13"/>
        <v>DEEP RECOVERY</v>
      </c>
      <c r="Z447" s="53">
        <f>IFERROR(__xludf.DUMMYFUNCTION("IFERROR(ROUND(((B447 / INDEX(GOOGLEFINANCE(TRIM(A447), ""price"", TODAY()-34, TODAY()), 2, 2)) - (GOOGLEFINANCE(""NIFTY_50"") / INDEX(GOOGLEFINANCE(""NIFTY_50"", ""price"", TODAY()-34, TODAY()), 2, 2))) * 100, 2), ""Check History"")"),-9.91)</f>
        <v>-9.91</v>
      </c>
      <c r="AA447" s="53" t="str">
        <f t="shared" si="14"/>
        <v>WEAK RS</v>
      </c>
      <c r="AB447" s="53">
        <f>IFERROR(__xludf.DUMMYFUNCTION("IFERROR(LET(
  p, QUERY(GOOGLEFINANCE(TRIM(A447),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Loading"")"),38.1)</f>
        <v>38.1</v>
      </c>
      <c r="AC447" s="53" t="str">
        <f t="shared" si="15"/>
        <v>WEAK MOM</v>
      </c>
      <c r="AD447" s="53" t="str">
        <f>IFERROR(__xludf.DUMMYFUNCTION("IFERROR(IF(GOOGLEFINANCE(A447,""eps"")&gt;0,""EPS+"",""EPS-""),"""")"),"")</f>
        <v/>
      </c>
      <c r="AE447" s="53">
        <f t="shared" si="16"/>
        <v>6</v>
      </c>
      <c r="AF447" s="53">
        <f>IFERROR(__xludf.DUMMYFUNCTION("IFERROR(N447+IF(S447&gt;=1.2,1,0)+IF(U447&gt;=1,1,0)+IF(Z447&gt;0,1,0)+IF(AND(W447&gt;=-20,W447&lt;=0),1,0)+IF(IFERROR(GOOGLEFINANCE(A447,""eps""),0)&gt;0,1,0),"""")"),3.0)</f>
        <v>3</v>
      </c>
      <c r="AG447" s="53" t="str">
        <f t="shared" si="17"/>
        <v>REVERSE TRADE</v>
      </c>
    </row>
    <row r="448" ht="15.75" customHeight="1">
      <c r="A448" s="55" t="s">
        <v>615</v>
      </c>
      <c r="B448" s="44">
        <f>IFERROR(__xludf.DUMMYFUNCTION("GOOGLEFINANCE(A448,""price"")"),22.56)</f>
        <v>22.56</v>
      </c>
      <c r="C448" s="45">
        <f>IFERROR(__xludf.DUMMYFUNCTION("AVERAGE(QUERY(SORT(GOOGLEFINANCE(A448,""price"",TODAY()-150,TODAY()),1,0),""select Col2 limit 50""))"),25.3258)</f>
        <v>25.3258</v>
      </c>
      <c r="D448" s="45">
        <f>IFERROR(__xludf.DUMMYFUNCTION("AVERAGE(QUERY(SORT(GOOGLEFINANCE(A448,""price"",TODAY()-300,TODAY()),1,0),""select Col2 limit 100""))"),26.4338)</f>
        <v>26.4338</v>
      </c>
      <c r="E448" s="45">
        <f>IFERROR(__xludf.DUMMYFUNCTION("AVERAGE(QUERY(SORT(GOOGLEFINANCE(A448,""price"",TODAY()-500,TODAY()),1,0),""select Col2 limit 200""))"),27.948949999999986)</f>
        <v>27.94895</v>
      </c>
      <c r="F448" s="46" t="str">
        <f t="shared" si="1"/>
        <v>In Bear Run</v>
      </c>
      <c r="G448" s="47">
        <f t="shared" si="2"/>
        <v>-19.28140413</v>
      </c>
      <c r="H448" s="48" t="str">
        <f t="shared" si="3"/>
        <v>Inverted ✗</v>
      </c>
      <c r="I448" s="48">
        <f t="shared" si="4"/>
        <v>0</v>
      </c>
      <c r="J448" s="48">
        <f t="shared" si="5"/>
        <v>0</v>
      </c>
      <c r="K448" s="49" t="str">
        <f>IFERROR(__xludf.DUMMYFUNCTION("IFERROR(IF(A448="""",""ENTER STOCK"",LET(stock,A448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48" s="48">
        <f t="shared" si="6"/>
        <v>0</v>
      </c>
      <c r="M448" s="48">
        <f t="shared" si="7"/>
        <v>1</v>
      </c>
      <c r="N448" s="50">
        <f t="shared" si="8"/>
        <v>1</v>
      </c>
      <c r="P448" s="46" t="str">
        <f t="shared" si="9"/>
        <v>REVERSE TRADE</v>
      </c>
      <c r="Q448" s="52"/>
      <c r="R448" s="53">
        <f t="shared" si="10"/>
        <v>15</v>
      </c>
      <c r="S448" s="53">
        <f>IFERROR(__xludf.DUMMYFUNCTION("IFERROR(ROUND(GOOGLEFINANCE(A448,""volume"")/GOOGLEFINANCE(A448,""volumeavg""),2),"""")"),0.91)</f>
        <v>0.91</v>
      </c>
      <c r="T448" s="53" t="str">
        <f t="shared" si="11"/>
        <v>LOW VOL</v>
      </c>
      <c r="U448" s="53">
        <f>IFERROR(__xludf.DUMMYFUNCTION("IFERROR(
  LET(
    sd, GOOGLEFINANCE(A448,""close"",TODAY()-100,TODAY()),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"""")"),1.27)</f>
        <v>1.27</v>
      </c>
      <c r="V448" s="53" t="str">
        <f t="shared" si="12"/>
        <v>FAST</v>
      </c>
      <c r="W448" s="53">
        <f>IFERROR(__xludf.DUMMYFUNCTION("IFERROR(ROUND((B448/GOOGLEFINANCE(A448,""high52"")-1)*100,1),"""")"),-34.8)</f>
        <v>-34.8</v>
      </c>
      <c r="X448" s="53">
        <f>IFERROR(__xludf.DUMMYFUNCTION("IFERROR(ROUND((B448-GOOGLEFINANCE(A448,""low52""))/(GOOGLEFINANCE(A448,""high52"")-GOOGLEFINANCE(A448,""low52""))*100,1),"""")"),4.6)</f>
        <v>4.6</v>
      </c>
      <c r="Y448" s="53" t="str">
        <f t="shared" si="13"/>
        <v>MID</v>
      </c>
      <c r="Z448" s="53">
        <f>IFERROR(__xludf.DUMMYFUNCTION("IFERROR(ROUND(((B448 / INDEX(GOOGLEFINANCE(TRIM(A448), ""price"", TODAY()-34, TODAY()), 2, 2)) - (GOOGLEFINANCE(""NIFTY_50"") / INDEX(GOOGLEFINANCE(""NIFTY_50"", ""price"", TODAY()-34, TODAY()), 2, 2))) * 100, 2), ""Check History"")"),-0.63)</f>
        <v>-0.63</v>
      </c>
      <c r="AA448" s="53" t="str">
        <f t="shared" si="14"/>
        <v>WEAK RS</v>
      </c>
      <c r="AB448" s="53">
        <f>IFERROR(__xludf.DUMMYFUNCTION("IFERROR(LET(
  p, QUERY(GOOGLEFINANCE(TRIM(A448),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Loading"")"),54.7)</f>
        <v>54.7</v>
      </c>
      <c r="AC448" s="53" t="str">
        <f t="shared" si="15"/>
        <v>IDEAL ENTRY</v>
      </c>
      <c r="AD448" s="53" t="str">
        <f>IFERROR(__xludf.DUMMYFUNCTION("IFERROR(IF(GOOGLEFINANCE(A448,""eps"")&gt;0,""EPS+"",""EPS-""),"""")"),"EPS+")</f>
        <v>EPS+</v>
      </c>
      <c r="AE448" s="53">
        <f t="shared" si="16"/>
        <v>3</v>
      </c>
      <c r="AF448" s="53">
        <f>IFERROR(__xludf.DUMMYFUNCTION("IFERROR(N448+IF(S448&gt;=1.2,1,0)+IF(U448&gt;=1,1,0)+IF(Z448&gt;0,1,0)+IF(AND(W448&gt;=-20,W448&lt;=0),1,0)+IF(IFERROR(GOOGLEFINANCE(A448,""eps""),0)&gt;0,1,0),"""")"),3.0)</f>
        <v>3</v>
      </c>
      <c r="AG448" s="53" t="str">
        <f t="shared" si="17"/>
        <v>REVERSE TRADE</v>
      </c>
    </row>
    <row r="449" ht="15.75" customHeight="1">
      <c r="A449" s="55" t="s">
        <v>616</v>
      </c>
      <c r="B449" s="44">
        <f>IFERROR(__xludf.DUMMYFUNCTION("GOOGLEFINANCE(A449,""price"")"),376.0)</f>
        <v>376</v>
      </c>
      <c r="C449" s="45">
        <f>IFERROR(__xludf.DUMMYFUNCTION("AVERAGE(QUERY(SORT(GOOGLEFINANCE(A449,""price"",TODAY()-150,TODAY()),1,0),""select Col2 limit 50""))"),369.37200000000007)</f>
        <v>369.372</v>
      </c>
      <c r="D449" s="45">
        <f>IFERROR(__xludf.DUMMYFUNCTION("AVERAGE(QUERY(SORT(GOOGLEFINANCE(A449,""price"",TODAY()-300,TODAY()),1,0),""select Col2 limit 100""))"),367.5559999999999)</f>
        <v>367.556</v>
      </c>
      <c r="E449" s="45">
        <f>IFERROR(__xludf.DUMMYFUNCTION("AVERAGE(QUERY(SORT(GOOGLEFINANCE(A449,""price"",TODAY()-500,TODAY()),1,0),""select Col2 limit 200""))"),364.156)</f>
        <v>364.156</v>
      </c>
      <c r="F449" s="46" t="str">
        <f t="shared" si="1"/>
        <v>In Bull Run</v>
      </c>
      <c r="G449" s="47">
        <f t="shared" si="2"/>
        <v>3.252452246</v>
      </c>
      <c r="H449" s="48" t="str">
        <f t="shared" si="3"/>
        <v>Golden ✓</v>
      </c>
      <c r="I449" s="48">
        <f t="shared" si="4"/>
        <v>3</v>
      </c>
      <c r="J449" s="48">
        <f t="shared" si="5"/>
        <v>4</v>
      </c>
      <c r="K449" s="49" t="str">
        <f>IFERROR(__xludf.DUMMYFUNCTION("IFERROR(IF(A449="""",""ENTER STOCK"",LET(stock,A449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49" s="48">
        <f t="shared" si="6"/>
        <v>0</v>
      </c>
      <c r="M449" s="48">
        <f t="shared" si="7"/>
        <v>1</v>
      </c>
      <c r="N449" s="50">
        <f t="shared" si="8"/>
        <v>8</v>
      </c>
      <c r="P449" s="46" t="str">
        <f t="shared" si="9"/>
        <v>PRIME BUY</v>
      </c>
      <c r="Q449" s="52"/>
      <c r="R449" s="53">
        <f t="shared" si="10"/>
        <v>15</v>
      </c>
      <c r="S449" s="53">
        <f>IFERROR(__xludf.DUMMYFUNCTION("IFERROR(ROUND(GOOGLEFINANCE(A449,""volume"")/GOOGLEFINANCE(A449,""volumeavg""),2),"""")"),0.98)</f>
        <v>0.98</v>
      </c>
      <c r="T449" s="53" t="str">
        <f t="shared" si="11"/>
        <v>LOW VOL</v>
      </c>
      <c r="U449" s="53">
        <f>IFERROR(__xludf.DUMMYFUNCTION("IFERROR(
  LET(
    sd, GOOGLEFINANCE(A449,""close"",TODAY()-100,TODAY()),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"""")"),1.26)</f>
        <v>1.26</v>
      </c>
      <c r="V449" s="53" t="str">
        <f t="shared" si="12"/>
        <v>FAST</v>
      </c>
      <c r="W449" s="53">
        <f>IFERROR(__xludf.DUMMYFUNCTION("IFERROR(ROUND((B449/GOOGLEFINANCE(A449,""high52"")-1)*100,1),"""")"),-19.7)</f>
        <v>-19.7</v>
      </c>
      <c r="X449" s="53">
        <f>IFERROR(__xludf.DUMMYFUNCTION("IFERROR(ROUND((B449-GOOGLEFINANCE(A449,""low52""))/(GOOGLEFINANCE(A449,""high52"")-GOOGLEFINANCE(A449,""low52""))*100,1),"""")"),40.6)</f>
        <v>40.6</v>
      </c>
      <c r="Y449" s="53" t="str">
        <f t="shared" si="13"/>
        <v>UPPER</v>
      </c>
      <c r="Z449" s="53">
        <f>IFERROR(__xludf.DUMMYFUNCTION("IFERROR(ROUND(((B449 / INDEX(GOOGLEFINANCE(TRIM(A449), ""price"", TODAY()-34, TODAY()), 2, 2)) - (GOOGLEFINANCE(""NIFTY_50"") / INDEX(GOOGLEFINANCE(""NIFTY_50"", ""price"", TODAY()-34, TODAY()), 2, 2))) * 100, 2), ""Check History"")"),11.11)</f>
        <v>11.11</v>
      </c>
      <c r="AA449" s="53" t="str">
        <f t="shared" si="14"/>
        <v>STRONG RS</v>
      </c>
      <c r="AB449" s="53">
        <f>IFERROR(__xludf.DUMMYFUNCTION("IFERROR(LET(
  p, QUERY(GOOGLEFINANCE(TRIM(A449),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Loading"")"),72.6)</f>
        <v>72.6</v>
      </c>
      <c r="AC449" s="53" t="str">
        <f t="shared" si="15"/>
        <v>OVERBOUGHT</v>
      </c>
      <c r="AD449" s="53" t="str">
        <f>IFERROR(__xludf.DUMMYFUNCTION("IFERROR(IF(GOOGLEFINANCE(A449,""eps"")&gt;0,""EPS+"",""EPS-""),"""")"),"EPS+")</f>
        <v>EPS+</v>
      </c>
      <c r="AE449" s="53">
        <f t="shared" si="16"/>
        <v>5</v>
      </c>
      <c r="AF449" s="53">
        <f>IFERROR(__xludf.DUMMYFUNCTION("IFERROR(N449+IF(S449&gt;=1.2,1,0)+IF(U449&gt;=1,1,0)+IF(Z449&gt;0,1,0)+IF(AND(W449&gt;=-20,W449&lt;=0),1,0)+IF(IFERROR(GOOGLEFINANCE(A449,""eps""),0)&gt;0,1,0),"""")"),12.0)</f>
        <v>12</v>
      </c>
      <c r="AG449" s="53" t="str">
        <f t="shared" si="17"/>
        <v>PRIME BUY [10-20d]</v>
      </c>
    </row>
    <row r="450" ht="15.75" customHeight="1">
      <c r="A450" s="55" t="s">
        <v>617</v>
      </c>
      <c r="B450" s="44">
        <f>IFERROR(__xludf.DUMMYFUNCTION("GOOGLEFINANCE(A450,""price"")"),440.1)</f>
        <v>440.1</v>
      </c>
      <c r="C450" s="45">
        <f>IFERROR(__xludf.DUMMYFUNCTION("AVERAGE(QUERY(SORT(GOOGLEFINANCE(A450,""price"",TODAY()-150,TODAY()),1,0),""select Col2 limit 50""))"),480.05600000000015)</f>
        <v>480.056</v>
      </c>
      <c r="D450" s="45">
        <f>IFERROR(__xludf.DUMMYFUNCTION("AVERAGE(QUERY(SORT(GOOGLEFINANCE(A450,""price"",TODAY()-300,TODAY()),1,0),""select Col2 limit 100""))"),507.5160000000002)</f>
        <v>507.516</v>
      </c>
      <c r="E450" s="45">
        <f>IFERROR(__xludf.DUMMYFUNCTION("AVERAGE(QUERY(SORT(GOOGLEFINANCE(A450,""price"",TODAY()-500,TODAY()),1,0),""select Col2 limit 200""))"),535.8035000000003)</f>
        <v>535.8035</v>
      </c>
      <c r="F450" s="46" t="str">
        <f t="shared" si="1"/>
        <v>In Bear Run</v>
      </c>
      <c r="G450" s="47">
        <f t="shared" si="2"/>
        <v>-17.86167877</v>
      </c>
      <c r="H450" s="48" t="str">
        <f t="shared" si="3"/>
        <v>Inverted ✗</v>
      </c>
      <c r="I450" s="48">
        <f t="shared" si="4"/>
        <v>0</v>
      </c>
      <c r="J450" s="48">
        <f t="shared" si="5"/>
        <v>0</v>
      </c>
      <c r="K450" s="49" t="str">
        <f>IFERROR(__xludf.DUMMYFUNCTION("IFERROR(IF(A450="""",""ENTER STOCK"",LET(stock,A450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50" s="48">
        <f t="shared" si="6"/>
        <v>0</v>
      </c>
      <c r="M450" s="48">
        <f t="shared" si="7"/>
        <v>1</v>
      </c>
      <c r="N450" s="50">
        <f t="shared" si="8"/>
        <v>1</v>
      </c>
      <c r="P450" s="46" t="str">
        <f t="shared" si="9"/>
        <v>REVERSE TRADE</v>
      </c>
      <c r="Q450" s="52"/>
      <c r="R450" s="53">
        <f t="shared" si="10"/>
        <v>15</v>
      </c>
      <c r="S450" s="53">
        <f>IFERROR(__xludf.DUMMYFUNCTION("IFERROR(ROUND(GOOGLEFINANCE(A450,""volume"")/GOOGLEFINANCE(A450,""volumeavg""),2),"""")"),2.29)</f>
        <v>2.29</v>
      </c>
      <c r="T450" s="53" t="str">
        <f t="shared" si="11"/>
        <v>HIGH VOL</v>
      </c>
      <c r="U450" s="53">
        <f>IFERROR(__xludf.DUMMYFUNCTION("IFERROR(
  LET(
    sd, GOOGLEFINANCE(A450,""close"",TODAY()-100,TODAY()),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"""")"),1.11)</f>
        <v>1.11</v>
      </c>
      <c r="V450" s="53" t="str">
        <f t="shared" si="12"/>
        <v>MEDIUM</v>
      </c>
      <c r="W450" s="53">
        <f>IFERROR(__xludf.DUMMYFUNCTION("IFERROR(ROUND((B450/GOOGLEFINANCE(A450,""high52"")-1)*100,1),"""")"),-34.8)</f>
        <v>-34.8</v>
      </c>
      <c r="X450" s="53">
        <f>IFERROR(__xludf.DUMMYFUNCTION("IFERROR(ROUND((B450-GOOGLEFINANCE(A450,""low52""))/(GOOGLEFINANCE(A450,""high52"")-GOOGLEFINANCE(A450,""low52""))*100,1),"""")"),4.8)</f>
        <v>4.8</v>
      </c>
      <c r="Y450" s="53" t="str">
        <f t="shared" si="13"/>
        <v>MID</v>
      </c>
      <c r="Z450" s="53">
        <f>IFERROR(__xludf.DUMMYFUNCTION("IFERROR(ROUND(((B450 / INDEX(GOOGLEFINANCE(TRIM(A450), ""price"", TODAY()-34, TODAY()), 2, 2)) - (GOOGLEFINANCE(""NIFTY_50"") / INDEX(GOOGLEFINANCE(""NIFTY_50"", ""price"", TODAY()-34, TODAY()), 2, 2))) * 100, 2), ""Check History"")"),2.97)</f>
        <v>2.97</v>
      </c>
      <c r="AA450" s="53" t="str">
        <f t="shared" si="14"/>
        <v>MILD RS</v>
      </c>
      <c r="AB450" s="53">
        <f>IFERROR(__xludf.DUMMYFUNCTION("IFERROR(LET(
  p, QUERY(GOOGLEFINANCE(TRIM(A450),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Loading"")"),36.6)</f>
        <v>36.6</v>
      </c>
      <c r="AC450" s="53" t="str">
        <f t="shared" si="15"/>
        <v>WEAK MOM</v>
      </c>
      <c r="AD450" s="53" t="str">
        <f>IFERROR(__xludf.DUMMYFUNCTION("IFERROR(IF(GOOGLEFINANCE(A450,""eps"")&gt;0,""EPS+"",""EPS-""),"""")"),"EPS+")</f>
        <v>EPS+</v>
      </c>
      <c r="AE450" s="53">
        <f t="shared" si="16"/>
        <v>6</v>
      </c>
      <c r="AF450" s="53">
        <f>IFERROR(__xludf.DUMMYFUNCTION("IFERROR(N450+IF(S450&gt;=1.2,1,0)+IF(U450&gt;=1,1,0)+IF(Z450&gt;0,1,0)+IF(AND(W450&gt;=-20,W450&lt;=0),1,0)+IF(IFERROR(GOOGLEFINANCE(A450,""eps""),0)&gt;0,1,0),"""")"),5.0)</f>
        <v>5</v>
      </c>
      <c r="AG450" s="53" t="str">
        <f t="shared" si="17"/>
        <v>REVERSE TRADE</v>
      </c>
    </row>
    <row r="451" ht="15.75" customHeight="1">
      <c r="A451" s="55" t="s">
        <v>618</v>
      </c>
      <c r="B451" s="44">
        <f>IFERROR(__xludf.DUMMYFUNCTION("GOOGLEFINANCE(A451,""price"")"),940.0)</f>
        <v>940</v>
      </c>
      <c r="C451" s="45">
        <f>IFERROR(__xludf.DUMMYFUNCTION("AVERAGE(QUERY(SORT(GOOGLEFINANCE(A451,""price"",TODAY()-150,TODAY()),1,0),""select Col2 limit 50""))"),1012.3469999999996)</f>
        <v>1012.347</v>
      </c>
      <c r="D451" s="45">
        <f>IFERROR(__xludf.DUMMYFUNCTION("AVERAGE(QUERY(SORT(GOOGLEFINANCE(A451,""price"",TODAY()-300,TODAY()),1,0),""select Col2 limit 100""))"),1076.7584999999997)</f>
        <v>1076.7585</v>
      </c>
      <c r="E451" s="45">
        <f>IFERROR(__xludf.DUMMYFUNCTION("AVERAGE(QUERY(SORT(GOOGLEFINANCE(A451,""price"",TODAY()-500,TODAY()),1,0),""select Col2 limit 200""))"),1204.94375)</f>
        <v>1204.94375</v>
      </c>
      <c r="F451" s="46" t="str">
        <f t="shared" si="1"/>
        <v>In Bear Run</v>
      </c>
      <c r="G451" s="47">
        <f t="shared" si="2"/>
        <v>-21.98805961</v>
      </c>
      <c r="H451" s="48" t="str">
        <f t="shared" si="3"/>
        <v>Inverted ✗</v>
      </c>
      <c r="I451" s="48">
        <f t="shared" si="4"/>
        <v>0</v>
      </c>
      <c r="J451" s="48">
        <f t="shared" si="5"/>
        <v>0</v>
      </c>
      <c r="K451" s="49" t="str">
        <f>IFERROR(__xludf.DUMMYFUNCTION("IFERROR(IF(A451="""",""ENTER STOCK"",LET(stock,A451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51" s="48">
        <f t="shared" si="6"/>
        <v>0</v>
      </c>
      <c r="M451" s="48">
        <f t="shared" si="7"/>
        <v>1</v>
      </c>
      <c r="N451" s="50">
        <f t="shared" si="8"/>
        <v>1</v>
      </c>
      <c r="P451" s="46" t="str">
        <f t="shared" si="9"/>
        <v>REVERSE TRADE</v>
      </c>
      <c r="Q451" s="52"/>
      <c r="R451" s="53">
        <f t="shared" si="10"/>
        <v>15</v>
      </c>
      <c r="S451" s="53">
        <f>IFERROR(__xludf.DUMMYFUNCTION("IFERROR(ROUND(GOOGLEFINANCE(A451,""volume"")/GOOGLEFINANCE(A451,""volumeavg""),2),"""")"),2.56)</f>
        <v>2.56</v>
      </c>
      <c r="T451" s="53" t="str">
        <f t="shared" si="11"/>
        <v>HIGH VOL</v>
      </c>
      <c r="U451" s="53">
        <f>IFERROR(__xludf.DUMMYFUNCTION("IFERROR(
  LET(
    sd, GOOGLEFINANCE(A451,""close"",TODAY()-100,TODAY()),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"""")"),1.27)</f>
        <v>1.27</v>
      </c>
      <c r="V451" s="53" t="str">
        <f t="shared" si="12"/>
        <v>FAST</v>
      </c>
      <c r="W451" s="53">
        <f>IFERROR(__xludf.DUMMYFUNCTION("IFERROR(ROUND((B451/GOOGLEFINANCE(A451,""high52"")-1)*100,1),"""")"),-37.1)</f>
        <v>-37.1</v>
      </c>
      <c r="X451" s="53">
        <f>IFERROR(__xludf.DUMMYFUNCTION("IFERROR(ROUND((B451-GOOGLEFINANCE(A451,""low52""))/(GOOGLEFINANCE(A451,""high52"")-GOOGLEFINANCE(A451,""low52""))*100,1),"""")"),7.3)</f>
        <v>7.3</v>
      </c>
      <c r="Y451" s="53" t="str">
        <f t="shared" si="13"/>
        <v>MID</v>
      </c>
      <c r="Z451" s="53">
        <f>IFERROR(__xludf.DUMMYFUNCTION("IFERROR(ROUND(((B451 / INDEX(GOOGLEFINANCE(TRIM(A451), ""price"", TODAY()-34, TODAY()), 2, 2)) - (GOOGLEFINANCE(""NIFTY_50"") / INDEX(GOOGLEFINANCE(""NIFTY_50"", ""price"", TODAY()-34, TODAY()), 2, 2))) * 100, 2), ""Check History"")"),1.54)</f>
        <v>1.54</v>
      </c>
      <c r="AA451" s="53" t="str">
        <f t="shared" si="14"/>
        <v>MILD RS</v>
      </c>
      <c r="AB451" s="53">
        <f>IFERROR(__xludf.DUMMYFUNCTION("IFERROR(LET(
  p, QUERY(GOOGLEFINANCE(TRIM(A451),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Loading"")"),47.5)</f>
        <v>47.5</v>
      </c>
      <c r="AC451" s="53" t="str">
        <f t="shared" si="15"/>
        <v>IDEAL ENTRY</v>
      </c>
      <c r="AD451" s="53" t="str">
        <f>IFERROR(__xludf.DUMMYFUNCTION("IFERROR(IF(GOOGLEFINANCE(A451,""eps"")&gt;0,""EPS+"",""EPS-""),"""")"),"EPS+")</f>
        <v>EPS+</v>
      </c>
      <c r="AE451" s="53">
        <f t="shared" si="16"/>
        <v>7</v>
      </c>
      <c r="AF451" s="53">
        <f>IFERROR(__xludf.DUMMYFUNCTION("IFERROR(N451+IF(S451&gt;=1.2,1,0)+IF(U451&gt;=1,1,0)+IF(Z451&gt;0,1,0)+IF(AND(W451&gt;=-20,W451&lt;=0),1,0)+IF(IFERROR(GOOGLEFINANCE(A451,""eps""),0)&gt;0,1,0),"""")"),5.0)</f>
        <v>5</v>
      </c>
      <c r="AG451" s="53" t="str">
        <f t="shared" si="17"/>
        <v>REVERSE TRADE</v>
      </c>
    </row>
    <row r="452" ht="15.75" customHeight="1">
      <c r="A452" s="55" t="s">
        <v>619</v>
      </c>
      <c r="B452" s="44">
        <f>IFERROR(__xludf.DUMMYFUNCTION("GOOGLEFINANCE(A452,""price"")"),314.0)</f>
        <v>314</v>
      </c>
      <c r="C452" s="45">
        <f>IFERROR(__xludf.DUMMYFUNCTION("AVERAGE(QUERY(SORT(GOOGLEFINANCE(A452,""price"",TODAY()-150,TODAY()),1,0),""select Col2 limit 50""))"),322.12500000000006)</f>
        <v>322.125</v>
      </c>
      <c r="D452" s="45">
        <f>IFERROR(__xludf.DUMMYFUNCTION("AVERAGE(QUERY(SORT(GOOGLEFINANCE(A452,""price"",TODAY()-300,TODAY()),1,0),""select Col2 limit 100""))"),330.53450000000004)</f>
        <v>330.5345</v>
      </c>
      <c r="E452" s="45">
        <f>IFERROR(__xludf.DUMMYFUNCTION("AVERAGE(QUERY(SORT(GOOGLEFINANCE(A452,""price"",TODAY()-500,TODAY()),1,0),""select Col2 limit 200""))"),352.49999999999994)</f>
        <v>352.5</v>
      </c>
      <c r="F452" s="46" t="str">
        <f t="shared" si="1"/>
        <v>In Bear Run</v>
      </c>
      <c r="G452" s="47">
        <f t="shared" si="2"/>
        <v>-10.92198582</v>
      </c>
      <c r="H452" s="48" t="str">
        <f t="shared" si="3"/>
        <v>Inverted ✗</v>
      </c>
      <c r="I452" s="48">
        <f t="shared" si="4"/>
        <v>0</v>
      </c>
      <c r="J452" s="48">
        <f t="shared" si="5"/>
        <v>0</v>
      </c>
      <c r="K452" s="49" t="str">
        <f>IFERROR(__xludf.DUMMYFUNCTION("IFERROR(IF(A452="""",""ENTER STOCK"",LET(stock,A452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52" s="48">
        <f t="shared" si="6"/>
        <v>0</v>
      </c>
      <c r="M452" s="48">
        <f t="shared" si="7"/>
        <v>1</v>
      </c>
      <c r="N452" s="50">
        <f t="shared" si="8"/>
        <v>1</v>
      </c>
      <c r="P452" s="46" t="str">
        <f t="shared" si="9"/>
        <v>REVERSE TRADE</v>
      </c>
      <c r="Q452" s="52"/>
      <c r="R452" s="53">
        <f t="shared" si="10"/>
        <v>15</v>
      </c>
      <c r="S452" s="53">
        <f>IFERROR(__xludf.DUMMYFUNCTION("IFERROR(ROUND(GOOGLEFINANCE(A452,""volume"")/GOOGLEFINANCE(A452,""volumeavg""),2),"""")"),1.2)</f>
        <v>1.2</v>
      </c>
      <c r="T452" s="53" t="str">
        <f t="shared" si="11"/>
        <v>OK VOL</v>
      </c>
      <c r="U452" s="53">
        <f>IFERROR(__xludf.DUMMYFUNCTION("IFERROR(
  LET(
    sd, GOOGLEFINANCE(A452,""close"",TODAY()-100,TODAY()),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"""")"),0.86)</f>
        <v>0.86</v>
      </c>
      <c r="V452" s="53" t="str">
        <f t="shared" si="12"/>
        <v>SLOW</v>
      </c>
      <c r="W452" s="53">
        <f>IFERROR(__xludf.DUMMYFUNCTION("IFERROR(ROUND((B452/GOOGLEFINANCE(A452,""high52"")-1)*100,1),"""")"),-23.4)</f>
        <v>-23.4</v>
      </c>
      <c r="X452" s="53">
        <f>IFERROR(__xludf.DUMMYFUNCTION("IFERROR(ROUND((B452-GOOGLEFINANCE(A452,""low52""))/(GOOGLEFINANCE(A452,""high52"")-GOOGLEFINANCE(A452,""low52""))*100,1),"""")"),20.0)</f>
        <v>20</v>
      </c>
      <c r="Y452" s="53" t="str">
        <f t="shared" si="13"/>
        <v>MID</v>
      </c>
      <c r="Z452" s="53">
        <f>IFERROR(__xludf.DUMMYFUNCTION("IFERROR(ROUND(((B452 / INDEX(GOOGLEFINANCE(TRIM(A452), ""price"", TODAY()-34, TODAY()), 2, 2)) - (GOOGLEFINANCE(""NIFTY_50"") / INDEX(GOOGLEFINANCE(""NIFTY_50"", ""price"", TODAY()-34, TODAY()), 2, 2))) * 100, 2), ""Check History"")"),12.68)</f>
        <v>12.68</v>
      </c>
      <c r="AA452" s="53" t="str">
        <f t="shared" si="14"/>
        <v>STRONG RS</v>
      </c>
      <c r="AB452" s="53">
        <f>IFERROR(__xludf.DUMMYFUNCTION("IFERROR(LET(
  p, QUERY(GOOGLEFINANCE(TRIM(A452),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Loading"")"),41.6)</f>
        <v>41.6</v>
      </c>
      <c r="AC452" s="53" t="str">
        <f t="shared" si="15"/>
        <v>WEAK MOM</v>
      </c>
      <c r="AD452" s="53" t="str">
        <f>IFERROR(__xludf.DUMMYFUNCTION("IFERROR(IF(GOOGLEFINANCE(A452,""eps"")&gt;0,""EPS+"",""EPS-""),"""")"),"EPS+")</f>
        <v>EPS+</v>
      </c>
      <c r="AE452" s="53">
        <f t="shared" si="16"/>
        <v>5</v>
      </c>
      <c r="AF452" s="53">
        <f>IFERROR(__xludf.DUMMYFUNCTION("IFERROR(N452+IF(S452&gt;=1.2,1,0)+IF(U452&gt;=1,1,0)+IF(Z452&gt;0,1,0)+IF(AND(W452&gt;=-20,W452&lt;=0),1,0)+IF(IFERROR(GOOGLEFINANCE(A452,""eps""),0)&gt;0,1,0),"""")"),4.0)</f>
        <v>4</v>
      </c>
      <c r="AG452" s="53" t="str">
        <f t="shared" si="17"/>
        <v>REVERSE TRADE</v>
      </c>
    </row>
    <row r="453" ht="15.75" customHeight="1">
      <c r="A453" s="55" t="s">
        <v>620</v>
      </c>
      <c r="B453" s="44">
        <f>IFERROR(__xludf.DUMMYFUNCTION("GOOGLEFINANCE(A453,""price"")"),351.8)</f>
        <v>351.8</v>
      </c>
      <c r="C453" s="45">
        <f>IFERROR(__xludf.DUMMYFUNCTION("AVERAGE(QUERY(SORT(GOOGLEFINANCE(A453,""price"",TODAY()-150,TODAY()),1,0),""select Col2 limit 50""))"),424.881)</f>
        <v>424.881</v>
      </c>
      <c r="D453" s="45">
        <f>IFERROR(__xludf.DUMMYFUNCTION("AVERAGE(QUERY(SORT(GOOGLEFINANCE(A453,""price"",TODAY()-300,TODAY()),1,0),""select Col2 limit 100""))"),511.4575000000001)</f>
        <v>511.4575</v>
      </c>
      <c r="E453" s="45">
        <f>IFERROR(__xludf.DUMMYFUNCTION("AVERAGE(QUERY(SORT(GOOGLEFINANCE(A453,""price"",TODAY()-500,TODAY()),1,0),""select Col2 limit 200""))"),630.0612500000002)</f>
        <v>630.06125</v>
      </c>
      <c r="F453" s="46" t="str">
        <f t="shared" si="1"/>
        <v>In Bear Run</v>
      </c>
      <c r="G453" s="47">
        <f t="shared" si="2"/>
        <v>-44.16415864</v>
      </c>
      <c r="H453" s="48" t="str">
        <f t="shared" si="3"/>
        <v>Inverted ✗</v>
      </c>
      <c r="I453" s="48">
        <f t="shared" si="4"/>
        <v>0</v>
      </c>
      <c r="J453" s="48">
        <f t="shared" si="5"/>
        <v>0</v>
      </c>
      <c r="K453" s="49" t="str">
        <f>IFERROR(__xludf.DUMMYFUNCTION("IFERROR(IF(A453="""",""ENTER STOCK"",LET(stock,A453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53" s="48">
        <f t="shared" si="6"/>
        <v>0</v>
      </c>
      <c r="M453" s="48">
        <f t="shared" si="7"/>
        <v>1</v>
      </c>
      <c r="N453" s="50">
        <f t="shared" si="8"/>
        <v>1</v>
      </c>
      <c r="P453" s="46" t="str">
        <f t="shared" si="9"/>
        <v>REVERSE TRADE</v>
      </c>
      <c r="Q453" s="52"/>
      <c r="R453" s="53">
        <f t="shared" si="10"/>
        <v>15</v>
      </c>
      <c r="S453" s="53">
        <f>IFERROR(__xludf.DUMMYFUNCTION("IFERROR(ROUND(GOOGLEFINANCE(A453,""volume"")/GOOGLEFINANCE(A453,""volumeavg""),2),"""")"),1.29)</f>
        <v>1.29</v>
      </c>
      <c r="T453" s="53" t="str">
        <f t="shared" si="11"/>
        <v>OK VOL</v>
      </c>
      <c r="U453" s="53">
        <f>IFERROR(__xludf.DUMMYFUNCTION("IFERROR(
  LET(
    sd, GOOGLEFINANCE(A453,""close"",TODAY()-100,TODAY()),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"""")"),1.14)</f>
        <v>1.14</v>
      </c>
      <c r="V453" s="53" t="str">
        <f t="shared" si="12"/>
        <v>MEDIUM</v>
      </c>
      <c r="W453" s="53">
        <f>IFERROR(__xludf.DUMMYFUNCTION("IFERROR(ROUND((B453/GOOGLEFINANCE(A453,""high52"")-1)*100,1),"""")"),-58.6)</f>
        <v>-58.6</v>
      </c>
      <c r="X453" s="53">
        <f>IFERROR(__xludf.DUMMYFUNCTION("IFERROR(ROUND((B453-GOOGLEFINANCE(A453,""low52""))/(GOOGLEFINANCE(A453,""high52"")-GOOGLEFINANCE(A453,""low52""))*100,1),"""")"),4.3)</f>
        <v>4.3</v>
      </c>
      <c r="Y453" s="53" t="str">
        <f t="shared" si="13"/>
        <v>DEEP RECOVERY</v>
      </c>
      <c r="Z453" s="53">
        <f>IFERROR(__xludf.DUMMYFUNCTION("IFERROR(ROUND(((B453 / INDEX(GOOGLEFINANCE(TRIM(A453), ""price"", TODAY()-34, TODAY()), 2, 2)) - (GOOGLEFINANCE(""NIFTY_50"") / INDEX(GOOGLEFINANCE(""NIFTY_50"", ""price"", TODAY()-34, TODAY()), 2, 2))) * 100, 2), ""Check History"")"),-1.45)</f>
        <v>-1.45</v>
      </c>
      <c r="AA453" s="53" t="str">
        <f t="shared" si="14"/>
        <v>WEAK RS</v>
      </c>
      <c r="AB453" s="53">
        <f>IFERROR(__xludf.DUMMYFUNCTION("IFERROR(LET(
  p, QUERY(GOOGLEFINANCE(TRIM(A453),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Loading"")"),50.4)</f>
        <v>50.4</v>
      </c>
      <c r="AC453" s="53" t="str">
        <f t="shared" si="15"/>
        <v>IDEAL ENTRY</v>
      </c>
      <c r="AD453" s="53" t="str">
        <f>IFERROR(__xludf.DUMMYFUNCTION("IFERROR(IF(GOOGLEFINANCE(A453,""eps"")&gt;0,""EPS+"",""EPS-""),"""")"),"EPS+")</f>
        <v>EPS+</v>
      </c>
      <c r="AE453" s="53">
        <f t="shared" si="16"/>
        <v>4</v>
      </c>
      <c r="AF453" s="53">
        <f>IFERROR(__xludf.DUMMYFUNCTION("IFERROR(N453+IF(S453&gt;=1.2,1,0)+IF(U453&gt;=1,1,0)+IF(Z453&gt;0,1,0)+IF(AND(W453&gt;=-20,W453&lt;=0),1,0)+IF(IFERROR(GOOGLEFINANCE(A453,""eps""),0)&gt;0,1,0),"""")"),4.0)</f>
        <v>4</v>
      </c>
      <c r="AG453" s="53" t="str">
        <f t="shared" si="17"/>
        <v>REVERSE TRADE</v>
      </c>
    </row>
    <row r="454" ht="15.75" customHeight="1">
      <c r="A454" s="55" t="s">
        <v>621</v>
      </c>
      <c r="B454" s="44">
        <f>IFERROR(__xludf.DUMMYFUNCTION("GOOGLEFINANCE(A454,""price"")"),543.35)</f>
        <v>543.35</v>
      </c>
      <c r="C454" s="45">
        <f>IFERROR(__xludf.DUMMYFUNCTION("AVERAGE(QUERY(SORT(GOOGLEFINANCE(A454,""price"",TODAY()-150,TODAY()),1,0),""select Col2 limit 50""))"),709.319)</f>
        <v>709.319</v>
      </c>
      <c r="D454" s="45">
        <f>IFERROR(__xludf.DUMMYFUNCTION("AVERAGE(QUERY(SORT(GOOGLEFINANCE(A454,""price"",TODAY()-300,TODAY()),1,0),""select Col2 limit 100""))"),719.1309999999997)</f>
        <v>719.131</v>
      </c>
      <c r="E454" s="45">
        <f>IFERROR(__xludf.DUMMYFUNCTION("AVERAGE(QUERY(SORT(GOOGLEFINANCE(A454,""price"",TODAY()-500,TODAY()),1,0),""select Col2 limit 200""))"),730.0385000000001)</f>
        <v>730.0385</v>
      </c>
      <c r="F454" s="46" t="str">
        <f t="shared" si="1"/>
        <v>In Bear Run</v>
      </c>
      <c r="G454" s="47">
        <f t="shared" si="2"/>
        <v>-25.57241844</v>
      </c>
      <c r="H454" s="48" t="str">
        <f t="shared" si="3"/>
        <v>Inverted ✗</v>
      </c>
      <c r="I454" s="48">
        <f t="shared" si="4"/>
        <v>0</v>
      </c>
      <c r="J454" s="48">
        <f t="shared" si="5"/>
        <v>0</v>
      </c>
      <c r="K454" s="49" t="str">
        <f>IFERROR(__xludf.DUMMYFUNCTION("IFERROR(IF(A454="""",""ENTER STOCK"",LET(stock,A454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54" s="48">
        <f t="shared" si="6"/>
        <v>0</v>
      </c>
      <c r="M454" s="48">
        <f t="shared" si="7"/>
        <v>1</v>
      </c>
      <c r="N454" s="50">
        <f t="shared" si="8"/>
        <v>1</v>
      </c>
      <c r="P454" s="46" t="str">
        <f t="shared" si="9"/>
        <v>REVERSE TRADE</v>
      </c>
      <c r="Q454" s="52"/>
      <c r="R454" s="53">
        <f t="shared" si="10"/>
        <v>15</v>
      </c>
      <c r="S454" s="53">
        <f>IFERROR(__xludf.DUMMYFUNCTION("IFERROR(ROUND(GOOGLEFINANCE(A454,""volume"")/GOOGLEFINANCE(A454,""volumeavg""),2),"""")"),2.2)</f>
        <v>2.2</v>
      </c>
      <c r="T454" s="53" t="str">
        <f t="shared" si="11"/>
        <v>HIGH VOL</v>
      </c>
      <c r="U454" s="53">
        <f>IFERROR(__xludf.DUMMYFUNCTION("IFERROR(
  LET(
    sd, GOOGLEFINANCE(A454,""close"",TODAY()-100,TODAY()),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"""")"),0.81)</f>
        <v>0.81</v>
      </c>
      <c r="V454" s="53" t="str">
        <f t="shared" si="12"/>
        <v>SLOW</v>
      </c>
      <c r="W454" s="53">
        <f>IFERROR(__xludf.DUMMYFUNCTION("IFERROR(ROUND((B454/GOOGLEFINANCE(A454,""high52"")-1)*100,1),"""")"),-35.3)</f>
        <v>-35.3</v>
      </c>
      <c r="X454" s="53">
        <f>IFERROR(__xludf.DUMMYFUNCTION("IFERROR(ROUND((B454-GOOGLEFINANCE(A454,""low52""))/(GOOGLEFINANCE(A454,""high52"")-GOOGLEFINANCE(A454,""low52""))*100,1),"""")"),0.3)</f>
        <v>0.3</v>
      </c>
      <c r="Y454" s="53" t="str">
        <f t="shared" si="13"/>
        <v>MID</v>
      </c>
      <c r="Z454" s="53">
        <f>IFERROR(__xludf.DUMMYFUNCTION("IFERROR(ROUND(((B454 / INDEX(GOOGLEFINANCE(TRIM(A454), ""price"", TODAY()-34, TODAY()), 2, 2)) - (GOOGLEFINANCE(""NIFTY_50"") / INDEX(GOOGLEFINANCE(""NIFTY_50"", ""price"", TODAY()-34, TODAY()), 2, 2))) * 100, 2), ""Check History"")"),-11.71)</f>
        <v>-11.71</v>
      </c>
      <c r="AA454" s="53" t="str">
        <f t="shared" si="14"/>
        <v>WEAK RS</v>
      </c>
      <c r="AB454" s="53">
        <f>IFERROR(__xludf.DUMMYFUNCTION("IFERROR(LET(
  p, QUERY(GOOGLEFINANCE(TRIM(A454),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Loading"")"),49.8)</f>
        <v>49.8</v>
      </c>
      <c r="AC454" s="53" t="str">
        <f t="shared" si="15"/>
        <v>IDEAL ENTRY</v>
      </c>
      <c r="AD454" s="53" t="str">
        <f>IFERROR(__xludf.DUMMYFUNCTION("IFERROR(IF(GOOGLEFINANCE(A454,""eps"")&gt;0,""EPS+"",""EPS-""),"""")"),"EPS+")</f>
        <v>EPS+</v>
      </c>
      <c r="AE454" s="53">
        <f t="shared" si="16"/>
        <v>4</v>
      </c>
      <c r="AF454" s="53">
        <f>IFERROR(__xludf.DUMMYFUNCTION("IFERROR(N454+IF(S454&gt;=1.2,1,0)+IF(U454&gt;=1,1,0)+IF(Z454&gt;0,1,0)+IF(AND(W454&gt;=-20,W454&lt;=0),1,0)+IF(IFERROR(GOOGLEFINANCE(A454,""eps""),0)&gt;0,1,0),"""")"),3.0)</f>
        <v>3</v>
      </c>
      <c r="AG454" s="53" t="str">
        <f t="shared" si="17"/>
        <v>REVERSE TRADE</v>
      </c>
    </row>
    <row r="455" ht="15.75" customHeight="1">
      <c r="A455" s="55" t="s">
        <v>622</v>
      </c>
      <c r="B455" s="44">
        <f>IFERROR(__xludf.DUMMYFUNCTION("GOOGLEFINANCE(A455,""price"")"),857.5)</f>
        <v>857.5</v>
      </c>
      <c r="C455" s="45">
        <f>IFERROR(__xludf.DUMMYFUNCTION("AVERAGE(QUERY(SORT(GOOGLEFINANCE(A455,""price"",TODAY()-150,TODAY()),1,0),""select Col2 limit 50""))"),964.8879999999999)</f>
        <v>964.888</v>
      </c>
      <c r="D455" s="45">
        <f>IFERROR(__xludf.DUMMYFUNCTION("AVERAGE(QUERY(SORT(GOOGLEFINANCE(A455,""price"",TODAY()-300,TODAY()),1,0),""select Col2 limit 100""))"),991.8755000000003)</f>
        <v>991.8755</v>
      </c>
      <c r="E455" s="45">
        <f>IFERROR(__xludf.DUMMYFUNCTION("AVERAGE(QUERY(SORT(GOOGLEFINANCE(A455,""price"",TODAY()-500,TODAY()),1,0),""select Col2 limit 200""))"),1006.4374999999995)</f>
        <v>1006.4375</v>
      </c>
      <c r="F455" s="46" t="str">
        <f t="shared" si="1"/>
        <v>In Bear Run</v>
      </c>
      <c r="G455" s="47">
        <f t="shared" si="2"/>
        <v>-14.79848475</v>
      </c>
      <c r="H455" s="48" t="str">
        <f t="shared" si="3"/>
        <v>Inverted ✗</v>
      </c>
      <c r="I455" s="48">
        <f t="shared" si="4"/>
        <v>0</v>
      </c>
      <c r="J455" s="48">
        <f t="shared" si="5"/>
        <v>0</v>
      </c>
      <c r="K455" s="49" t="str">
        <f>IFERROR(__xludf.DUMMYFUNCTION("IFERROR(IF(A455="""",""ENTER STOCK"",LET(stock,A455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55" s="48">
        <f t="shared" si="6"/>
        <v>0</v>
      </c>
      <c r="M455" s="48">
        <f t="shared" si="7"/>
        <v>1</v>
      </c>
      <c r="N455" s="50">
        <f t="shared" si="8"/>
        <v>1</v>
      </c>
      <c r="P455" s="46" t="str">
        <f t="shared" si="9"/>
        <v>REVERSE TRADE</v>
      </c>
      <c r="Q455" s="52"/>
      <c r="R455" s="53">
        <f t="shared" si="10"/>
        <v>15</v>
      </c>
      <c r="S455" s="53">
        <f>IFERROR(__xludf.DUMMYFUNCTION("IFERROR(ROUND(GOOGLEFINANCE(A455,""volume"")/GOOGLEFINANCE(A455,""volumeavg""),2),"""")"),1.75)</f>
        <v>1.75</v>
      </c>
      <c r="T455" s="53" t="str">
        <f t="shared" si="11"/>
        <v>HIGH VOL</v>
      </c>
      <c r="U455" s="53">
        <f>IFERROR(__xludf.DUMMYFUNCTION("IFERROR(
  LET(
    sd, GOOGLEFINANCE(A455,""close"",TODAY()-100,TODAY()),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"""")"),0.62)</f>
        <v>0.62</v>
      </c>
      <c r="V455" s="53" t="str">
        <f t="shared" si="12"/>
        <v>SLOW</v>
      </c>
      <c r="W455" s="53">
        <f>IFERROR(__xludf.DUMMYFUNCTION("IFERROR(ROUND((B455/GOOGLEFINANCE(A455,""high52"")-1)*100,1),"""")"),-27.3)</f>
        <v>-27.3</v>
      </c>
      <c r="X455" s="53">
        <f>IFERROR(__xludf.DUMMYFUNCTION("IFERROR(ROUND((B455-GOOGLEFINANCE(A455,""low52""))/(GOOGLEFINANCE(A455,""high52"")-GOOGLEFINANCE(A455,""low52""))*100,1),"""")"),12.1)</f>
        <v>12.1</v>
      </c>
      <c r="Y455" s="53" t="str">
        <f t="shared" si="13"/>
        <v>MID</v>
      </c>
      <c r="Z455" s="53">
        <f>IFERROR(__xludf.DUMMYFUNCTION("IFERROR(ROUND(((B455 / INDEX(GOOGLEFINANCE(TRIM(A455), ""price"", TODAY()-34, TODAY()), 2, 2)) - (GOOGLEFINANCE(""NIFTY_50"") / INDEX(GOOGLEFINANCE(""NIFTY_50"", ""price"", TODAY()-34, TODAY()), 2, 2))) * 100, 2), ""Check History"")"),-0.87)</f>
        <v>-0.87</v>
      </c>
      <c r="AA455" s="53" t="str">
        <f t="shared" si="14"/>
        <v>WEAK RS</v>
      </c>
      <c r="AB455" s="53">
        <f>IFERROR(__xludf.DUMMYFUNCTION("IFERROR(LET(
  p, QUERY(GOOGLEFINANCE(TRIM(A455),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Loading"")"),35.4)</f>
        <v>35.4</v>
      </c>
      <c r="AC455" s="53" t="str">
        <f t="shared" si="15"/>
        <v>WEAK MOM</v>
      </c>
      <c r="AD455" s="53" t="str">
        <f>IFERROR(__xludf.DUMMYFUNCTION("IFERROR(IF(GOOGLEFINANCE(A455,""eps"")&gt;0,""EPS+"",""EPS-""),"""")"),"EPS+")</f>
        <v>EPS+</v>
      </c>
      <c r="AE455" s="53">
        <f t="shared" si="16"/>
        <v>4</v>
      </c>
      <c r="AF455" s="53">
        <f>IFERROR(__xludf.DUMMYFUNCTION("IFERROR(N455+IF(S455&gt;=1.2,1,0)+IF(U455&gt;=1,1,0)+IF(Z455&gt;0,1,0)+IF(AND(W455&gt;=-20,W455&lt;=0),1,0)+IF(IFERROR(GOOGLEFINANCE(A455,""eps""),0)&gt;0,1,0),"""")"),3.0)</f>
        <v>3</v>
      </c>
      <c r="AG455" s="53" t="str">
        <f t="shared" si="17"/>
        <v>REVERSE TRADE</v>
      </c>
    </row>
    <row r="456" ht="15.75" customHeight="1">
      <c r="A456" s="55" t="s">
        <v>623</v>
      </c>
      <c r="B456" s="44">
        <f>IFERROR(__xludf.DUMMYFUNCTION("GOOGLEFINANCE(A456,""price"")"),809.95)</f>
        <v>809.95</v>
      </c>
      <c r="C456" s="45">
        <f>IFERROR(__xludf.DUMMYFUNCTION("AVERAGE(QUERY(SORT(GOOGLEFINANCE(A456,""price"",TODAY()-150,TODAY()),1,0),""select Col2 limit 50""))"),795.3179999999999)</f>
        <v>795.318</v>
      </c>
      <c r="D456" s="45">
        <f>IFERROR(__xludf.DUMMYFUNCTION("AVERAGE(QUERY(SORT(GOOGLEFINANCE(A456,""price"",TODAY()-300,TODAY()),1,0),""select Col2 limit 100""))"),816.0135)</f>
        <v>816.0135</v>
      </c>
      <c r="E456" s="45">
        <f>IFERROR(__xludf.DUMMYFUNCTION("AVERAGE(QUERY(SORT(GOOGLEFINANCE(A456,""price"",TODAY()-500,TODAY()),1,0),""select Col2 limit 200""))"),852.6249999999999)</f>
        <v>852.625</v>
      </c>
      <c r="F456" s="46" t="str">
        <f t="shared" si="1"/>
        <v>Unconfirmed</v>
      </c>
      <c r="G456" s="47">
        <f t="shared" si="2"/>
        <v>-5.005131212</v>
      </c>
      <c r="H456" s="48" t="str">
        <f t="shared" si="3"/>
        <v>Inverted ✗</v>
      </c>
      <c r="I456" s="48">
        <f t="shared" si="4"/>
        <v>0</v>
      </c>
      <c r="J456" s="48">
        <f t="shared" si="5"/>
        <v>0</v>
      </c>
      <c r="K456" s="49" t="str">
        <f>IFERROR(__xludf.DUMMYFUNCTION("IFERROR(IF(A456="""",""ENTER STOCK"",LET(stock,A456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56" s="48">
        <f t="shared" si="6"/>
        <v>0</v>
      </c>
      <c r="M456" s="48">
        <f t="shared" si="7"/>
        <v>1</v>
      </c>
      <c r="N456" s="50">
        <f t="shared" si="8"/>
        <v>1</v>
      </c>
      <c r="P456" s="46" t="str">
        <f t="shared" si="9"/>
        <v>WAIT</v>
      </c>
      <c r="Q456" s="52"/>
      <c r="R456" s="53">
        <f t="shared" si="10"/>
        <v>15</v>
      </c>
      <c r="S456" s="53">
        <f>IFERROR(__xludf.DUMMYFUNCTION("IFERROR(ROUND(GOOGLEFINANCE(A456,""volume"")/GOOGLEFINANCE(A456,""volumeavg""),2),"""")"),2.07)</f>
        <v>2.07</v>
      </c>
      <c r="T456" s="53" t="str">
        <f t="shared" si="11"/>
        <v>HIGH VOL</v>
      </c>
      <c r="U456" s="53">
        <f>IFERROR(__xludf.DUMMYFUNCTION("IFERROR(
  LET(
    sd, GOOGLEFINANCE(A456,""close"",TODAY()-100,TODAY()),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"""")"),1.5)</f>
        <v>1.5</v>
      </c>
      <c r="V456" s="53" t="str">
        <f t="shared" si="12"/>
        <v>FAST</v>
      </c>
      <c r="W456" s="53">
        <f>IFERROR(__xludf.DUMMYFUNCTION("IFERROR(ROUND((B456/GOOGLEFINANCE(A456,""high52"")-1)*100,1),"""")"),-18.5)</f>
        <v>-18.5</v>
      </c>
      <c r="X456" s="53">
        <f>IFERROR(__xludf.DUMMYFUNCTION("IFERROR(ROUND((B456-GOOGLEFINANCE(A456,""low52""))/(GOOGLEFINANCE(A456,""high52"")-GOOGLEFINANCE(A456,""low52""))*100,1),"""")"),44.2)</f>
        <v>44.2</v>
      </c>
      <c r="Y456" s="53" t="str">
        <f t="shared" si="13"/>
        <v>UPPER</v>
      </c>
      <c r="Z456" s="53">
        <f>IFERROR(__xludf.DUMMYFUNCTION("IFERROR(ROUND(((B456 / INDEX(GOOGLEFINANCE(TRIM(A456), ""price"", TODAY()-34, TODAY()), 2, 2)) - (GOOGLEFINANCE(""NIFTY_50"") / INDEX(GOOGLEFINANCE(""NIFTY_50"", ""price"", TODAY()-34, TODAY()), 2, 2))) * 100, 2), ""Check History"")"),16.49)</f>
        <v>16.49</v>
      </c>
      <c r="AA456" s="53" t="str">
        <f t="shared" si="14"/>
        <v>STRONG RS</v>
      </c>
      <c r="AB456" s="53">
        <f>IFERROR(__xludf.DUMMYFUNCTION("IFERROR(LET(
  p, QUERY(GOOGLEFINANCE(TRIM(A456),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Loading"")"),48.4)</f>
        <v>48.4</v>
      </c>
      <c r="AC456" s="53" t="str">
        <f t="shared" si="15"/>
        <v>IDEAL ENTRY</v>
      </c>
      <c r="AD456" s="53" t="str">
        <f>IFERROR(__xludf.DUMMYFUNCTION("IFERROR(IF(GOOGLEFINANCE(A456,""eps"")&gt;0,""EPS+"",""EPS-""),"""")"),"EPS+")</f>
        <v>EPS+</v>
      </c>
      <c r="AE456" s="53">
        <f t="shared" si="16"/>
        <v>8</v>
      </c>
      <c r="AF456" s="53">
        <f>IFERROR(__xludf.DUMMYFUNCTION("IFERROR(N456+IF(S456&gt;=1.2,1,0)+IF(U456&gt;=1,1,0)+IF(Z456&gt;0,1,0)+IF(AND(W456&gt;=-20,W456&lt;=0),1,0)+IF(IFERROR(GOOGLEFINANCE(A456,""eps""),0)&gt;0,1,0),"""")"),6.0)</f>
        <v>6</v>
      </c>
      <c r="AG456" s="53" t="str">
        <f t="shared" si="17"/>
        <v>WAIT</v>
      </c>
    </row>
    <row r="457" ht="15.75" customHeight="1">
      <c r="A457" s="55" t="s">
        <v>624</v>
      </c>
      <c r="B457" s="44">
        <f>IFERROR(__xludf.DUMMYFUNCTION("GOOGLEFINANCE(A457,""price"")"),107.5)</f>
        <v>107.5</v>
      </c>
      <c r="C457" s="45">
        <f>IFERROR(__xludf.DUMMYFUNCTION("AVERAGE(QUERY(SORT(GOOGLEFINANCE(A457,""price"",TODAY()-150,TODAY()),1,0),""select Col2 limit 50""))"),125.4774)</f>
        <v>125.4774</v>
      </c>
      <c r="D457" s="45">
        <f>IFERROR(__xludf.DUMMYFUNCTION("AVERAGE(QUERY(SORT(GOOGLEFINANCE(A457,""price"",TODAY()-300,TODAY()),1,0),""select Col2 limit 100""))"),129.70130000000003)</f>
        <v>129.7013</v>
      </c>
      <c r="E457" s="45">
        <f>IFERROR(__xludf.DUMMYFUNCTION("AVERAGE(QUERY(SORT(GOOGLEFINANCE(A457,""price"",TODAY()-500,TODAY()),1,0),""select Col2 limit 200""))"),128.2873500000001)</f>
        <v>128.28735</v>
      </c>
      <c r="F457" s="46" t="str">
        <f t="shared" si="1"/>
        <v>In Bear Run</v>
      </c>
      <c r="G457" s="47">
        <f t="shared" si="2"/>
        <v>-16.20374105</v>
      </c>
      <c r="H457" s="48" t="str">
        <f t="shared" si="3"/>
        <v>Inverted ✗</v>
      </c>
      <c r="I457" s="48">
        <f t="shared" si="4"/>
        <v>0</v>
      </c>
      <c r="J457" s="48">
        <f t="shared" si="5"/>
        <v>0</v>
      </c>
      <c r="K457" s="49" t="str">
        <f>IFERROR(__xludf.DUMMYFUNCTION("IFERROR(IF(A457="""",""ENTER STOCK"",LET(stock,A457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57" s="48">
        <f t="shared" si="6"/>
        <v>0</v>
      </c>
      <c r="M457" s="48">
        <f t="shared" si="7"/>
        <v>1</v>
      </c>
      <c r="N457" s="50">
        <f t="shared" si="8"/>
        <v>1</v>
      </c>
      <c r="P457" s="46" t="str">
        <f t="shared" si="9"/>
        <v>REVERSE TRADE</v>
      </c>
      <c r="Q457" s="52"/>
      <c r="R457" s="53">
        <f t="shared" si="10"/>
        <v>15</v>
      </c>
      <c r="S457" s="53">
        <f>IFERROR(__xludf.DUMMYFUNCTION("IFERROR(ROUND(GOOGLEFINANCE(A457,""volume"")/GOOGLEFINANCE(A457,""volumeavg""),2),"""")"),1.06)</f>
        <v>1.06</v>
      </c>
      <c r="T457" s="53" t="str">
        <f t="shared" si="11"/>
        <v>LOW VOL</v>
      </c>
      <c r="U457" s="53">
        <f>IFERROR(__xludf.DUMMYFUNCTION("IFERROR(
  LET(
    sd, GOOGLEFINANCE(A457,""close"",TODAY()-100,TODAY()),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"""")"),1.7)</f>
        <v>1.7</v>
      </c>
      <c r="V457" s="53" t="str">
        <f t="shared" si="12"/>
        <v>FAST</v>
      </c>
      <c r="W457" s="53">
        <f>IFERROR(__xludf.DUMMYFUNCTION("IFERROR(ROUND((B457/GOOGLEFINANCE(A457,""high52"")-1)*100,1),"""")"),-30.5)</f>
        <v>-30.5</v>
      </c>
      <c r="X457" s="53">
        <f>IFERROR(__xludf.DUMMYFUNCTION("IFERROR(ROUND((B457-GOOGLEFINANCE(A457,""low52""))/(GOOGLEFINANCE(A457,""high52"")-GOOGLEFINANCE(A457,""low52""))*100,1),"""")"),5.4)</f>
        <v>5.4</v>
      </c>
      <c r="Y457" s="53" t="str">
        <f t="shared" si="13"/>
        <v>MID</v>
      </c>
      <c r="Z457" s="53">
        <f>IFERROR(__xludf.DUMMYFUNCTION("IFERROR(ROUND(((B457 / INDEX(GOOGLEFINANCE(TRIM(A457), ""price"", TODAY()-34, TODAY()), 2, 2)) - (GOOGLEFINANCE(""NIFTY_50"") / INDEX(GOOGLEFINANCE(""NIFTY_50"", ""price"", TODAY()-34, TODAY()), 2, 2))) * 100, 2), ""Check History"")"),-7.74)</f>
        <v>-7.74</v>
      </c>
      <c r="AA457" s="53" t="str">
        <f t="shared" si="14"/>
        <v>WEAK RS</v>
      </c>
      <c r="AB457" s="53">
        <f>IFERROR(__xludf.DUMMYFUNCTION("IFERROR(LET(
  p, QUERY(GOOGLEFINANCE(TRIM(A457),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Loading"")"),40.9)</f>
        <v>40.9</v>
      </c>
      <c r="AC457" s="53" t="str">
        <f t="shared" si="15"/>
        <v>WEAK MOM</v>
      </c>
      <c r="AD457" s="53" t="str">
        <f>IFERROR(__xludf.DUMMYFUNCTION("IFERROR(IF(GOOGLEFINANCE(A457,""eps"")&gt;0,""EPS+"",""EPS-""),"""")"),"EPS+")</f>
        <v>EPS+</v>
      </c>
      <c r="AE457" s="53">
        <f t="shared" si="16"/>
        <v>4</v>
      </c>
      <c r="AF457" s="53">
        <f>IFERROR(__xludf.DUMMYFUNCTION("IFERROR(N457+IF(S457&gt;=1.2,1,0)+IF(U457&gt;=1,1,0)+IF(Z457&gt;0,1,0)+IF(AND(W457&gt;=-20,W457&lt;=0),1,0)+IF(IFERROR(GOOGLEFINANCE(A457,""eps""),0)&gt;0,1,0),"""")"),3.0)</f>
        <v>3</v>
      </c>
      <c r="AG457" s="53" t="str">
        <f t="shared" si="17"/>
        <v>REVERSE TRADE</v>
      </c>
    </row>
    <row r="458" ht="15.75" customHeight="1">
      <c r="A458" s="55" t="s">
        <v>625</v>
      </c>
      <c r="B458" s="44">
        <f>IFERROR(__xludf.DUMMYFUNCTION("GOOGLEFINANCE(A458,""price"")"),787.0)</f>
        <v>787</v>
      </c>
      <c r="C458" s="45">
        <f>IFERROR(__xludf.DUMMYFUNCTION("AVERAGE(QUERY(SORT(GOOGLEFINANCE(A458,""price"",TODAY()-150,TODAY()),1,0),""select Col2 limit 50""))"),849.7330000000002)</f>
        <v>849.733</v>
      </c>
      <c r="D458" s="45">
        <f>IFERROR(__xludf.DUMMYFUNCTION("AVERAGE(QUERY(SORT(GOOGLEFINANCE(A458,""price"",TODAY()-300,TODAY()),1,0),""select Col2 limit 100""))"),942.882)</f>
        <v>942.882</v>
      </c>
      <c r="E458" s="45">
        <f>IFERROR(__xludf.DUMMYFUNCTION("AVERAGE(QUERY(SORT(GOOGLEFINANCE(A458,""price"",TODAY()-500,TODAY()),1,0),""select Col2 limit 200""))"),1135.1425)</f>
        <v>1135.1425</v>
      </c>
      <c r="F458" s="46" t="str">
        <f t="shared" si="1"/>
        <v>In Bear Run</v>
      </c>
      <c r="G458" s="47">
        <f t="shared" si="2"/>
        <v>-30.66949744</v>
      </c>
      <c r="H458" s="48" t="str">
        <f t="shared" si="3"/>
        <v>Inverted ✗</v>
      </c>
      <c r="I458" s="48">
        <f t="shared" si="4"/>
        <v>0</v>
      </c>
      <c r="J458" s="48">
        <f t="shared" si="5"/>
        <v>0</v>
      </c>
      <c r="K458" s="49" t="str">
        <f>IFERROR(__xludf.DUMMYFUNCTION("IFERROR(IF(A458="""",""ENTER STOCK"",LET(stock,A458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58" s="48">
        <f t="shared" si="6"/>
        <v>0</v>
      </c>
      <c r="M458" s="48">
        <f t="shared" si="7"/>
        <v>1</v>
      </c>
      <c r="N458" s="50">
        <f t="shared" si="8"/>
        <v>1</v>
      </c>
      <c r="P458" s="46" t="str">
        <f t="shared" si="9"/>
        <v>REVERSE TRADE</v>
      </c>
      <c r="Q458" s="52"/>
      <c r="R458" s="53">
        <f t="shared" si="10"/>
        <v>15</v>
      </c>
      <c r="S458" s="53">
        <f>IFERROR(__xludf.DUMMYFUNCTION("IFERROR(ROUND(GOOGLEFINANCE(A458,""volume"")/GOOGLEFINANCE(A458,""volumeavg""),2),"""")"),1.52)</f>
        <v>1.52</v>
      </c>
      <c r="T458" s="53" t="str">
        <f t="shared" si="11"/>
        <v>HIGH VOL</v>
      </c>
      <c r="U458" s="53">
        <f>IFERROR(__xludf.DUMMYFUNCTION("IFERROR(
  LET(
    sd, GOOGLEFINANCE(A458,""close"",TODAY()-100,TODAY()),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"""")"),0.86)</f>
        <v>0.86</v>
      </c>
      <c r="V458" s="53" t="str">
        <f t="shared" si="12"/>
        <v>SLOW</v>
      </c>
      <c r="W458" s="53">
        <f>IFERROR(__xludf.DUMMYFUNCTION("IFERROR(ROUND((B458/GOOGLEFINANCE(A458,""high52"")-1)*100,1),"""")"),-46.6)</f>
        <v>-46.6</v>
      </c>
      <c r="X458" s="53">
        <f>IFERROR(__xludf.DUMMYFUNCTION("IFERROR(ROUND((B458-GOOGLEFINANCE(A458,""low52""))/(GOOGLEFINANCE(A458,""high52"")-GOOGLEFINANCE(A458,""low52""))*100,1),"""")"),4.2)</f>
        <v>4.2</v>
      </c>
      <c r="Y458" s="53" t="str">
        <f t="shared" si="13"/>
        <v>DEEP RECOVERY</v>
      </c>
      <c r="Z458" s="53">
        <f>IFERROR(__xludf.DUMMYFUNCTION("IFERROR(ROUND(((B458 / INDEX(GOOGLEFINANCE(TRIM(A458), ""price"", TODAY()-34, TODAY()), 2, 2)) - (GOOGLEFINANCE(""NIFTY_50"") / INDEX(GOOGLEFINANCE(""NIFTY_50"", ""price"", TODAY()-34, TODAY()), 2, 2))) * 100, 2), ""Check History"")"),-0.8)</f>
        <v>-0.8</v>
      </c>
      <c r="AA458" s="53" t="str">
        <f t="shared" si="14"/>
        <v>WEAK RS</v>
      </c>
      <c r="AB458" s="53">
        <f>IFERROR(__xludf.DUMMYFUNCTION("IFERROR(LET(
  p, QUERY(GOOGLEFINANCE(TRIM(A458),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Loading"")"),28.2)</f>
        <v>28.2</v>
      </c>
      <c r="AC458" s="53" t="str">
        <f t="shared" si="15"/>
        <v>WEAK MOM</v>
      </c>
      <c r="AD458" s="53" t="str">
        <f>IFERROR(__xludf.DUMMYFUNCTION("IFERROR(IF(GOOGLEFINANCE(A458,""eps"")&gt;0,""EPS+"",""EPS-""),"""")"),"EPS+")</f>
        <v>EPS+</v>
      </c>
      <c r="AE458" s="53">
        <f t="shared" si="16"/>
        <v>4</v>
      </c>
      <c r="AF458" s="53">
        <f>IFERROR(__xludf.DUMMYFUNCTION("IFERROR(N458+IF(S458&gt;=1.2,1,0)+IF(U458&gt;=1,1,0)+IF(Z458&gt;0,1,0)+IF(AND(W458&gt;=-20,W458&lt;=0),1,0)+IF(IFERROR(GOOGLEFINANCE(A458,""eps""),0)&gt;0,1,0),"""")"),3.0)</f>
        <v>3</v>
      </c>
      <c r="AG458" s="53" t="str">
        <f t="shared" si="17"/>
        <v>REVERSE TRADE</v>
      </c>
    </row>
    <row r="459" ht="15.75" customHeight="1">
      <c r="A459" s="55" t="s">
        <v>626</v>
      </c>
      <c r="B459" s="44">
        <f>IFERROR(__xludf.DUMMYFUNCTION("GOOGLEFINANCE(A459,""price"")"),13900.0)</f>
        <v>13900</v>
      </c>
      <c r="C459" s="45">
        <f>IFERROR(__xludf.DUMMYFUNCTION("AVERAGE(QUERY(SORT(GOOGLEFINANCE(A459,""price"",TODAY()-150,TODAY()),1,0),""select Col2 limit 50""))"),14533.0)</f>
        <v>14533</v>
      </c>
      <c r="D459" s="45">
        <f>IFERROR(__xludf.DUMMYFUNCTION("AVERAGE(QUERY(SORT(GOOGLEFINANCE(A459,""price"",TODAY()-300,TODAY()),1,0),""select Col2 limit 100""))"),14271.7)</f>
        <v>14271.7</v>
      </c>
      <c r="E459" s="45">
        <f>IFERROR(__xludf.DUMMYFUNCTION("AVERAGE(QUERY(SORT(GOOGLEFINANCE(A459,""price"",TODAY()-500,TODAY()),1,0),""select Col2 limit 200""))"),13831.34)</f>
        <v>13831.34</v>
      </c>
      <c r="F459" s="46" t="str">
        <f t="shared" si="1"/>
        <v>Unconfirmed</v>
      </c>
      <c r="G459" s="47">
        <f t="shared" si="2"/>
        <v>0.4964088801</v>
      </c>
      <c r="H459" s="48" t="str">
        <f t="shared" si="3"/>
        <v>Golden ✓</v>
      </c>
      <c r="I459" s="48">
        <f t="shared" si="4"/>
        <v>3</v>
      </c>
      <c r="J459" s="48">
        <f t="shared" si="5"/>
        <v>2</v>
      </c>
      <c r="K459" s="49" t="str">
        <f>IFERROR(__xludf.DUMMYFUNCTION("IFERROR(IF(A459="""",""ENTER STOCK"",LET(stock,A459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59" s="48">
        <f t="shared" si="6"/>
        <v>0</v>
      </c>
      <c r="M459" s="48">
        <f t="shared" si="7"/>
        <v>1</v>
      </c>
      <c r="N459" s="50">
        <f t="shared" si="8"/>
        <v>6</v>
      </c>
      <c r="P459" s="46" t="str">
        <f t="shared" si="9"/>
        <v>WAIT</v>
      </c>
      <c r="Q459" s="52"/>
      <c r="R459" s="53">
        <f t="shared" si="10"/>
        <v>15</v>
      </c>
      <c r="S459" s="53">
        <f>IFERROR(__xludf.DUMMYFUNCTION("IFERROR(ROUND(GOOGLEFINANCE(A459,""volume"")/GOOGLEFINANCE(A459,""volumeavg""),2),"""")"),1.65)</f>
        <v>1.65</v>
      </c>
      <c r="T459" s="53" t="str">
        <f t="shared" si="11"/>
        <v>HIGH VOL</v>
      </c>
      <c r="U459" s="53">
        <f>IFERROR(__xludf.DUMMYFUNCTION("IFERROR(
  LET(
    sd, GOOGLEFINANCE(A459,""close"",TODAY()-100,TODAY()),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"""")"),0.8)</f>
        <v>0.8</v>
      </c>
      <c r="V459" s="53" t="str">
        <f t="shared" si="12"/>
        <v>SLOW</v>
      </c>
      <c r="W459" s="53">
        <f>IFERROR(__xludf.DUMMYFUNCTION("IFERROR(ROUND((B459/GOOGLEFINANCE(A459,""high52"")-1)*100,1),"""")"),-16.6)</f>
        <v>-16.6</v>
      </c>
      <c r="X459" s="53">
        <f>IFERROR(__xludf.DUMMYFUNCTION("IFERROR(ROUND((B459-GOOGLEFINANCE(A459,""low52""))/(GOOGLEFINANCE(A459,""high52"")-GOOGLEFINANCE(A459,""low52""))*100,1),"""")"),40.7)</f>
        <v>40.7</v>
      </c>
      <c r="Y459" s="53" t="str">
        <f t="shared" si="13"/>
        <v>UPPER</v>
      </c>
      <c r="Z459" s="53">
        <f>IFERROR(__xludf.DUMMYFUNCTION("IFERROR(ROUND(((B459 / INDEX(GOOGLEFINANCE(TRIM(A459), ""price"", TODAY()-34, TODAY()), 2, 2)) - (GOOGLEFINANCE(""NIFTY_50"") / INDEX(GOOGLEFINANCE(""NIFTY_50"", ""price"", TODAY()-34, TODAY()), 2, 2))) * 100, 2), ""Check History"")"),0.15)</f>
        <v>0.15</v>
      </c>
      <c r="AA459" s="53" t="str">
        <f t="shared" si="14"/>
        <v>MILD RS</v>
      </c>
      <c r="AB459" s="53">
        <f>IFERROR(__xludf.DUMMYFUNCTION("IFERROR(LET(
  p, QUERY(GOOGLEFINANCE(TRIM(A459),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Loading"")"),52.6)</f>
        <v>52.6</v>
      </c>
      <c r="AC459" s="53" t="str">
        <f t="shared" si="15"/>
        <v>IDEAL ENTRY</v>
      </c>
      <c r="AD459" s="53" t="str">
        <f>IFERROR(__xludf.DUMMYFUNCTION("IFERROR(IF(GOOGLEFINANCE(A459,""eps"")&gt;0,""EPS+"",""EPS-""),"""")"),"EPS+")</f>
        <v>EPS+</v>
      </c>
      <c r="AE459" s="53">
        <f t="shared" si="16"/>
        <v>5</v>
      </c>
      <c r="AF459" s="53">
        <f>IFERROR(__xludf.DUMMYFUNCTION("IFERROR(N459+IF(S459&gt;=1.2,1,0)+IF(U459&gt;=1,1,0)+IF(Z459&gt;0,1,0)+IF(AND(W459&gt;=-20,W459&lt;=0),1,0)+IF(IFERROR(GOOGLEFINANCE(A459,""eps""),0)&gt;0,1,0),"""")"),10.0)</f>
        <v>10</v>
      </c>
      <c r="AG459" s="53" t="str">
        <f t="shared" si="17"/>
        <v>WAIT</v>
      </c>
    </row>
    <row r="460" ht="15.75" customHeight="1">
      <c r="A460" s="55" t="s">
        <v>627</v>
      </c>
      <c r="B460" s="44">
        <f>IFERROR(__xludf.DUMMYFUNCTION("GOOGLEFINANCE(A460,""price"")"),1267.2)</f>
        <v>1267.2</v>
      </c>
      <c r="C460" s="45">
        <f>IFERROR(__xludf.DUMMYFUNCTION("AVERAGE(QUERY(SORT(GOOGLEFINANCE(A460,""price"",TODAY()-150,TODAY()),1,0),""select Col2 limit 50""))"),1355.69)</f>
        <v>1355.69</v>
      </c>
      <c r="D460" s="45">
        <f>IFERROR(__xludf.DUMMYFUNCTION("AVERAGE(QUERY(SORT(GOOGLEFINANCE(A460,""price"",TODAY()-300,TODAY()),1,0),""select Col2 limit 100""))"),1365.1690000000003)</f>
        <v>1365.169</v>
      </c>
      <c r="E460" s="45">
        <f>IFERROR(__xludf.DUMMYFUNCTION("AVERAGE(QUERY(SORT(GOOGLEFINANCE(A460,""price"",TODAY()-500,TODAY()),1,0),""select Col2 limit 200""))"),1489.6965000000002)</f>
        <v>1489.6965</v>
      </c>
      <c r="F460" s="46" t="str">
        <f t="shared" si="1"/>
        <v>In Bear Run</v>
      </c>
      <c r="G460" s="47">
        <f t="shared" si="2"/>
        <v>-14.93569328</v>
      </c>
      <c r="H460" s="48" t="str">
        <f t="shared" si="3"/>
        <v>Inverted ✗</v>
      </c>
      <c r="I460" s="48">
        <f t="shared" si="4"/>
        <v>0</v>
      </c>
      <c r="J460" s="48">
        <f t="shared" si="5"/>
        <v>0</v>
      </c>
      <c r="K460" s="49" t="str">
        <f>IFERROR(__xludf.DUMMYFUNCTION("IFERROR(IF(A460="""",""ENTER STOCK"",LET(stock,A460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60" s="48">
        <f t="shared" si="6"/>
        <v>0</v>
      </c>
      <c r="M460" s="48">
        <f t="shared" si="7"/>
        <v>1</v>
      </c>
      <c r="N460" s="50">
        <f t="shared" si="8"/>
        <v>1</v>
      </c>
      <c r="P460" s="46" t="str">
        <f t="shared" si="9"/>
        <v>REVERSE TRADE</v>
      </c>
      <c r="Q460" s="52"/>
      <c r="R460" s="53">
        <f t="shared" si="10"/>
        <v>15</v>
      </c>
      <c r="S460" s="53">
        <f>IFERROR(__xludf.DUMMYFUNCTION("IFERROR(ROUND(GOOGLEFINANCE(A460,""volume"")/GOOGLEFINANCE(A460,""volumeavg""),2),"""")"),1.31)</f>
        <v>1.31</v>
      </c>
      <c r="T460" s="53" t="str">
        <f t="shared" si="11"/>
        <v>OK VOL</v>
      </c>
      <c r="U460" s="53">
        <f>IFERROR(__xludf.DUMMYFUNCTION("IFERROR(
  LET(
    sd, GOOGLEFINANCE(A460,""close"",TODAY()-100,TODAY()),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"""")"),0.88)</f>
        <v>0.88</v>
      </c>
      <c r="V460" s="53" t="str">
        <f t="shared" si="12"/>
        <v>SLOW</v>
      </c>
      <c r="W460" s="53">
        <f>IFERROR(__xludf.DUMMYFUNCTION("IFERROR(ROUND((B460/GOOGLEFINANCE(A460,""high52"")-1)*100,1),"""")"),-44.1)</f>
        <v>-44.1</v>
      </c>
      <c r="X460" s="53">
        <f>IFERROR(__xludf.DUMMYFUNCTION("IFERROR(ROUND((B460-GOOGLEFINANCE(A460,""low52""))/(GOOGLEFINANCE(A460,""high52"")-GOOGLEFINANCE(A460,""low52""))*100,1),"""")"),4.2)</f>
        <v>4.2</v>
      </c>
      <c r="Y460" s="53" t="str">
        <f t="shared" si="13"/>
        <v>DEEP RECOVERY</v>
      </c>
      <c r="Z460" s="53">
        <f>IFERROR(__xludf.DUMMYFUNCTION("IFERROR(ROUND(((B460 / INDEX(GOOGLEFINANCE(TRIM(A460), ""price"", TODAY()-34, TODAY()), 2, 2)) - (GOOGLEFINANCE(""NIFTY_50"") / INDEX(GOOGLEFINANCE(""NIFTY_50"", ""price"", TODAY()-34, TODAY()), 2, 2))) * 100, 2), ""Check History"")"),7.8)</f>
        <v>7.8</v>
      </c>
      <c r="AA460" s="53" t="str">
        <f t="shared" si="14"/>
        <v>STRONG RS</v>
      </c>
      <c r="AB460" s="53">
        <f>IFERROR(__xludf.DUMMYFUNCTION("IFERROR(LET(
  p, QUERY(GOOGLEFINANCE(TRIM(A460),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Loading"")"),37.2)</f>
        <v>37.2</v>
      </c>
      <c r="AC460" s="53" t="str">
        <f t="shared" si="15"/>
        <v>WEAK MOM</v>
      </c>
      <c r="AD460" s="53" t="str">
        <f>IFERROR(__xludf.DUMMYFUNCTION("IFERROR(IF(GOOGLEFINANCE(A460,""eps"")&gt;0,""EPS+"",""EPS-""),"""")"),"EPS+")</f>
        <v>EPS+</v>
      </c>
      <c r="AE460" s="53">
        <f t="shared" si="16"/>
        <v>5</v>
      </c>
      <c r="AF460" s="53">
        <f>IFERROR(__xludf.DUMMYFUNCTION("IFERROR(N460+IF(S460&gt;=1.2,1,0)+IF(U460&gt;=1,1,0)+IF(Z460&gt;0,1,0)+IF(AND(W460&gt;=-20,W460&lt;=0),1,0)+IF(IFERROR(GOOGLEFINANCE(A460,""eps""),0)&gt;0,1,0),"""")"),4.0)</f>
        <v>4</v>
      </c>
      <c r="AG460" s="53" t="str">
        <f t="shared" si="17"/>
        <v>REVERSE TRADE</v>
      </c>
    </row>
    <row r="461" ht="15.75" customHeight="1">
      <c r="A461" s="55" t="s">
        <v>628</v>
      </c>
      <c r="B461" s="44">
        <f>IFERROR(__xludf.DUMMYFUNCTION("GOOGLEFINANCE(A461,""price"")"),260.0)</f>
        <v>260</v>
      </c>
      <c r="C461" s="45">
        <f>IFERROR(__xludf.DUMMYFUNCTION("AVERAGE(QUERY(SORT(GOOGLEFINANCE(A461,""price"",TODAY()-150,TODAY()),1,0),""select Col2 limit 50""))"),230.33859999999996)</f>
        <v>230.3386</v>
      </c>
      <c r="D461" s="45">
        <f>IFERROR(__xludf.DUMMYFUNCTION("AVERAGE(QUERY(SORT(GOOGLEFINANCE(A461,""price"",TODAY()-300,TODAY()),1,0),""select Col2 limit 100""))"),233.4197)</f>
        <v>233.4197</v>
      </c>
      <c r="E461" s="45">
        <f>IFERROR(__xludf.DUMMYFUNCTION("AVERAGE(QUERY(SORT(GOOGLEFINANCE(A461,""price"",TODAY()-500,TODAY()),1,0),""select Col2 limit 200""))"),255.91105)</f>
        <v>255.91105</v>
      </c>
      <c r="F461" s="46" t="str">
        <f t="shared" si="1"/>
        <v>In Bull Run</v>
      </c>
      <c r="G461" s="47">
        <f t="shared" si="2"/>
        <v>1.597801267</v>
      </c>
      <c r="H461" s="48" t="str">
        <f t="shared" si="3"/>
        <v>Inverted ✗</v>
      </c>
      <c r="I461" s="48">
        <f t="shared" si="4"/>
        <v>0</v>
      </c>
      <c r="J461" s="48">
        <f t="shared" si="5"/>
        <v>2</v>
      </c>
      <c r="K461" s="49" t="str">
        <f>IFERROR(__xludf.DUMMYFUNCTION("IFERROR(IF(A461="""",""ENTER STOCK"",LET(stock,A461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61" s="48">
        <f t="shared" si="6"/>
        <v>0</v>
      </c>
      <c r="M461" s="48">
        <f t="shared" si="7"/>
        <v>1</v>
      </c>
      <c r="N461" s="50">
        <f t="shared" si="8"/>
        <v>3</v>
      </c>
      <c r="P461" s="46" t="str">
        <f t="shared" si="9"/>
        <v>SKIP</v>
      </c>
      <c r="Q461" s="52"/>
      <c r="R461" s="53">
        <f t="shared" si="10"/>
        <v>15</v>
      </c>
      <c r="S461" s="53">
        <f>IFERROR(__xludf.DUMMYFUNCTION("IFERROR(ROUND(GOOGLEFINANCE(A461,""volume"")/GOOGLEFINANCE(A461,""volumeavg""),2),"""")"),1.16)</f>
        <v>1.16</v>
      </c>
      <c r="T461" s="53" t="str">
        <f t="shared" si="11"/>
        <v>LOW VOL</v>
      </c>
      <c r="U461" s="53">
        <f>IFERROR(__xludf.DUMMYFUNCTION("IFERROR(
  LET(
    sd, GOOGLEFINANCE(A461,""close"",TODAY()-100,TODAY()),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"""")"),0.25)</f>
        <v>0.25</v>
      </c>
      <c r="V461" s="53" t="str">
        <f t="shared" si="12"/>
        <v>SLOW</v>
      </c>
      <c r="W461" s="53">
        <f>IFERROR(__xludf.DUMMYFUNCTION("IFERROR(ROUND((B461/GOOGLEFINANCE(A461,""high52"")-1)*100,1),"""")"),-19.8)</f>
        <v>-19.8</v>
      </c>
      <c r="X461" s="53">
        <f>IFERROR(__xludf.DUMMYFUNCTION("IFERROR(ROUND((B461-GOOGLEFINANCE(A461,""low52""))/(GOOGLEFINANCE(A461,""high52"")-GOOGLEFINANCE(A461,""low52""))*100,1),"""")"),57.6)</f>
        <v>57.6</v>
      </c>
      <c r="Y461" s="53" t="str">
        <f t="shared" si="13"/>
        <v>UPPER</v>
      </c>
      <c r="Z461" s="53">
        <f>IFERROR(__xludf.DUMMYFUNCTION("IFERROR(ROUND(((B461 / INDEX(GOOGLEFINANCE(TRIM(A461), ""price"", TODAY()-34, TODAY()), 2, 2)) - (GOOGLEFINANCE(""NIFTY_50"") / INDEX(GOOGLEFINANCE(""NIFTY_50"", ""price"", TODAY()-34, TODAY()), 2, 2))) * 100, 2), ""Check History"")"),24.43)</f>
        <v>24.43</v>
      </c>
      <c r="AA461" s="53" t="str">
        <f t="shared" si="14"/>
        <v>STRONG RS</v>
      </c>
      <c r="AB461" s="53">
        <f>IFERROR(__xludf.DUMMYFUNCTION("IFERROR(LET(
  p, QUERY(GOOGLEFINANCE(TRIM(A461),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Loading"")"),44.2)</f>
        <v>44.2</v>
      </c>
      <c r="AC461" s="53" t="str">
        <f t="shared" si="15"/>
        <v>WEAK MOM</v>
      </c>
      <c r="AD461" s="53" t="str">
        <f>IFERROR(__xludf.DUMMYFUNCTION("IFERROR(IF(GOOGLEFINANCE(A461,""eps"")&gt;0,""EPS+"",""EPS-""),"""")"),"EPS+")</f>
        <v>EPS+</v>
      </c>
      <c r="AE461" s="53">
        <f t="shared" si="16"/>
        <v>4</v>
      </c>
      <c r="AF461" s="53">
        <f>IFERROR(__xludf.DUMMYFUNCTION("IFERROR(N461+IF(S461&gt;=1.2,1,0)+IF(U461&gt;=1,1,0)+IF(Z461&gt;0,1,0)+IF(AND(W461&gt;=-20,W461&lt;=0),1,0)+IF(IFERROR(GOOGLEFINANCE(A461,""eps""),0)&gt;0,1,0),"""")"),6.0)</f>
        <v>6</v>
      </c>
      <c r="AG461" s="53" t="str">
        <f t="shared" si="17"/>
        <v>WATCH</v>
      </c>
    </row>
    <row r="462" ht="15.75" customHeight="1">
      <c r="A462" s="55" t="s">
        <v>629</v>
      </c>
      <c r="B462" s="44">
        <f>IFERROR(__xludf.DUMMYFUNCTION("GOOGLEFINANCE(A462,""price"")"),444.0)</f>
        <v>444</v>
      </c>
      <c r="C462" s="45">
        <f>IFERROR(__xludf.DUMMYFUNCTION("AVERAGE(QUERY(SORT(GOOGLEFINANCE(A462,""price"",TODAY()-150,TODAY()),1,0),""select Col2 limit 50""))"),468.845)</f>
        <v>468.845</v>
      </c>
      <c r="D462" s="45">
        <f>IFERROR(__xludf.DUMMYFUNCTION("AVERAGE(QUERY(SORT(GOOGLEFINANCE(A462,""price"",TODAY()-300,TODAY()),1,0),""select Col2 limit 100""))"),478.81249999999994)</f>
        <v>478.8125</v>
      </c>
      <c r="E462" s="45">
        <f>IFERROR(__xludf.DUMMYFUNCTION("AVERAGE(QUERY(SORT(GOOGLEFINANCE(A462,""price"",TODAY()-500,TODAY()),1,0),""select Col2 limit 200""))"),487.434)</f>
        <v>487.434</v>
      </c>
      <c r="F462" s="46" t="str">
        <f t="shared" si="1"/>
        <v>In Bear Run</v>
      </c>
      <c r="G462" s="47">
        <f t="shared" si="2"/>
        <v>-8.910744839</v>
      </c>
      <c r="H462" s="48" t="str">
        <f t="shared" si="3"/>
        <v>Inverted ✗</v>
      </c>
      <c r="I462" s="48">
        <f t="shared" si="4"/>
        <v>0</v>
      </c>
      <c r="J462" s="48">
        <f t="shared" si="5"/>
        <v>0</v>
      </c>
      <c r="K462" s="49" t="str">
        <f>IFERROR(__xludf.DUMMYFUNCTION("IFERROR(IF(A462="""",""ENTER STOCK"",LET(stock,A462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62" s="48">
        <f t="shared" si="6"/>
        <v>0</v>
      </c>
      <c r="M462" s="48">
        <f t="shared" si="7"/>
        <v>1</v>
      </c>
      <c r="N462" s="50">
        <f t="shared" si="8"/>
        <v>1</v>
      </c>
      <c r="P462" s="46" t="str">
        <f t="shared" si="9"/>
        <v>REVERSE TRADE</v>
      </c>
      <c r="Q462" s="52"/>
      <c r="R462" s="53">
        <f t="shared" si="10"/>
        <v>15</v>
      </c>
      <c r="S462" s="53">
        <f>IFERROR(__xludf.DUMMYFUNCTION("IFERROR(ROUND(GOOGLEFINANCE(A462,""volume"")/GOOGLEFINANCE(A462,""volumeavg""),2),"""")"),0.89)</f>
        <v>0.89</v>
      </c>
      <c r="T462" s="53" t="str">
        <f t="shared" si="11"/>
        <v>LOW VOL</v>
      </c>
      <c r="U462" s="53">
        <f>IFERROR(__xludf.DUMMYFUNCTION("IFERROR(
  LET(
    sd, GOOGLEFINANCE(A462,""close"",TODAY()-100,TODAY()),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"""")"),0.7)</f>
        <v>0.7</v>
      </c>
      <c r="V462" s="53" t="str">
        <f t="shared" si="12"/>
        <v>SLOW</v>
      </c>
      <c r="W462" s="53">
        <f>IFERROR(__xludf.DUMMYFUNCTION("IFERROR(ROUND((B462/GOOGLEFINANCE(A462,""high52"")-1)*100,1),"""")"),-18.9)</f>
        <v>-18.9</v>
      </c>
      <c r="X462" s="53">
        <f>IFERROR(__xludf.DUMMYFUNCTION("IFERROR(ROUND((B462-GOOGLEFINANCE(A462,""low52""))/(GOOGLEFINANCE(A462,""high52"")-GOOGLEFINANCE(A462,""low52""))*100,1),"""")"),27.3)</f>
        <v>27.3</v>
      </c>
      <c r="Y462" s="53" t="str">
        <f t="shared" si="13"/>
        <v>UPPER</v>
      </c>
      <c r="Z462" s="53">
        <f>IFERROR(__xludf.DUMMYFUNCTION("IFERROR(ROUND(((B462 / INDEX(GOOGLEFINANCE(TRIM(A462), ""price"", TODAY()-34, TODAY()), 2, 2)) - (GOOGLEFINANCE(""NIFTY_50"") / INDEX(GOOGLEFINANCE(""NIFTY_50"", ""price"", TODAY()-34, TODAY()), 2, 2))) * 100, 2), ""Check History"")"),10.32)</f>
        <v>10.32</v>
      </c>
      <c r="AA462" s="53" t="str">
        <f t="shared" si="14"/>
        <v>STRONG RS</v>
      </c>
      <c r="AB462" s="53">
        <f>IFERROR(__xludf.DUMMYFUNCTION("IFERROR(LET(
  p, QUERY(GOOGLEFINANCE(TRIM(A462),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Loading"")"),51.9)</f>
        <v>51.9</v>
      </c>
      <c r="AC462" s="53" t="str">
        <f t="shared" si="15"/>
        <v>IDEAL ENTRY</v>
      </c>
      <c r="AD462" s="53" t="str">
        <f>IFERROR(__xludf.DUMMYFUNCTION("IFERROR(IF(GOOGLEFINANCE(A462,""eps"")&gt;0,""EPS+"",""EPS-""),"""")"),"EPS+")</f>
        <v>EPS+</v>
      </c>
      <c r="AE462" s="53">
        <f t="shared" si="16"/>
        <v>3</v>
      </c>
      <c r="AF462" s="53">
        <f>IFERROR(__xludf.DUMMYFUNCTION("IFERROR(N462+IF(S462&gt;=1.2,1,0)+IF(U462&gt;=1,1,0)+IF(Z462&gt;0,1,0)+IF(AND(W462&gt;=-20,W462&lt;=0),1,0)+IF(IFERROR(GOOGLEFINANCE(A462,""eps""),0)&gt;0,1,0),"""")"),4.0)</f>
        <v>4</v>
      </c>
      <c r="AG462" s="53" t="str">
        <f t="shared" si="17"/>
        <v>REVERSE TRADE</v>
      </c>
    </row>
    <row r="463" ht="15.75" customHeight="1">
      <c r="A463" s="55" t="s">
        <v>630</v>
      </c>
      <c r="B463" s="44">
        <f>IFERROR(__xludf.DUMMYFUNCTION("GOOGLEFINANCE(A463,""price"")"),88.25)</f>
        <v>88.25</v>
      </c>
      <c r="C463" s="45">
        <f>IFERROR(__xludf.DUMMYFUNCTION("AVERAGE(QUERY(SORT(GOOGLEFINANCE(A463,""price"",TODAY()-150,TODAY()),1,0),""select Col2 limit 50""))"),104.8276)</f>
        <v>104.8276</v>
      </c>
      <c r="D463" s="45">
        <f>IFERROR(__xludf.DUMMYFUNCTION("AVERAGE(QUERY(SORT(GOOGLEFINANCE(A463,""price"",TODAY()-300,TODAY()),1,0),""select Col2 limit 100""))"),116.29949999999997)</f>
        <v>116.2995</v>
      </c>
      <c r="E463" s="45">
        <f>IFERROR(__xludf.DUMMYFUNCTION("AVERAGE(QUERY(SORT(GOOGLEFINANCE(A463,""price"",TODAY()-500,TODAY()),1,0),""select Col2 limit 200""))"),129.48015706806277)</f>
        <v>129.4801571</v>
      </c>
      <c r="F463" s="46" t="str">
        <f t="shared" si="1"/>
        <v>In Bear Run</v>
      </c>
      <c r="G463" s="47">
        <f t="shared" si="2"/>
        <v>-31.84283832</v>
      </c>
      <c r="H463" s="48" t="str">
        <f t="shared" si="3"/>
        <v>Inverted ✗</v>
      </c>
      <c r="I463" s="48">
        <f t="shared" si="4"/>
        <v>0</v>
      </c>
      <c r="J463" s="48">
        <f t="shared" si="5"/>
        <v>0</v>
      </c>
      <c r="K463" s="49" t="str">
        <f>IFERROR(__xludf.DUMMYFUNCTION("IFERROR(IF(A463="""",""ENTER STOCK"",LET(stock,A463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63" s="48">
        <f t="shared" si="6"/>
        <v>0</v>
      </c>
      <c r="M463" s="48">
        <f t="shared" si="7"/>
        <v>1</v>
      </c>
      <c r="N463" s="50">
        <f t="shared" si="8"/>
        <v>1</v>
      </c>
      <c r="P463" s="46" t="str">
        <f t="shared" si="9"/>
        <v>REVERSE TRADE</v>
      </c>
      <c r="Q463" s="52"/>
      <c r="R463" s="53">
        <f t="shared" si="10"/>
        <v>15</v>
      </c>
      <c r="S463" s="53">
        <f>IFERROR(__xludf.DUMMYFUNCTION("IFERROR(ROUND(GOOGLEFINANCE(A463,""volume"")/GOOGLEFINANCE(A463,""volumeavg""),2),"""")"),1.11)</f>
        <v>1.11</v>
      </c>
      <c r="T463" s="53" t="str">
        <f t="shared" si="11"/>
        <v>LOW VOL</v>
      </c>
      <c r="U463" s="53">
        <f>IFERROR(__xludf.DUMMYFUNCTION("IFERROR(
  LET(
    sd, GOOGLEFINANCE(A463,""close"",TODAY()-100,TODAY()),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"""")"),1.39)</f>
        <v>1.39</v>
      </c>
      <c r="V463" s="53" t="str">
        <f t="shared" si="12"/>
        <v>FAST</v>
      </c>
      <c r="W463" s="53">
        <f>IFERROR(__xludf.DUMMYFUNCTION("IFERROR(ROUND((B463/GOOGLEFINANCE(A463,""high52"")-1)*100,1),"""")"),-49.6)</f>
        <v>-49.6</v>
      </c>
      <c r="X463" s="53">
        <f>IFERROR(__xludf.DUMMYFUNCTION("IFERROR(ROUND((B463-GOOGLEFINANCE(A463,""low52""))/(GOOGLEFINANCE(A463,""high52"")-GOOGLEFINANCE(A463,""low52""))*100,1),"""")"),0.4)</f>
        <v>0.4</v>
      </c>
      <c r="Y463" s="53" t="str">
        <f t="shared" si="13"/>
        <v>DEEP RECOVERY</v>
      </c>
      <c r="Z463" s="53">
        <f>IFERROR(__xludf.DUMMYFUNCTION("IFERROR(ROUND(((B463 / INDEX(GOOGLEFINANCE(TRIM(A463), ""price"", TODAY()-34, TODAY()), 2, 2)) - (GOOGLEFINANCE(""NIFTY_50"") / INDEX(GOOGLEFINANCE(""NIFTY_50"", ""price"", TODAY()-34, TODAY()), 2, 2))) * 100, 2), ""Check History"")"),-3.34)</f>
        <v>-3.34</v>
      </c>
      <c r="AA463" s="53" t="str">
        <f t="shared" si="14"/>
        <v>WEAK RS</v>
      </c>
      <c r="AB463" s="53">
        <f>IFERROR(__xludf.DUMMYFUNCTION("IFERROR(LET(
  p, QUERY(GOOGLEFINANCE(TRIM(A463),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Loading"")"),49.4)</f>
        <v>49.4</v>
      </c>
      <c r="AC463" s="53" t="str">
        <f t="shared" si="15"/>
        <v>IDEAL ENTRY</v>
      </c>
      <c r="AD463" s="53" t="str">
        <f>IFERROR(__xludf.DUMMYFUNCTION("IFERROR(IF(GOOGLEFINANCE(A463,""eps"")&gt;0,""EPS+"",""EPS-""),"""")"),"EPS+")</f>
        <v>EPS+</v>
      </c>
      <c r="AE463" s="53">
        <f t="shared" si="16"/>
        <v>4</v>
      </c>
      <c r="AF463" s="53">
        <f>IFERROR(__xludf.DUMMYFUNCTION("IFERROR(N463+IF(S463&gt;=1.2,1,0)+IF(U463&gt;=1,1,0)+IF(Z463&gt;0,1,0)+IF(AND(W463&gt;=-20,W463&lt;=0),1,0)+IF(IFERROR(GOOGLEFINANCE(A463,""eps""),0)&gt;0,1,0),"""")"),3.0)</f>
        <v>3</v>
      </c>
      <c r="AG463" s="53" t="str">
        <f t="shared" si="17"/>
        <v>REVERSE TRADE</v>
      </c>
    </row>
    <row r="464" ht="15.75" customHeight="1">
      <c r="A464" s="55" t="s">
        <v>631</v>
      </c>
      <c r="B464" s="44">
        <f>IFERROR(__xludf.DUMMYFUNCTION("GOOGLEFINANCE(A464,""price"")"),271.0)</f>
        <v>271</v>
      </c>
      <c r="C464" s="45">
        <f>IFERROR(__xludf.DUMMYFUNCTION("AVERAGE(QUERY(SORT(GOOGLEFINANCE(A464,""price"",TODAY()-150,TODAY()),1,0),""select Col2 limit 50""))"),312.31100000000004)</f>
        <v>312.311</v>
      </c>
      <c r="D464" s="45">
        <f>IFERROR(__xludf.DUMMYFUNCTION("AVERAGE(QUERY(SORT(GOOGLEFINANCE(A464,""price"",TODAY()-300,TODAY()),1,0),""select Col2 limit 100""))"),355.3039999999999)</f>
        <v>355.304</v>
      </c>
      <c r="E464" s="45">
        <f>IFERROR(__xludf.DUMMYFUNCTION("AVERAGE(QUERY(SORT(GOOGLEFINANCE(A464,""price"",TODAY()-500,TODAY()),1,0),""select Col2 limit 200""))"),395.47049999999996)</f>
        <v>395.4705</v>
      </c>
      <c r="F464" s="46" t="str">
        <f t="shared" si="1"/>
        <v>In Bear Run</v>
      </c>
      <c r="G464" s="47">
        <f t="shared" si="2"/>
        <v>-31.47402904</v>
      </c>
      <c r="H464" s="48" t="str">
        <f t="shared" si="3"/>
        <v>Inverted ✗</v>
      </c>
      <c r="I464" s="48">
        <f t="shared" si="4"/>
        <v>0</v>
      </c>
      <c r="J464" s="48">
        <f t="shared" si="5"/>
        <v>0</v>
      </c>
      <c r="K464" s="49" t="str">
        <f>IFERROR(__xludf.DUMMYFUNCTION("IFERROR(IF(A464="""",""ENTER STOCK"",LET(stock,A464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64" s="48">
        <f t="shared" si="6"/>
        <v>0</v>
      </c>
      <c r="M464" s="48">
        <f t="shared" si="7"/>
        <v>1</v>
      </c>
      <c r="N464" s="50">
        <f t="shared" si="8"/>
        <v>1</v>
      </c>
      <c r="P464" s="46" t="str">
        <f t="shared" si="9"/>
        <v>REVERSE TRADE</v>
      </c>
      <c r="Q464" s="52"/>
      <c r="R464" s="53">
        <f t="shared" si="10"/>
        <v>15</v>
      </c>
      <c r="S464" s="53">
        <f>IFERROR(__xludf.DUMMYFUNCTION("IFERROR(ROUND(GOOGLEFINANCE(A464,""volume"")/GOOGLEFINANCE(A464,""volumeavg""),2),"""")"),1.37)</f>
        <v>1.37</v>
      </c>
      <c r="T464" s="53" t="str">
        <f t="shared" si="11"/>
        <v>OK VOL</v>
      </c>
      <c r="U464" s="53">
        <f>IFERROR(__xludf.DUMMYFUNCTION("IFERROR(
  LET(
    sd, GOOGLEFINANCE(A464,""close"",TODAY()-100,TODAY()),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"""")"),0.73)</f>
        <v>0.73</v>
      </c>
      <c r="V464" s="53" t="str">
        <f t="shared" si="12"/>
        <v>SLOW</v>
      </c>
      <c r="W464" s="53">
        <f>IFERROR(__xludf.DUMMYFUNCTION("IFERROR(ROUND((B464/GOOGLEFINANCE(A464,""high52"")-1)*100,1),"""")"),-44.1)</f>
        <v>-44.1</v>
      </c>
      <c r="X464" s="53">
        <f>IFERROR(__xludf.DUMMYFUNCTION("IFERROR(ROUND((B464-GOOGLEFINANCE(A464,""low52""))/(GOOGLEFINANCE(A464,""high52"")-GOOGLEFINANCE(A464,""low52""))*100,1),"""")"),2.4)</f>
        <v>2.4</v>
      </c>
      <c r="Y464" s="53" t="str">
        <f t="shared" si="13"/>
        <v>DEEP RECOVERY</v>
      </c>
      <c r="Z464" s="53">
        <f>IFERROR(__xludf.DUMMYFUNCTION("IFERROR(ROUND(((B464 / INDEX(GOOGLEFINANCE(TRIM(A464), ""price"", TODAY()-34, TODAY()), 2, 2)) - (GOOGLEFINANCE(""NIFTY_50"") / INDEX(GOOGLEFINANCE(""NIFTY_50"", ""price"", TODAY()-34, TODAY()), 2, 2))) * 100, 2), ""Check History"")"),0.15)</f>
        <v>0.15</v>
      </c>
      <c r="AA464" s="53" t="str">
        <f t="shared" si="14"/>
        <v>MILD RS</v>
      </c>
      <c r="AB464" s="53">
        <f>IFERROR(__xludf.DUMMYFUNCTION("IFERROR(LET(
  p, QUERY(GOOGLEFINANCE(TRIM(A464),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Loading"")"),44.4)</f>
        <v>44.4</v>
      </c>
      <c r="AC464" s="53" t="str">
        <f t="shared" si="15"/>
        <v>WEAK MOM</v>
      </c>
      <c r="AD464" s="53" t="str">
        <f>IFERROR(__xludf.DUMMYFUNCTION("IFERROR(IF(GOOGLEFINANCE(A464,""eps"")&gt;0,""EPS+"",""EPS-""),"""")"),"EPS+")</f>
        <v>EPS+</v>
      </c>
      <c r="AE464" s="53">
        <f t="shared" si="16"/>
        <v>4</v>
      </c>
      <c r="AF464" s="53">
        <f>IFERROR(__xludf.DUMMYFUNCTION("IFERROR(N464+IF(S464&gt;=1.2,1,0)+IF(U464&gt;=1,1,0)+IF(Z464&gt;0,1,0)+IF(AND(W464&gt;=-20,W464&lt;=0),1,0)+IF(IFERROR(GOOGLEFINANCE(A464,""eps""),0)&gt;0,1,0),"""")"),4.0)</f>
        <v>4</v>
      </c>
      <c r="AG464" s="53" t="str">
        <f t="shared" si="17"/>
        <v>REVERSE TRADE</v>
      </c>
    </row>
    <row r="465" ht="15.75" customHeight="1">
      <c r="A465" s="55" t="s">
        <v>632</v>
      </c>
      <c r="B465" s="44">
        <f>IFERROR(__xludf.DUMMYFUNCTION("GOOGLEFINANCE(A465,""price"")"),3010.5)</f>
        <v>3010.5</v>
      </c>
      <c r="C465" s="45">
        <f>IFERROR(__xludf.DUMMYFUNCTION("AVERAGE(QUERY(SORT(GOOGLEFINANCE(A465,""price"",TODAY()-150,TODAY()),1,0),""select Col2 limit 50""))"),3026.787999999999)</f>
        <v>3026.788</v>
      </c>
      <c r="D465" s="45">
        <f>IFERROR(__xludf.DUMMYFUNCTION("AVERAGE(QUERY(SORT(GOOGLEFINANCE(A465,""price"",TODAY()-300,TODAY()),1,0),""select Col2 limit 100""))"),3018.0429999999997)</f>
        <v>3018.043</v>
      </c>
      <c r="E465" s="45">
        <f>IFERROR(__xludf.DUMMYFUNCTION("AVERAGE(QUERY(SORT(GOOGLEFINANCE(A465,""price"",TODAY()-500,TODAY()),1,0),""select Col2 limit 200""))"),2847.3025000000007)</f>
        <v>2847.3025</v>
      </c>
      <c r="F465" s="46" t="str">
        <f t="shared" si="1"/>
        <v>Unconfirmed</v>
      </c>
      <c r="G465" s="47">
        <f t="shared" si="2"/>
        <v>5.731653029</v>
      </c>
      <c r="H465" s="48" t="str">
        <f t="shared" si="3"/>
        <v>Golden ✓</v>
      </c>
      <c r="I465" s="48">
        <f t="shared" si="4"/>
        <v>3</v>
      </c>
      <c r="J465" s="48">
        <f t="shared" si="5"/>
        <v>4</v>
      </c>
      <c r="K465" s="49" t="str">
        <f>IFERROR(__xludf.DUMMYFUNCTION("IFERROR(IF(A465="""",""ENTER STOCK"",LET(stock,A465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65" s="48">
        <f t="shared" si="6"/>
        <v>0</v>
      </c>
      <c r="M465" s="48">
        <f t="shared" si="7"/>
        <v>1</v>
      </c>
      <c r="N465" s="50">
        <f t="shared" si="8"/>
        <v>8</v>
      </c>
      <c r="P465" s="46" t="str">
        <f t="shared" si="9"/>
        <v>WAIT</v>
      </c>
      <c r="Q465" s="52"/>
      <c r="R465" s="53">
        <f t="shared" si="10"/>
        <v>15</v>
      </c>
      <c r="S465" s="53">
        <f>IFERROR(__xludf.DUMMYFUNCTION("IFERROR(ROUND(GOOGLEFINANCE(A465,""volume"")/GOOGLEFINANCE(A465,""volumeavg""),2),"""")"),0.76)</f>
        <v>0.76</v>
      </c>
      <c r="T465" s="53" t="str">
        <f t="shared" si="11"/>
        <v>LOW VOL</v>
      </c>
      <c r="U465" s="53">
        <f>IFERROR(__xludf.DUMMYFUNCTION("IFERROR(
  LET(
    sd, GOOGLEFINANCE(A465,""close"",TODAY()-100,TODAY()),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"""")"),0.47)</f>
        <v>0.47</v>
      </c>
      <c r="V465" s="53" t="str">
        <f t="shared" si="12"/>
        <v>SLOW</v>
      </c>
      <c r="W465" s="53">
        <f>IFERROR(__xludf.DUMMYFUNCTION("IFERROR(ROUND((B465/GOOGLEFINANCE(A465,""high52"")-1)*100,1),"""")"),-9.4)</f>
        <v>-9.4</v>
      </c>
      <c r="X465" s="53">
        <f>IFERROR(__xludf.DUMMYFUNCTION("IFERROR(ROUND((B465-GOOGLEFINANCE(A465,""low52""))/(GOOGLEFINANCE(A465,""high52"")-GOOGLEFINANCE(A465,""low52""))*100,1),"""")"),81.9)</f>
        <v>81.9</v>
      </c>
      <c r="Y465" s="53" t="str">
        <f t="shared" si="13"/>
        <v>UPPER</v>
      </c>
      <c r="Z465" s="53">
        <f>IFERROR(__xludf.DUMMYFUNCTION("IFERROR(ROUND(((B465 / INDEX(GOOGLEFINANCE(TRIM(A465), ""price"", TODAY()-34, TODAY()), 2, 2)) - (GOOGLEFINANCE(""NIFTY_50"") / INDEX(GOOGLEFINANCE(""NIFTY_50"", ""price"", TODAY()-34, TODAY()), 2, 2))) * 100, 2), ""Check History"")"),10.66)</f>
        <v>10.66</v>
      </c>
      <c r="AA465" s="53" t="str">
        <f t="shared" si="14"/>
        <v>STRONG RS</v>
      </c>
      <c r="AB465" s="53">
        <f>IFERROR(__xludf.DUMMYFUNCTION("IFERROR(LET(
  p, QUERY(GOOGLEFINANCE(TRIM(A465),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Loading"")"),36.7)</f>
        <v>36.7</v>
      </c>
      <c r="AC465" s="53" t="str">
        <f t="shared" si="15"/>
        <v>WEAK MOM</v>
      </c>
      <c r="AD465" s="53" t="str">
        <f>IFERROR(__xludf.DUMMYFUNCTION("IFERROR(IF(GOOGLEFINANCE(A465,""eps"")&gt;0,""EPS+"",""EPS-""),"""")"),"EPS+")</f>
        <v>EPS+</v>
      </c>
      <c r="AE465" s="53">
        <f t="shared" si="16"/>
        <v>4</v>
      </c>
      <c r="AF465" s="53">
        <f>IFERROR(__xludf.DUMMYFUNCTION("IFERROR(N465+IF(S465&gt;=1.2,1,0)+IF(U465&gt;=1,1,0)+IF(Z465&gt;0,1,0)+IF(AND(W465&gt;=-20,W465&lt;=0),1,0)+IF(IFERROR(GOOGLEFINANCE(A465,""eps""),0)&gt;0,1,0),"""")"),11.0)</f>
        <v>11</v>
      </c>
      <c r="AG465" s="53" t="str">
        <f t="shared" si="17"/>
        <v>WAIT</v>
      </c>
    </row>
    <row r="466" ht="15.75" customHeight="1">
      <c r="A466" s="55" t="s">
        <v>633</v>
      </c>
      <c r="B466" s="44">
        <f>IFERROR(__xludf.DUMMYFUNCTION("GOOGLEFINANCE(A466,""price"")"),492.5)</f>
        <v>492.5</v>
      </c>
      <c r="C466" s="45">
        <f>IFERROR(__xludf.DUMMYFUNCTION("AVERAGE(QUERY(SORT(GOOGLEFINANCE(A466,""price"",TODAY()-150,TODAY()),1,0),""select Col2 limit 50""))"),459.0070000000001)</f>
        <v>459.007</v>
      </c>
      <c r="D466" s="45">
        <f>IFERROR(__xludf.DUMMYFUNCTION("AVERAGE(QUERY(SORT(GOOGLEFINANCE(A466,""price"",TODAY()-300,TODAY()),1,0),""select Col2 limit 100""))"),451.75299999999993)</f>
        <v>451.753</v>
      </c>
      <c r="E466" s="45">
        <f>IFERROR(__xludf.DUMMYFUNCTION("AVERAGE(QUERY(SORT(GOOGLEFINANCE(A466,""price"",TODAY()-500,TODAY()),1,0),""select Col2 limit 200""))"),499.13799999999986)</f>
        <v>499.138</v>
      </c>
      <c r="F466" s="46" t="str">
        <f t="shared" si="1"/>
        <v>Unconfirmed</v>
      </c>
      <c r="G466" s="47">
        <f t="shared" si="2"/>
        <v>-1.329892735</v>
      </c>
      <c r="H466" s="48" t="str">
        <f t="shared" si="3"/>
        <v>Inverted ✗</v>
      </c>
      <c r="I466" s="48">
        <f t="shared" si="4"/>
        <v>0</v>
      </c>
      <c r="J466" s="48">
        <f t="shared" si="5"/>
        <v>0</v>
      </c>
      <c r="K466" s="49" t="str">
        <f>IFERROR(__xludf.DUMMYFUNCTION("IFERROR(IF(A466="""",""ENTER STOCK"",LET(stock,A466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66" s="48">
        <f t="shared" si="6"/>
        <v>0</v>
      </c>
      <c r="M466" s="48">
        <f t="shared" si="7"/>
        <v>1</v>
      </c>
      <c r="N466" s="50">
        <f t="shared" si="8"/>
        <v>1</v>
      </c>
      <c r="P466" s="46" t="str">
        <f t="shared" si="9"/>
        <v>WAIT</v>
      </c>
      <c r="Q466" s="52"/>
      <c r="R466" s="53">
        <f t="shared" si="10"/>
        <v>15</v>
      </c>
      <c r="S466" s="53">
        <f>IFERROR(__xludf.DUMMYFUNCTION("IFERROR(ROUND(GOOGLEFINANCE(A466,""volume"")/GOOGLEFINANCE(A466,""volumeavg""),2),"""")"),1.46)</f>
        <v>1.46</v>
      </c>
      <c r="T466" s="53" t="str">
        <f t="shared" si="11"/>
        <v>OK VOL</v>
      </c>
      <c r="U466" s="53">
        <f>IFERROR(__xludf.DUMMYFUNCTION("IFERROR(
  LET(
    sd, GOOGLEFINANCE(A466,""close"",TODAY()-100,TODAY()),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"""")"),0.51)</f>
        <v>0.51</v>
      </c>
      <c r="V466" s="53" t="str">
        <f t="shared" si="12"/>
        <v>SLOW</v>
      </c>
      <c r="W466" s="53">
        <f>IFERROR(__xludf.DUMMYFUNCTION("IFERROR(ROUND((B466/GOOGLEFINANCE(A466,""high52"")-1)*100,1),"""")"),-21.6)</f>
        <v>-21.6</v>
      </c>
      <c r="X466" s="53">
        <f>IFERROR(__xludf.DUMMYFUNCTION("IFERROR(ROUND((B466-GOOGLEFINANCE(A466,""low52""))/(GOOGLEFINANCE(A466,""high52"")-GOOGLEFINANCE(A466,""low52""))*100,1),"""")"),42.2)</f>
        <v>42.2</v>
      </c>
      <c r="Y466" s="53" t="str">
        <f t="shared" si="13"/>
        <v>MID</v>
      </c>
      <c r="Z466" s="53">
        <f>IFERROR(__xludf.DUMMYFUNCTION("IFERROR(ROUND(((B466 / INDEX(GOOGLEFINANCE(TRIM(A466), ""price"", TODAY()-34, TODAY()), 2, 2)) - (GOOGLEFINANCE(""NIFTY_50"") / INDEX(GOOGLEFINANCE(""NIFTY_50"", ""price"", TODAY()-34, TODAY()), 2, 2))) * 100, 2), ""Check History"")"),19.95)</f>
        <v>19.95</v>
      </c>
      <c r="AA466" s="53" t="str">
        <f t="shared" si="14"/>
        <v>STRONG RS</v>
      </c>
      <c r="AB466" s="53">
        <f>IFERROR(__xludf.DUMMYFUNCTION("IFERROR(LET(
  p, QUERY(GOOGLEFINANCE(TRIM(A466),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Loading"")"),51.4)</f>
        <v>51.4</v>
      </c>
      <c r="AC466" s="53" t="str">
        <f t="shared" si="15"/>
        <v>IDEAL ENTRY</v>
      </c>
      <c r="AD466" s="53" t="str">
        <f>IFERROR(__xludf.DUMMYFUNCTION("IFERROR(IF(GOOGLEFINANCE(A466,""eps"")&gt;0,""EPS+"",""EPS-""),"""")"),"EPS+")</f>
        <v>EPS+</v>
      </c>
      <c r="AE466" s="53">
        <f t="shared" si="16"/>
        <v>4</v>
      </c>
      <c r="AF466" s="53">
        <f>IFERROR(__xludf.DUMMYFUNCTION("IFERROR(N466+IF(S466&gt;=1.2,1,0)+IF(U466&gt;=1,1,0)+IF(Z466&gt;0,1,0)+IF(AND(W466&gt;=-20,W466&lt;=0),1,0)+IF(IFERROR(GOOGLEFINANCE(A466,""eps""),0)&gt;0,1,0),"""")"),4.0)</f>
        <v>4</v>
      </c>
      <c r="AG466" s="53" t="str">
        <f t="shared" si="17"/>
        <v>WAIT</v>
      </c>
    </row>
    <row r="467" ht="15.75" customHeight="1">
      <c r="A467" s="55" t="s">
        <v>634</v>
      </c>
      <c r="B467" s="44">
        <f>IFERROR(__xludf.DUMMYFUNCTION("GOOGLEFINANCE(A467,""price"")"),607.0)</f>
        <v>607</v>
      </c>
      <c r="C467" s="45">
        <f>IFERROR(__xludf.DUMMYFUNCTION("AVERAGE(QUERY(SORT(GOOGLEFINANCE(A467,""price"",TODAY()-150,TODAY()),1,0),""select Col2 limit 50""))"),790.8719999999998)</f>
        <v>790.872</v>
      </c>
      <c r="D467" s="45">
        <f>IFERROR(__xludf.DUMMYFUNCTION("AVERAGE(QUERY(SORT(GOOGLEFINANCE(A467,""price"",TODAY()-300,TODAY()),1,0),""select Col2 limit 100""))"),885.1744999999999)</f>
        <v>885.1745</v>
      </c>
      <c r="E467" s="45">
        <f>IFERROR(__xludf.DUMMYFUNCTION("AVERAGE(QUERY(SORT(GOOGLEFINANCE(A467,""price"",TODAY()-500,TODAY()),1,0),""select Col2 limit 200""))"),1037.1092500000004)</f>
        <v>1037.10925</v>
      </c>
      <c r="F467" s="46" t="str">
        <f t="shared" si="1"/>
        <v>In Bear Run</v>
      </c>
      <c r="G467" s="47">
        <f t="shared" si="2"/>
        <v>-41.47193268</v>
      </c>
      <c r="H467" s="48" t="str">
        <f t="shared" si="3"/>
        <v>Inverted ✗</v>
      </c>
      <c r="I467" s="48">
        <f t="shared" si="4"/>
        <v>0</v>
      </c>
      <c r="J467" s="48">
        <f t="shared" si="5"/>
        <v>0</v>
      </c>
      <c r="K467" s="49" t="str">
        <f>IFERROR(__xludf.DUMMYFUNCTION("IFERROR(IF(A467="""",""ENTER STOCK"",LET(stock,A467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67" s="48">
        <f t="shared" si="6"/>
        <v>0</v>
      </c>
      <c r="M467" s="48">
        <f t="shared" si="7"/>
        <v>1</v>
      </c>
      <c r="N467" s="50">
        <f t="shared" si="8"/>
        <v>1</v>
      </c>
      <c r="P467" s="46" t="str">
        <f t="shared" si="9"/>
        <v>REVERSE TRADE</v>
      </c>
      <c r="Q467" s="52"/>
      <c r="R467" s="53">
        <f t="shared" si="10"/>
        <v>15</v>
      </c>
      <c r="S467" s="53">
        <f>IFERROR(__xludf.DUMMYFUNCTION("IFERROR(ROUND(GOOGLEFINANCE(A467,""volume"")/GOOGLEFINANCE(A467,""volumeavg""),2),"""")"),1.3)</f>
        <v>1.3</v>
      </c>
      <c r="T467" s="53" t="str">
        <f t="shared" si="11"/>
        <v>OK VOL</v>
      </c>
      <c r="U467" s="53">
        <f>IFERROR(__xludf.DUMMYFUNCTION("IFERROR(
  LET(
    sd, GOOGLEFINANCE(A467,""close"",TODAY()-100,TODAY()),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"""")"),1.09)</f>
        <v>1.09</v>
      </c>
      <c r="V467" s="53" t="str">
        <f t="shared" si="12"/>
        <v>MEDIUM</v>
      </c>
      <c r="W467" s="53">
        <f>IFERROR(__xludf.DUMMYFUNCTION("IFERROR(ROUND((B467/GOOGLEFINANCE(A467,""high52"")-1)*100,1),"""")"),-53.3)</f>
        <v>-53.3</v>
      </c>
      <c r="X467" s="53">
        <f>IFERROR(__xludf.DUMMYFUNCTION("IFERROR(ROUND((B467-GOOGLEFINANCE(A467,""low52""))/(GOOGLEFINANCE(A467,""high52"")-GOOGLEFINANCE(A467,""low52""))*100,1),"""")"),0.3)</f>
        <v>0.3</v>
      </c>
      <c r="Y467" s="53" t="str">
        <f t="shared" si="13"/>
        <v>DEEP RECOVERY</v>
      </c>
      <c r="Z467" s="53">
        <f>IFERROR(__xludf.DUMMYFUNCTION("IFERROR(ROUND(((B467 / INDEX(GOOGLEFINANCE(TRIM(A467), ""price"", TODAY()-34, TODAY()), 2, 2)) - (GOOGLEFINANCE(""NIFTY_50"") / INDEX(GOOGLEFINANCE(""NIFTY_50"", ""price"", TODAY()-34, TODAY()), 2, 2))) * 100, 2), ""Check History"")"),-11.87)</f>
        <v>-11.87</v>
      </c>
      <c r="AA467" s="53" t="str">
        <f t="shared" si="14"/>
        <v>WEAK RS</v>
      </c>
      <c r="AB467" s="53">
        <f>IFERROR(__xludf.DUMMYFUNCTION("IFERROR(LET(
  p, QUERY(GOOGLEFINANCE(TRIM(A467),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Loading"")"),37.0)</f>
        <v>37</v>
      </c>
      <c r="AC467" s="53" t="str">
        <f t="shared" si="15"/>
        <v>WEAK MOM</v>
      </c>
      <c r="AD467" s="53" t="str">
        <f>IFERROR(__xludf.DUMMYFUNCTION("IFERROR(IF(GOOGLEFINANCE(A467,""eps"")&gt;0,""EPS+"",""EPS-""),"""")"),"EPS+")</f>
        <v>EPS+</v>
      </c>
      <c r="AE467" s="53">
        <f t="shared" si="16"/>
        <v>4</v>
      </c>
      <c r="AF467" s="53">
        <f>IFERROR(__xludf.DUMMYFUNCTION("IFERROR(N467+IF(S467&gt;=1.2,1,0)+IF(U467&gt;=1,1,0)+IF(Z467&gt;0,1,0)+IF(AND(W467&gt;=-20,W467&lt;=0),1,0)+IF(IFERROR(GOOGLEFINANCE(A467,""eps""),0)&gt;0,1,0),"""")"),4.0)</f>
        <v>4</v>
      </c>
      <c r="AG467" s="53" t="str">
        <f t="shared" si="17"/>
        <v>REVERSE TRADE</v>
      </c>
    </row>
    <row r="468" ht="15.75" customHeight="1">
      <c r="A468" s="55" t="s">
        <v>635</v>
      </c>
      <c r="B468" s="44">
        <f>IFERROR(__xludf.DUMMYFUNCTION("GOOGLEFINANCE(A468,""price"")"),1319.0)</f>
        <v>1319</v>
      </c>
      <c r="C468" s="45">
        <f>IFERROR(__xludf.DUMMYFUNCTION("AVERAGE(QUERY(SORT(GOOGLEFINANCE(A468,""price"",TODAY()-150,TODAY()),1,0),""select Col2 limit 50""))"),1671.2140000000006)</f>
        <v>1671.214</v>
      </c>
      <c r="D468" s="45">
        <f>IFERROR(__xludf.DUMMYFUNCTION("AVERAGE(QUERY(SORT(GOOGLEFINANCE(A468,""price"",TODAY()-300,TODAY()),1,0),""select Col2 limit 100""))"),1772.9690000000003)</f>
        <v>1772.969</v>
      </c>
      <c r="E468" s="45">
        <f>IFERROR(__xludf.DUMMYFUNCTION("AVERAGE(QUERY(SORT(GOOGLEFINANCE(A468,""price"",TODAY()-500,TODAY()),1,0),""select Col2 limit 200""))"),1843.7859999999991)</f>
        <v>1843.786</v>
      </c>
      <c r="F468" s="46" t="str">
        <f t="shared" si="1"/>
        <v>In Bear Run</v>
      </c>
      <c r="G468" s="47">
        <f t="shared" si="2"/>
        <v>-28.46241375</v>
      </c>
      <c r="H468" s="48" t="str">
        <f t="shared" si="3"/>
        <v>Inverted ✗</v>
      </c>
      <c r="I468" s="48">
        <f t="shared" si="4"/>
        <v>0</v>
      </c>
      <c r="J468" s="48">
        <f t="shared" si="5"/>
        <v>0</v>
      </c>
      <c r="K468" s="49" t="str">
        <f>IFERROR(__xludf.DUMMYFUNCTION("IFERROR(IF(A468="""",""ENTER STOCK"",LET(stock,A468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68" s="48">
        <f t="shared" si="6"/>
        <v>0</v>
      </c>
      <c r="M468" s="48">
        <f t="shared" si="7"/>
        <v>1</v>
      </c>
      <c r="N468" s="50">
        <f t="shared" si="8"/>
        <v>1</v>
      </c>
      <c r="P468" s="46" t="str">
        <f t="shared" si="9"/>
        <v>REVERSE TRADE</v>
      </c>
      <c r="Q468" s="52"/>
      <c r="R468" s="53">
        <f t="shared" si="10"/>
        <v>15</v>
      </c>
      <c r="S468" s="53">
        <f>IFERROR(__xludf.DUMMYFUNCTION("IFERROR(ROUND(GOOGLEFINANCE(A468,""volume"")/GOOGLEFINANCE(A468,""volumeavg""),2),"""")"),1.82)</f>
        <v>1.82</v>
      </c>
      <c r="T468" s="53" t="str">
        <f t="shared" si="11"/>
        <v>HIGH VOL</v>
      </c>
      <c r="U468" s="53">
        <f>IFERROR(__xludf.DUMMYFUNCTION("IFERROR(
  LET(
    sd, GOOGLEFINANCE(A468,""close"",TODAY()-100,TODAY()),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"""")"),1.28)</f>
        <v>1.28</v>
      </c>
      <c r="V468" s="53" t="str">
        <f t="shared" si="12"/>
        <v>FAST</v>
      </c>
      <c r="W468" s="53">
        <f>IFERROR(__xludf.DUMMYFUNCTION("IFERROR(ROUND((B468/GOOGLEFINANCE(A468,""high52"")-1)*100,1),"""")"),-38.8)</f>
        <v>-38.8</v>
      </c>
      <c r="X468" s="53">
        <f>IFERROR(__xludf.DUMMYFUNCTION("IFERROR(ROUND((B468-GOOGLEFINANCE(A468,""low52""))/(GOOGLEFINANCE(A468,""high52"")-GOOGLEFINANCE(A468,""low52""))*100,1),"""")"),0.5)</f>
        <v>0.5</v>
      </c>
      <c r="Y468" s="53" t="str">
        <f t="shared" si="13"/>
        <v>MID</v>
      </c>
      <c r="Z468" s="53">
        <f>IFERROR(__xludf.DUMMYFUNCTION("IFERROR(ROUND(((B468 / INDEX(GOOGLEFINANCE(TRIM(A468), ""price"", TODAY()-34, TODAY()), 2, 2)) - (GOOGLEFINANCE(""NIFTY_50"") / INDEX(GOOGLEFINANCE(""NIFTY_50"", ""price"", TODAY()-34, TODAY()), 2, 2))) * 100, 2), ""Check History"")"),-13.16)</f>
        <v>-13.16</v>
      </c>
      <c r="AA468" s="53" t="str">
        <f t="shared" si="14"/>
        <v>WEAK RS</v>
      </c>
      <c r="AB468" s="53">
        <f>IFERROR(__xludf.DUMMYFUNCTION("IFERROR(LET(
  p, QUERY(GOOGLEFINANCE(TRIM(A468),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Loading"")"),23.9)</f>
        <v>23.9</v>
      </c>
      <c r="AC468" s="53" t="str">
        <f t="shared" si="15"/>
        <v>WEAK MOM</v>
      </c>
      <c r="AD468" s="53" t="str">
        <f>IFERROR(__xludf.DUMMYFUNCTION("IFERROR(IF(GOOGLEFINANCE(A468,""eps"")&gt;0,""EPS+"",""EPS-""),"""")"),"EPS+")</f>
        <v>EPS+</v>
      </c>
      <c r="AE468" s="53">
        <f t="shared" si="16"/>
        <v>6</v>
      </c>
      <c r="AF468" s="53">
        <f>IFERROR(__xludf.DUMMYFUNCTION("IFERROR(N468+IF(S468&gt;=1.2,1,0)+IF(U468&gt;=1,1,0)+IF(Z468&gt;0,1,0)+IF(AND(W468&gt;=-20,W468&lt;=0),1,0)+IF(IFERROR(GOOGLEFINANCE(A468,""eps""),0)&gt;0,1,0),"""")"),4.0)</f>
        <v>4</v>
      </c>
      <c r="AG468" s="53" t="str">
        <f t="shared" si="17"/>
        <v>REVERSE TRADE</v>
      </c>
    </row>
    <row r="469" ht="15.75" customHeight="1">
      <c r="A469" s="55" t="s">
        <v>636</v>
      </c>
      <c r="B469" s="44">
        <f>IFERROR(__xludf.DUMMYFUNCTION("GOOGLEFINANCE(A469,""price"")"),651.7)</f>
        <v>651.7</v>
      </c>
      <c r="C469" s="45">
        <f>IFERROR(__xludf.DUMMYFUNCTION("AVERAGE(QUERY(SORT(GOOGLEFINANCE(A469,""price"",TODAY()-150,TODAY()),1,0),""select Col2 limit 50""))"),725.1860000000001)</f>
        <v>725.186</v>
      </c>
      <c r="D469" s="45">
        <f>IFERROR(__xludf.DUMMYFUNCTION("AVERAGE(QUERY(SORT(GOOGLEFINANCE(A469,""price"",TODAY()-300,TODAY()),1,0),""select Col2 limit 100""))"),814.0019999999997)</f>
        <v>814.002</v>
      </c>
      <c r="E469" s="45">
        <f>IFERROR(__xludf.DUMMYFUNCTION("AVERAGE(QUERY(SORT(GOOGLEFINANCE(A469,""price"",TODAY()-500,TODAY()),1,0),""select Col2 limit 200""))"),911.9484999999996)</f>
        <v>911.9485</v>
      </c>
      <c r="F469" s="46" t="str">
        <f t="shared" si="1"/>
        <v>In Bear Run</v>
      </c>
      <c r="G469" s="47">
        <f t="shared" si="2"/>
        <v>-28.53763124</v>
      </c>
      <c r="H469" s="48" t="str">
        <f t="shared" si="3"/>
        <v>Inverted ✗</v>
      </c>
      <c r="I469" s="48">
        <f t="shared" si="4"/>
        <v>0</v>
      </c>
      <c r="J469" s="48">
        <f t="shared" si="5"/>
        <v>0</v>
      </c>
      <c r="K469" s="49" t="str">
        <f>IFERROR(__xludf.DUMMYFUNCTION("IFERROR(IF(A469="""",""ENTER STOCK"",LET(stock,A469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69" s="48">
        <f t="shared" si="6"/>
        <v>0</v>
      </c>
      <c r="M469" s="48">
        <f t="shared" si="7"/>
        <v>1</v>
      </c>
      <c r="N469" s="50">
        <f t="shared" si="8"/>
        <v>1</v>
      </c>
      <c r="P469" s="46" t="str">
        <f t="shared" si="9"/>
        <v>REVERSE TRADE</v>
      </c>
      <c r="Q469" s="52"/>
      <c r="R469" s="53">
        <f t="shared" si="10"/>
        <v>15</v>
      </c>
      <c r="S469" s="53">
        <f>IFERROR(__xludf.DUMMYFUNCTION("IFERROR(ROUND(GOOGLEFINANCE(A469,""volume"")/GOOGLEFINANCE(A469,""volumeavg""),2),"""")"),1.7)</f>
        <v>1.7</v>
      </c>
      <c r="T469" s="53" t="str">
        <f t="shared" si="11"/>
        <v>HIGH VOL</v>
      </c>
      <c r="U469" s="53">
        <f>IFERROR(__xludf.DUMMYFUNCTION("IFERROR(
  LET(
    sd, GOOGLEFINANCE(A469,""close"",TODAY()-100,TODAY()),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"""")"),1.2)</f>
        <v>1.2</v>
      </c>
      <c r="V469" s="53" t="str">
        <f t="shared" si="12"/>
        <v>FAST</v>
      </c>
      <c r="W469" s="53">
        <f>IFERROR(__xludf.DUMMYFUNCTION("IFERROR(ROUND((B469/GOOGLEFINANCE(A469,""high52"")-1)*100,1),"""")"),-51.1)</f>
        <v>-51.1</v>
      </c>
      <c r="X469" s="53">
        <f>IFERROR(__xludf.DUMMYFUNCTION("IFERROR(ROUND((B469-GOOGLEFINANCE(A469,""low52""))/(GOOGLEFINANCE(A469,""high52"")-GOOGLEFINANCE(A469,""low52""))*100,1),"""")"),6.9)</f>
        <v>6.9</v>
      </c>
      <c r="Y469" s="53" t="str">
        <f t="shared" si="13"/>
        <v>DEEP RECOVERY</v>
      </c>
      <c r="Z469" s="53">
        <f>IFERROR(__xludf.DUMMYFUNCTION("IFERROR(ROUND(((B469 / INDEX(GOOGLEFINANCE(TRIM(A469), ""price"", TODAY()-34, TODAY()), 2, 2)) - (GOOGLEFINANCE(""NIFTY_50"") / INDEX(GOOGLEFINANCE(""NIFTY_50"", ""price"", TODAY()-34, TODAY()), 2, 2))) * 100, 2), ""Check History"")"),1.46)</f>
        <v>1.46</v>
      </c>
      <c r="AA469" s="53" t="str">
        <f t="shared" si="14"/>
        <v>MILD RS</v>
      </c>
      <c r="AB469" s="53">
        <f>IFERROR(__xludf.DUMMYFUNCTION("IFERROR(LET(
  p, QUERY(GOOGLEFINANCE(TRIM(A469),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Loading"")"),54.4)</f>
        <v>54.4</v>
      </c>
      <c r="AC469" s="53" t="str">
        <f t="shared" si="15"/>
        <v>IDEAL ENTRY</v>
      </c>
      <c r="AD469" s="53" t="str">
        <f>IFERROR(__xludf.DUMMYFUNCTION("IFERROR(IF(GOOGLEFINANCE(A469,""eps"")&gt;0,""EPS+"",""EPS-""),"""")"),"EPS+")</f>
        <v>EPS+</v>
      </c>
      <c r="AE469" s="53">
        <f t="shared" si="16"/>
        <v>7</v>
      </c>
      <c r="AF469" s="53">
        <f>IFERROR(__xludf.DUMMYFUNCTION("IFERROR(N469+IF(S469&gt;=1.2,1,0)+IF(U469&gt;=1,1,0)+IF(Z469&gt;0,1,0)+IF(AND(W469&gt;=-20,W469&lt;=0),1,0)+IF(IFERROR(GOOGLEFINANCE(A469,""eps""),0)&gt;0,1,0),"""")"),5.0)</f>
        <v>5</v>
      </c>
      <c r="AG469" s="53" t="str">
        <f t="shared" si="17"/>
        <v>REVERSE TRADE</v>
      </c>
    </row>
    <row r="470" ht="15.75" customHeight="1">
      <c r="A470" s="55" t="s">
        <v>637</v>
      </c>
      <c r="B470" s="44">
        <f>IFERROR(__xludf.DUMMYFUNCTION("GOOGLEFINANCE(A470,""price"")"),804.0)</f>
        <v>804</v>
      </c>
      <c r="C470" s="45">
        <f>IFERROR(__xludf.DUMMYFUNCTION("AVERAGE(QUERY(SORT(GOOGLEFINANCE(A470,""price"",TODAY()-150,TODAY()),1,0),""select Col2 limit 50""))"),1126.5260000000003)</f>
        <v>1126.526</v>
      </c>
      <c r="D470" s="45">
        <f>IFERROR(__xludf.DUMMYFUNCTION("AVERAGE(QUERY(SORT(GOOGLEFINANCE(A470,""price"",TODAY()-300,TODAY()),1,0),""select Col2 limit 100""))"),1407.8559999999998)</f>
        <v>1407.856</v>
      </c>
      <c r="E470" s="45">
        <f>IFERROR(__xludf.DUMMYFUNCTION("AVERAGE(QUERY(SORT(GOOGLEFINANCE(A470,""price"",TODAY()-500,TODAY()),1,0),""select Col2 limit 200""))"),1578.27)</f>
        <v>1578.27</v>
      </c>
      <c r="F470" s="46" t="str">
        <f t="shared" si="1"/>
        <v>In Bear Run</v>
      </c>
      <c r="G470" s="47">
        <f t="shared" si="2"/>
        <v>-49.05814594</v>
      </c>
      <c r="H470" s="48" t="str">
        <f t="shared" si="3"/>
        <v>Inverted ✗</v>
      </c>
      <c r="I470" s="48">
        <f t="shared" si="4"/>
        <v>0</v>
      </c>
      <c r="J470" s="48">
        <f t="shared" si="5"/>
        <v>0</v>
      </c>
      <c r="K470" s="49" t="str">
        <f>IFERROR(__xludf.DUMMYFUNCTION("IFERROR(IF(A470="""",""ENTER STOCK"",LET(stock,A470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70" s="48">
        <f t="shared" si="6"/>
        <v>0</v>
      </c>
      <c r="M470" s="48">
        <f t="shared" si="7"/>
        <v>1</v>
      </c>
      <c r="N470" s="50">
        <f t="shared" si="8"/>
        <v>1</v>
      </c>
      <c r="P470" s="46" t="str">
        <f t="shared" si="9"/>
        <v>REVERSE TRADE</v>
      </c>
      <c r="Q470" s="52"/>
      <c r="R470" s="53">
        <f t="shared" si="10"/>
        <v>15</v>
      </c>
      <c r="S470" s="53">
        <f>IFERROR(__xludf.DUMMYFUNCTION("IFERROR(ROUND(GOOGLEFINANCE(A470,""volume"")/GOOGLEFINANCE(A470,""volumeavg""),2),"""")"),0.89)</f>
        <v>0.89</v>
      </c>
      <c r="T470" s="53" t="str">
        <f t="shared" si="11"/>
        <v>LOW VOL</v>
      </c>
      <c r="U470" s="53">
        <f>IFERROR(__xludf.DUMMYFUNCTION("IFERROR(
  LET(
    sd, GOOGLEFINANCE(A470,""close"",TODAY()-100,TODAY()),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"""")"),1.23)</f>
        <v>1.23</v>
      </c>
      <c r="V470" s="53" t="str">
        <f t="shared" si="12"/>
        <v>FAST</v>
      </c>
      <c r="W470" s="53">
        <f>IFERROR(__xludf.DUMMYFUNCTION("IFERROR(ROUND((B470/GOOGLEFINANCE(A470,""high52"")-1)*100,1),"""")"),-62.9)</f>
        <v>-62.9</v>
      </c>
      <c r="X470" s="53">
        <f>IFERROR(__xludf.DUMMYFUNCTION("IFERROR(ROUND((B470-GOOGLEFINANCE(A470,""low52""))/(GOOGLEFINANCE(A470,""high52"")-GOOGLEFINANCE(A470,""low52""))*100,1),"""")"),0.7)</f>
        <v>0.7</v>
      </c>
      <c r="Y470" s="53" t="str">
        <f t="shared" si="13"/>
        <v>DEEP RECOVERY</v>
      </c>
      <c r="Z470" s="53">
        <f>IFERROR(__xludf.DUMMYFUNCTION("IFERROR(ROUND(((B470 / INDEX(GOOGLEFINANCE(TRIM(A470), ""price"", TODAY()-34, TODAY()), 2, 2)) - (GOOGLEFINANCE(""NIFTY_50"") / INDEX(GOOGLEFINANCE(""NIFTY_50"", ""price"", TODAY()-34, TODAY()), 2, 2))) * 100, 2), ""Check History"")"),-13.07)</f>
        <v>-13.07</v>
      </c>
      <c r="AA470" s="53" t="str">
        <f t="shared" si="14"/>
        <v>WEAK RS</v>
      </c>
      <c r="AB470" s="53">
        <f>IFERROR(__xludf.DUMMYFUNCTION("IFERROR(LET(
  p, QUERY(GOOGLEFINANCE(TRIM(A470),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Loading"")"),40.6)</f>
        <v>40.6</v>
      </c>
      <c r="AC470" s="53" t="str">
        <f t="shared" si="15"/>
        <v>WEAK MOM</v>
      </c>
      <c r="AD470" s="53" t="str">
        <f>IFERROR(__xludf.DUMMYFUNCTION("IFERROR(IF(GOOGLEFINANCE(A470,""eps"")&gt;0,""EPS+"",""EPS-""),"""")"),"EPS+")</f>
        <v>EPS+</v>
      </c>
      <c r="AE470" s="53">
        <f t="shared" si="16"/>
        <v>3</v>
      </c>
      <c r="AF470" s="53">
        <f>IFERROR(__xludf.DUMMYFUNCTION("IFERROR(N470+IF(S470&gt;=1.2,1,0)+IF(U470&gt;=1,1,0)+IF(Z470&gt;0,1,0)+IF(AND(W470&gt;=-20,W470&lt;=0),1,0)+IF(IFERROR(GOOGLEFINANCE(A470,""eps""),0)&gt;0,1,0),"""")"),3.0)</f>
        <v>3</v>
      </c>
      <c r="AG470" s="53" t="str">
        <f t="shared" si="17"/>
        <v>REVERSE TRADE</v>
      </c>
    </row>
    <row r="471" ht="15.75" customHeight="1">
      <c r="A471" s="55" t="s">
        <v>638</v>
      </c>
      <c r="B471" s="44">
        <f>IFERROR(__xludf.DUMMYFUNCTION("GOOGLEFINANCE(A471,""price"")"),1043.5)</f>
        <v>1043.5</v>
      </c>
      <c r="C471" s="45">
        <f>IFERROR(__xludf.DUMMYFUNCTION("AVERAGE(QUERY(SORT(GOOGLEFINANCE(A471,""price"",TODAY()-150,TODAY()),1,0),""select Col2 limit 50""))"),1009.9540000000002)</f>
        <v>1009.954</v>
      </c>
      <c r="D471" s="45">
        <f>IFERROR(__xludf.DUMMYFUNCTION("AVERAGE(QUERY(SORT(GOOGLEFINANCE(A471,""price"",TODAY()-300,TODAY()),1,0),""select Col2 limit 100""))"),994.3435000000004)</f>
        <v>994.3435</v>
      </c>
      <c r="E471" s="45">
        <f>IFERROR(__xludf.DUMMYFUNCTION("AVERAGE(QUERY(SORT(GOOGLEFINANCE(A471,""price"",TODAY()-500,TODAY()),1,0),""select Col2 limit 200""))"),930.6757500000006)</f>
        <v>930.67575</v>
      </c>
      <c r="F471" s="46" t="str">
        <f t="shared" si="1"/>
        <v>In Bull Run</v>
      </c>
      <c r="G471" s="47">
        <f t="shared" si="2"/>
        <v>12.12283118</v>
      </c>
      <c r="H471" s="48" t="str">
        <f t="shared" si="3"/>
        <v>Golden ✓</v>
      </c>
      <c r="I471" s="48">
        <f t="shared" si="4"/>
        <v>3</v>
      </c>
      <c r="J471" s="48">
        <f t="shared" si="5"/>
        <v>0</v>
      </c>
      <c r="K471" s="49" t="str">
        <f>IFERROR(__xludf.DUMMYFUNCTION("IFERROR(IF(A471="""",""ENTER STOCK"",LET(stock,A471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FOUND"")"),"Short History")</f>
        <v>Short History</v>
      </c>
      <c r="L471" s="48">
        <f t="shared" si="6"/>
        <v>0</v>
      </c>
      <c r="M471" s="48">
        <f t="shared" si="7"/>
        <v>1</v>
      </c>
      <c r="N471" s="50">
        <f t="shared" si="8"/>
        <v>4</v>
      </c>
      <c r="P471" s="46" t="str">
        <f t="shared" si="9"/>
        <v>SKIP</v>
      </c>
      <c r="Q471" s="52"/>
      <c r="R471" s="53">
        <f t="shared" si="10"/>
        <v>15</v>
      </c>
      <c r="S471" s="53">
        <f>IFERROR(__xludf.DUMMYFUNCTION("IFERROR(ROUND(GOOGLEFINANCE(A471,""volume"")/GOOGLEFINANCE(A471,""volumeavg""),2),"""")"),0.8)</f>
        <v>0.8</v>
      </c>
      <c r="T471" s="53" t="str">
        <f t="shared" si="11"/>
        <v>LOW VOL</v>
      </c>
      <c r="U471" s="53">
        <f>IFERROR(__xludf.DUMMYFUNCTION("IFERROR(
  LET(
    sd, GOOGLEFINANCE(A471,""close"",TODAY()-100,TODAY()),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"""")"),0.65)</f>
        <v>0.65</v>
      </c>
      <c r="V471" s="53" t="str">
        <f t="shared" si="12"/>
        <v>SLOW</v>
      </c>
      <c r="W471" s="53">
        <f>IFERROR(__xludf.DUMMYFUNCTION("IFERROR(ROUND((B471/GOOGLEFINANCE(A471,""high52"")-1)*100,1),"""")"),-5.9)</f>
        <v>-5.9</v>
      </c>
      <c r="X471" s="53">
        <f>IFERROR(__xludf.DUMMYFUNCTION("IFERROR(ROUND((B471-GOOGLEFINANCE(A471,""low52""))/(GOOGLEFINANCE(A471,""high52"")-GOOGLEFINANCE(A471,""low52""))*100,1),"""")"),88.8)</f>
        <v>88.8</v>
      </c>
      <c r="Y471" s="53" t="str">
        <f t="shared" si="13"/>
        <v>UPPER</v>
      </c>
      <c r="Z471" s="53">
        <f>IFERROR(__xludf.DUMMYFUNCTION("IFERROR(ROUND(((B471 / INDEX(GOOGLEFINANCE(TRIM(A471), ""price"", TODAY()-34, TODAY()), 2, 2)) - (GOOGLEFINANCE(""NIFTY_50"") / INDEX(GOOGLEFINANCE(""NIFTY_50"", ""price"", TODAY()-34, TODAY()), 2, 2))) * 100, 2), ""Check History"")"),10.45)</f>
        <v>10.45</v>
      </c>
      <c r="AA471" s="53" t="str">
        <f t="shared" si="14"/>
        <v>STRONG RS</v>
      </c>
      <c r="AB471" s="53">
        <f>IFERROR(__xludf.DUMMYFUNCTION("IFERROR(LET(
  p, QUERY(GOOGLEFINANCE(TRIM(A471),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Loading"")"),59.1)</f>
        <v>59.1</v>
      </c>
      <c r="AC471" s="53" t="str">
        <f t="shared" si="15"/>
        <v>IDEAL ENTRY</v>
      </c>
      <c r="AD471" s="53" t="str">
        <f>IFERROR(__xludf.DUMMYFUNCTION("IFERROR(IF(GOOGLEFINANCE(A471,""eps"")&gt;0,""EPS+"",""EPS-""),"""")"),"EPS+")</f>
        <v>EPS+</v>
      </c>
      <c r="AE471" s="53">
        <f t="shared" si="16"/>
        <v>5</v>
      </c>
      <c r="AF471" s="53">
        <f>IFERROR(__xludf.DUMMYFUNCTION("IFERROR(N471+IF(S471&gt;=1.2,1,0)+IF(U471&gt;=1,1,0)+IF(Z471&gt;0,1,0)+IF(AND(W471&gt;=-20,W471&lt;=0),1,0)+IF(IFERROR(GOOGLEFINANCE(A471,""eps""),0)&gt;0,1,0),"""")"),7.0)</f>
        <v>7</v>
      </c>
      <c r="AG471" s="53" t="str">
        <f t="shared" si="17"/>
        <v>WATCH</v>
      </c>
    </row>
    <row r="472" ht="15.75" customHeight="1">
      <c r="A472" s="55" t="s">
        <v>639</v>
      </c>
      <c r="B472" s="44">
        <f>IFERROR(__xludf.DUMMYFUNCTION("GOOGLEFINANCE(A472,""price"")"),1501.0)</f>
        <v>1501</v>
      </c>
      <c r="C472" s="45">
        <f>IFERROR(__xludf.DUMMYFUNCTION("AVERAGE(QUERY(SORT(GOOGLEFINANCE(A472,""price"",TODAY()-150,TODAY()),1,0),""select Col2 limit 50""))"),1712.5879999999995)</f>
        <v>1712.588</v>
      </c>
      <c r="D472" s="45">
        <f>IFERROR(__xludf.DUMMYFUNCTION("AVERAGE(QUERY(SORT(GOOGLEFINANCE(A472,""price"",TODAY()-300,TODAY()),1,0),""select Col2 limit 100""))"),1812.0280000000005)</f>
        <v>1812.028</v>
      </c>
      <c r="E472" s="45">
        <f>IFERROR(__xludf.DUMMYFUNCTION("AVERAGE(QUERY(SORT(GOOGLEFINANCE(A472,""price"",TODAY()-500,TODAY()),1,0),""select Col2 limit 200""))"),1951.2575000000004)</f>
        <v>1951.2575</v>
      </c>
      <c r="F472" s="46" t="str">
        <f t="shared" si="1"/>
        <v>In Bear Run</v>
      </c>
      <c r="G472" s="47">
        <f t="shared" si="2"/>
        <v>-23.07524763</v>
      </c>
      <c r="H472" s="48" t="str">
        <f t="shared" si="3"/>
        <v>Inverted ✗</v>
      </c>
      <c r="I472" s="48">
        <f t="shared" si="4"/>
        <v>0</v>
      </c>
      <c r="J472" s="48">
        <f t="shared" si="5"/>
        <v>0</v>
      </c>
      <c r="K472" s="49" t="str">
        <f>IFERROR(__xludf.DUMMYFUNCTION("IFERROR(IF(A472="""",""ENTER STOCK"",LET(stock,A472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72" s="48">
        <f t="shared" si="6"/>
        <v>0</v>
      </c>
      <c r="M472" s="48">
        <f t="shared" si="7"/>
        <v>1</v>
      </c>
      <c r="N472" s="50">
        <f t="shared" si="8"/>
        <v>1</v>
      </c>
      <c r="P472" s="46" t="str">
        <f t="shared" si="9"/>
        <v>REVERSE TRADE</v>
      </c>
      <c r="Q472" s="52"/>
      <c r="R472" s="53">
        <f t="shared" si="10"/>
        <v>15</v>
      </c>
      <c r="S472" s="53">
        <f>IFERROR(__xludf.DUMMYFUNCTION("IFERROR(ROUND(GOOGLEFINANCE(A472,""volume"")/GOOGLEFINANCE(A472,""volumeavg""),2),"""")"),2.5)</f>
        <v>2.5</v>
      </c>
      <c r="T472" s="53" t="str">
        <f t="shared" si="11"/>
        <v>HIGH VOL</v>
      </c>
      <c r="U472" s="53">
        <f>IFERROR(__xludf.DUMMYFUNCTION("IFERROR(
  LET(
    sd, GOOGLEFINANCE(A472,""close"",TODAY()-100,TODAY()),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"""")"),0.67)</f>
        <v>0.67</v>
      </c>
      <c r="V472" s="53" t="str">
        <f t="shared" si="12"/>
        <v>SLOW</v>
      </c>
      <c r="W472" s="53">
        <f>IFERROR(__xludf.DUMMYFUNCTION("IFERROR(ROUND((B472/GOOGLEFINANCE(A472,""high52"")-1)*100,1),"""")"),-37.3)</f>
        <v>-37.3</v>
      </c>
      <c r="X472" s="53">
        <f>IFERROR(__xludf.DUMMYFUNCTION("IFERROR(ROUND((B472-GOOGLEFINANCE(A472,""low52""))/(GOOGLEFINANCE(A472,""high52"")-GOOGLEFINANCE(A472,""low52""))*100,1),"""")"),0.1)</f>
        <v>0.1</v>
      </c>
      <c r="Y472" s="53" t="str">
        <f t="shared" si="13"/>
        <v>MID</v>
      </c>
      <c r="Z472" s="53">
        <f>IFERROR(__xludf.DUMMYFUNCTION("IFERROR(ROUND(((B472 / INDEX(GOOGLEFINANCE(TRIM(A472), ""price"", TODAY()-34, TODAY()), 2, 2)) - (GOOGLEFINANCE(""NIFTY_50"") / INDEX(GOOGLEFINANCE(""NIFTY_50"", ""price"", TODAY()-34, TODAY()), 2, 2))) * 100, 2), ""Check History"")"),-0.19)</f>
        <v>-0.19</v>
      </c>
      <c r="AA472" s="53" t="str">
        <f t="shared" si="14"/>
        <v>WEAK RS</v>
      </c>
      <c r="AB472" s="53">
        <f>IFERROR(__xludf.DUMMYFUNCTION("IFERROR(LET(
  p, QUERY(GOOGLEFINANCE(TRIM(A472),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Loading"")"),34.3)</f>
        <v>34.3</v>
      </c>
      <c r="AC472" s="53" t="str">
        <f t="shared" si="15"/>
        <v>WEAK MOM</v>
      </c>
      <c r="AD472" s="53" t="str">
        <f>IFERROR(__xludf.DUMMYFUNCTION("IFERROR(IF(GOOGLEFINANCE(A472,""eps"")&gt;0,""EPS+"",""EPS-""),"""")"),"EPS+")</f>
        <v>EPS+</v>
      </c>
      <c r="AE472" s="53">
        <f t="shared" si="16"/>
        <v>4</v>
      </c>
      <c r="AF472" s="53">
        <f>IFERROR(__xludf.DUMMYFUNCTION("IFERROR(N472+IF(S472&gt;=1.2,1,0)+IF(U472&gt;=1,1,0)+IF(Z472&gt;0,1,0)+IF(AND(W472&gt;=-20,W472&lt;=0),1,0)+IF(IFERROR(GOOGLEFINANCE(A472,""eps""),0)&gt;0,1,0),"""")"),3.0)</f>
        <v>3</v>
      </c>
      <c r="AG472" s="53" t="str">
        <f t="shared" si="17"/>
        <v>REVERSE TRADE</v>
      </c>
    </row>
    <row r="473" ht="15.75" customHeight="1">
      <c r="A473" s="55" t="s">
        <v>640</v>
      </c>
      <c r="B473" s="44">
        <f>IFERROR(__xludf.DUMMYFUNCTION("GOOGLEFINANCE(A473,""price"")"),610.0)</f>
        <v>610</v>
      </c>
      <c r="C473" s="45">
        <f>IFERROR(__xludf.DUMMYFUNCTION("AVERAGE(QUERY(SORT(GOOGLEFINANCE(A473,""price"",TODAY()-150,TODAY()),1,0),""select Col2 limit 50""))"),725.323)</f>
        <v>725.323</v>
      </c>
      <c r="D473" s="45">
        <f>IFERROR(__xludf.DUMMYFUNCTION("AVERAGE(QUERY(SORT(GOOGLEFINANCE(A473,""price"",TODAY()-300,TODAY()),1,0),""select Col2 limit 100""))"),760.0735000000002)</f>
        <v>760.0735</v>
      </c>
      <c r="E473" s="45">
        <f>IFERROR(__xludf.DUMMYFUNCTION("AVERAGE(QUERY(SORT(GOOGLEFINANCE(A473,""price"",TODAY()-500,TODAY()),1,0),""select Col2 limit 200""))"),763.9932500000004)</f>
        <v>763.99325</v>
      </c>
      <c r="F473" s="46" t="str">
        <f t="shared" si="1"/>
        <v>In Bear Run</v>
      </c>
      <c r="G473" s="47">
        <f t="shared" si="2"/>
        <v>-20.15636264</v>
      </c>
      <c r="H473" s="48" t="str">
        <f t="shared" si="3"/>
        <v>Inverted ✗</v>
      </c>
      <c r="I473" s="48">
        <f t="shared" si="4"/>
        <v>0</v>
      </c>
      <c r="J473" s="48">
        <f t="shared" si="5"/>
        <v>0</v>
      </c>
      <c r="K473" s="49" t="str">
        <f>IFERROR(__xludf.DUMMYFUNCTION("IFERROR(IF(A473="""",""ENTER STOCK"",LET(stock,A473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73" s="48">
        <f t="shared" si="6"/>
        <v>0</v>
      </c>
      <c r="M473" s="48">
        <f t="shared" si="7"/>
        <v>1</v>
      </c>
      <c r="N473" s="50">
        <f t="shared" si="8"/>
        <v>1</v>
      </c>
      <c r="P473" s="46" t="str">
        <f t="shared" si="9"/>
        <v>REVERSE TRADE</v>
      </c>
      <c r="Q473" s="52"/>
      <c r="R473" s="53">
        <f t="shared" si="10"/>
        <v>15</v>
      </c>
      <c r="S473" s="53">
        <f>IFERROR(__xludf.DUMMYFUNCTION("IFERROR(ROUND(GOOGLEFINANCE(A473,""volume"")/GOOGLEFINANCE(A473,""volumeavg""),2),"""")"),1.02)</f>
        <v>1.02</v>
      </c>
      <c r="T473" s="53" t="str">
        <f t="shared" si="11"/>
        <v>LOW VOL</v>
      </c>
      <c r="U473" s="53">
        <f>IFERROR(__xludf.DUMMYFUNCTION("IFERROR(
  LET(
    sd, GOOGLEFINANCE(A473,""close"",TODAY()-100,TODAY()),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"""")"),1.69)</f>
        <v>1.69</v>
      </c>
      <c r="V473" s="53" t="str">
        <f t="shared" si="12"/>
        <v>FAST</v>
      </c>
      <c r="W473" s="53">
        <f>IFERROR(__xludf.DUMMYFUNCTION("IFERROR(ROUND((B473/GOOGLEFINANCE(A473,""high52"")-1)*100,1),"""")"),-29.1)</f>
        <v>-29.1</v>
      </c>
      <c r="X473" s="53">
        <f>IFERROR(__xludf.DUMMYFUNCTION("IFERROR(ROUND((B473-GOOGLEFINANCE(A473,""low52""))/(GOOGLEFINANCE(A473,""high52"")-GOOGLEFINANCE(A473,""low52""))*100,1),"""")"),34.8)</f>
        <v>34.8</v>
      </c>
      <c r="Y473" s="53" t="str">
        <f t="shared" si="13"/>
        <v>MID</v>
      </c>
      <c r="Z473" s="53">
        <f>IFERROR(__xludf.DUMMYFUNCTION("IFERROR(ROUND(((B473 / INDEX(GOOGLEFINANCE(TRIM(A473), ""price"", TODAY()-34, TODAY()), 2, 2)) - (GOOGLEFINANCE(""NIFTY_50"") / INDEX(GOOGLEFINANCE(""NIFTY_50"", ""price"", TODAY()-34, TODAY()), 2, 2))) * 100, 2), ""Check History"")"),-7.64)</f>
        <v>-7.64</v>
      </c>
      <c r="AA473" s="53" t="str">
        <f t="shared" si="14"/>
        <v>WEAK RS</v>
      </c>
      <c r="AB473" s="53">
        <f>IFERROR(__xludf.DUMMYFUNCTION("IFERROR(LET(
  p, QUERY(GOOGLEFINANCE(TRIM(A473),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Loading"")"),49.6)</f>
        <v>49.6</v>
      </c>
      <c r="AC473" s="53" t="str">
        <f t="shared" si="15"/>
        <v>IDEAL ENTRY</v>
      </c>
      <c r="AD473" s="53" t="str">
        <f>IFERROR(__xludf.DUMMYFUNCTION("IFERROR(IF(GOOGLEFINANCE(A473,""eps"")&gt;0,""EPS+"",""EPS-""),"""")"),"EPS+")</f>
        <v>EPS+</v>
      </c>
      <c r="AE473" s="53">
        <f t="shared" si="16"/>
        <v>4</v>
      </c>
      <c r="AF473" s="53">
        <f>IFERROR(__xludf.DUMMYFUNCTION("IFERROR(N473+IF(S473&gt;=1.2,1,0)+IF(U473&gt;=1,1,0)+IF(Z473&gt;0,1,0)+IF(AND(W473&gt;=-20,W473&lt;=0),1,0)+IF(IFERROR(GOOGLEFINANCE(A473,""eps""),0)&gt;0,1,0),"""")"),3.0)</f>
        <v>3</v>
      </c>
      <c r="AG473" s="53" t="str">
        <f t="shared" si="17"/>
        <v>REVERSE TRADE</v>
      </c>
    </row>
    <row r="474" ht="15.75" customHeight="1">
      <c r="A474" s="55" t="s">
        <v>641</v>
      </c>
      <c r="B474" s="44">
        <f>IFERROR(__xludf.DUMMYFUNCTION("GOOGLEFINANCE(A474,""price"")"),655.0)</f>
        <v>655</v>
      </c>
      <c r="C474" s="45">
        <f>IFERROR(__xludf.DUMMYFUNCTION("AVERAGE(QUERY(SORT(GOOGLEFINANCE(A474,""price"",TODAY()-150,TODAY()),1,0),""select Col2 limit 50""))"),766.1380000000001)</f>
        <v>766.138</v>
      </c>
      <c r="D474" s="45">
        <f>IFERROR(__xludf.DUMMYFUNCTION("AVERAGE(QUERY(SORT(GOOGLEFINANCE(A474,""price"",TODAY()-300,TODAY()),1,0),""select Col2 limit 100""))"),835.9110000000001)</f>
        <v>835.911</v>
      </c>
      <c r="E474" s="45">
        <f>IFERROR(__xludf.DUMMYFUNCTION("AVERAGE(QUERY(SORT(GOOGLEFINANCE(A474,""price"",TODAY()-500,TODAY()),1,0),""select Col2 limit 200""))"),1035.1475000000005)</f>
        <v>1035.1475</v>
      </c>
      <c r="F474" s="46" t="str">
        <f t="shared" si="1"/>
        <v>In Bear Run</v>
      </c>
      <c r="G474" s="47">
        <f t="shared" si="2"/>
        <v>-36.72399344</v>
      </c>
      <c r="H474" s="48" t="str">
        <f t="shared" si="3"/>
        <v>Inverted ✗</v>
      </c>
      <c r="I474" s="48">
        <f t="shared" si="4"/>
        <v>0</v>
      </c>
      <c r="J474" s="48">
        <f t="shared" si="5"/>
        <v>0</v>
      </c>
      <c r="K474" s="49" t="str">
        <f>IFERROR(__xludf.DUMMYFUNCTION("IFERROR(IF(A474="""",""ENTER STOCK"",LET(stock,A474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74" s="48">
        <f t="shared" si="6"/>
        <v>0</v>
      </c>
      <c r="M474" s="48">
        <f t="shared" si="7"/>
        <v>1</v>
      </c>
      <c r="N474" s="50">
        <f t="shared" si="8"/>
        <v>1</v>
      </c>
      <c r="P474" s="46" t="str">
        <f t="shared" si="9"/>
        <v>REVERSE TRADE</v>
      </c>
      <c r="Q474" s="52"/>
      <c r="R474" s="53">
        <f t="shared" si="10"/>
        <v>15</v>
      </c>
      <c r="S474" s="53">
        <f>IFERROR(__xludf.DUMMYFUNCTION("IFERROR(ROUND(GOOGLEFINANCE(A474,""volume"")/GOOGLEFINANCE(A474,""volumeavg""),2),"""")"),1.3)</f>
        <v>1.3</v>
      </c>
      <c r="T474" s="53" t="str">
        <f t="shared" si="11"/>
        <v>OK VOL</v>
      </c>
      <c r="U474" s="53">
        <f>IFERROR(__xludf.DUMMYFUNCTION("IFERROR(
  LET(
    sd, GOOGLEFINANCE(A474,""close"",TODAY()-100,TODAY()),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"""")"),1.08)</f>
        <v>1.08</v>
      </c>
      <c r="V474" s="53" t="str">
        <f t="shared" si="12"/>
        <v>MEDIUM</v>
      </c>
      <c r="W474" s="53">
        <f>IFERROR(__xludf.DUMMYFUNCTION("IFERROR(ROUND((B474/GOOGLEFINANCE(A474,""high52"")-1)*100,1),"""")"),-59.1)</f>
        <v>-59.1</v>
      </c>
      <c r="X474" s="53">
        <f>IFERROR(__xludf.DUMMYFUNCTION("IFERROR(ROUND((B474-GOOGLEFINANCE(A474,""low52""))/(GOOGLEFINANCE(A474,""high52"")-GOOGLEFINANCE(A474,""low52""))*100,1),"""")"),0.3)</f>
        <v>0.3</v>
      </c>
      <c r="Y474" s="53" t="str">
        <f t="shared" si="13"/>
        <v>DEEP RECOVERY</v>
      </c>
      <c r="Z474" s="53">
        <f>IFERROR(__xludf.DUMMYFUNCTION("IFERROR(ROUND(((B474 / INDEX(GOOGLEFINANCE(TRIM(A474), ""price"", TODAY()-34, TODAY()), 2, 2)) - (GOOGLEFINANCE(""NIFTY_50"") / INDEX(GOOGLEFINANCE(""NIFTY_50"", ""price"", TODAY()-34, TODAY()), 2, 2))) * 100, 2), ""Check History"")"),2.42)</f>
        <v>2.42</v>
      </c>
      <c r="AA474" s="53" t="str">
        <f t="shared" si="14"/>
        <v>MILD RS</v>
      </c>
      <c r="AB474" s="53">
        <f>IFERROR(__xludf.DUMMYFUNCTION("IFERROR(LET(
  p, QUERY(GOOGLEFINANCE(TRIM(A474),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Loading"")"),44.9)</f>
        <v>44.9</v>
      </c>
      <c r="AC474" s="53" t="str">
        <f t="shared" si="15"/>
        <v>WEAK MOM</v>
      </c>
      <c r="AD474" s="53" t="str">
        <f>IFERROR(__xludf.DUMMYFUNCTION("IFERROR(IF(GOOGLEFINANCE(A474,""eps"")&gt;0,""EPS+"",""EPS-""),"""")"),"EPS+")</f>
        <v>EPS+</v>
      </c>
      <c r="AE474" s="53">
        <f t="shared" si="16"/>
        <v>5</v>
      </c>
      <c r="AF474" s="53">
        <f>IFERROR(__xludf.DUMMYFUNCTION("IFERROR(N474+IF(S474&gt;=1.2,1,0)+IF(U474&gt;=1,1,0)+IF(Z474&gt;0,1,0)+IF(AND(W474&gt;=-20,W474&lt;=0),1,0)+IF(IFERROR(GOOGLEFINANCE(A474,""eps""),0)&gt;0,1,0),"""")"),5.0)</f>
        <v>5</v>
      </c>
      <c r="AG474" s="53" t="str">
        <f t="shared" si="17"/>
        <v>REVERSE TRADE</v>
      </c>
    </row>
    <row r="475" ht="15.75" customHeight="1">
      <c r="A475" s="55" t="s">
        <v>642</v>
      </c>
      <c r="B475" s="44">
        <f>IFERROR(__xludf.DUMMYFUNCTION("GOOGLEFINANCE(A475,""price"")"),2296.1)</f>
        <v>2296.1</v>
      </c>
      <c r="C475" s="45">
        <f>IFERROR(__xludf.DUMMYFUNCTION("AVERAGE(QUERY(SORT(GOOGLEFINANCE(A475,""price"",TODAY()-150,TODAY()),1,0),""select Col2 limit 50""))"),2318.848)</f>
        <v>2318.848</v>
      </c>
      <c r="D475" s="45">
        <f>IFERROR(__xludf.DUMMYFUNCTION("AVERAGE(QUERY(SORT(GOOGLEFINANCE(A475,""price"",TODAY()-300,TODAY()),1,0),""select Col2 limit 100""))"),2437.0369999999994)</f>
        <v>2437.037</v>
      </c>
      <c r="E475" s="45">
        <f>IFERROR(__xludf.DUMMYFUNCTION("AVERAGE(QUERY(SORT(GOOGLEFINANCE(A475,""price"",TODAY()-500,TODAY()),1,0),""select Col2 limit 200""))"),2455.597999999999)</f>
        <v>2455.598</v>
      </c>
      <c r="F475" s="46" t="str">
        <f t="shared" si="1"/>
        <v>In Bear Run</v>
      </c>
      <c r="G475" s="47">
        <f t="shared" si="2"/>
        <v>-6.495281394</v>
      </c>
      <c r="H475" s="48" t="str">
        <f t="shared" si="3"/>
        <v>Inverted ✗</v>
      </c>
      <c r="I475" s="48">
        <f t="shared" si="4"/>
        <v>0</v>
      </c>
      <c r="J475" s="48">
        <f t="shared" si="5"/>
        <v>0</v>
      </c>
      <c r="K475" s="49" t="str">
        <f>IFERROR(__xludf.DUMMYFUNCTION("IFERROR(IF(A475="""",""ENTER STOCK"",LET(stock,A475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75" s="48">
        <f t="shared" si="6"/>
        <v>0</v>
      </c>
      <c r="M475" s="48">
        <f t="shared" si="7"/>
        <v>1</v>
      </c>
      <c r="N475" s="50">
        <f t="shared" si="8"/>
        <v>1</v>
      </c>
      <c r="P475" s="46" t="str">
        <f t="shared" si="9"/>
        <v>REVERSE TRADE</v>
      </c>
      <c r="Q475" s="52"/>
      <c r="R475" s="53">
        <f t="shared" si="10"/>
        <v>15</v>
      </c>
      <c r="S475" s="53">
        <f>IFERROR(__xludf.DUMMYFUNCTION("IFERROR(ROUND(GOOGLEFINANCE(A475,""volume"")/GOOGLEFINANCE(A475,""volumeavg""),2),"""")"),0.4)</f>
        <v>0.4</v>
      </c>
      <c r="T475" s="53" t="str">
        <f t="shared" si="11"/>
        <v>LOW VOL</v>
      </c>
      <c r="U475" s="53">
        <f>IFERROR(__xludf.DUMMYFUNCTION("IFERROR(
  LET(
    sd, GOOGLEFINANCE(A475,""close"",TODAY()-100,TODAY()),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"""")"),0.98)</f>
        <v>0.98</v>
      </c>
      <c r="V475" s="53" t="str">
        <f t="shared" si="12"/>
        <v>MEDIUM</v>
      </c>
      <c r="W475" s="53">
        <f>IFERROR(__xludf.DUMMYFUNCTION("IFERROR(ROUND((B475/GOOGLEFINANCE(A475,""high52"")-1)*100,1),"""")"),-25.1)</f>
        <v>-25.1</v>
      </c>
      <c r="X475" s="53">
        <f>IFERROR(__xludf.DUMMYFUNCTION("IFERROR(ROUND((B475-GOOGLEFINANCE(A475,""low52""))/(GOOGLEFINANCE(A475,""high52"")-GOOGLEFINANCE(A475,""low52""))*100,1),"""")"),26.2)</f>
        <v>26.2</v>
      </c>
      <c r="Y475" s="53" t="str">
        <f t="shared" si="13"/>
        <v>MID</v>
      </c>
      <c r="Z475" s="53">
        <f>IFERROR(__xludf.DUMMYFUNCTION("IFERROR(ROUND(((B475 / INDEX(GOOGLEFINANCE(TRIM(A475), ""price"", TODAY()-34, TODAY()), 2, 2)) - (GOOGLEFINANCE(""NIFTY_50"") / INDEX(GOOGLEFINANCE(""NIFTY_50"", ""price"", TODAY()-34, TODAY()), 2, 2))) * 100, 2), ""Check History"")"),9.27)</f>
        <v>9.27</v>
      </c>
      <c r="AA475" s="53" t="str">
        <f t="shared" si="14"/>
        <v>STRONG RS</v>
      </c>
      <c r="AB475" s="53">
        <f>IFERROR(__xludf.DUMMYFUNCTION("IFERROR(LET(
  p, QUERY(GOOGLEFINANCE(TRIM(A475),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Loading"")"),49.5)</f>
        <v>49.5</v>
      </c>
      <c r="AC475" s="53" t="str">
        <f t="shared" si="15"/>
        <v>IDEAL ENTRY</v>
      </c>
      <c r="AD475" s="53" t="str">
        <f>IFERROR(__xludf.DUMMYFUNCTION("IFERROR(IF(GOOGLEFINANCE(A475,""eps"")&gt;0,""EPS+"",""EPS-""),"""")"),"EPS+")</f>
        <v>EPS+</v>
      </c>
      <c r="AE475" s="53">
        <f t="shared" si="16"/>
        <v>4</v>
      </c>
      <c r="AF475" s="53">
        <f>IFERROR(__xludf.DUMMYFUNCTION("IFERROR(N475+IF(S475&gt;=1.2,1,0)+IF(U475&gt;=1,1,0)+IF(Z475&gt;0,1,0)+IF(AND(W475&gt;=-20,W475&lt;=0),1,0)+IF(IFERROR(GOOGLEFINANCE(A475,""eps""),0)&gt;0,1,0),"""")"),3.0)</f>
        <v>3</v>
      </c>
      <c r="AG475" s="53" t="str">
        <f t="shared" si="17"/>
        <v>REVERSE TRADE</v>
      </c>
    </row>
    <row r="476" ht="15.75" customHeight="1">
      <c r="A476" s="55" t="s">
        <v>643</v>
      </c>
      <c r="B476" s="44">
        <f>IFERROR(__xludf.DUMMYFUNCTION("GOOGLEFINANCE(A476,""price"")"),412.0)</f>
        <v>412</v>
      </c>
      <c r="C476" s="45">
        <f>IFERROR(__xludf.DUMMYFUNCTION("AVERAGE(QUERY(SORT(GOOGLEFINANCE(A476,""price"",TODAY()-150,TODAY()),1,0),""select Col2 limit 50""))"),419.9279999999999)</f>
        <v>419.928</v>
      </c>
      <c r="D476" s="45">
        <f>IFERROR(__xludf.DUMMYFUNCTION("AVERAGE(QUERY(SORT(GOOGLEFINANCE(A476,""price"",TODAY()-300,TODAY()),1,0),""select Col2 limit 100""))"),419.06349999999986)</f>
        <v>419.0635</v>
      </c>
      <c r="E476" s="45">
        <f>IFERROR(__xludf.DUMMYFUNCTION("AVERAGE(QUERY(SORT(GOOGLEFINANCE(A476,""price"",TODAY()-500,TODAY()),1,0),""select Col2 limit 200""))"),429.0035000000005)</f>
        <v>429.0035</v>
      </c>
      <c r="F476" s="46" t="str">
        <f t="shared" si="1"/>
        <v>In Bear Run</v>
      </c>
      <c r="G476" s="47">
        <f t="shared" si="2"/>
        <v>-3.963487477</v>
      </c>
      <c r="H476" s="48" t="str">
        <f t="shared" si="3"/>
        <v>Inverted ✗</v>
      </c>
      <c r="I476" s="48">
        <f t="shared" si="4"/>
        <v>0</v>
      </c>
      <c r="J476" s="48">
        <f t="shared" si="5"/>
        <v>0</v>
      </c>
      <c r="K476" s="49" t="str">
        <f>IFERROR(__xludf.DUMMYFUNCTION("IFERROR(IF(A476="""",""ENTER STOCK"",LET(stock,A476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76" s="48">
        <f t="shared" si="6"/>
        <v>0</v>
      </c>
      <c r="M476" s="48">
        <f t="shared" si="7"/>
        <v>1</v>
      </c>
      <c r="N476" s="50">
        <f t="shared" si="8"/>
        <v>1</v>
      </c>
      <c r="P476" s="46" t="str">
        <f t="shared" si="9"/>
        <v>REVERSE TRADE</v>
      </c>
      <c r="Q476" s="52"/>
      <c r="R476" s="53">
        <f t="shared" si="10"/>
        <v>15</v>
      </c>
      <c r="S476" s="53">
        <f>IFERROR(__xludf.DUMMYFUNCTION("IFERROR(ROUND(GOOGLEFINANCE(A476,""volume"")/GOOGLEFINANCE(A476,""volumeavg""),2),"""")"),0.77)</f>
        <v>0.77</v>
      </c>
      <c r="T476" s="53" t="str">
        <f t="shared" si="11"/>
        <v>LOW VOL</v>
      </c>
      <c r="U476" s="53">
        <f>IFERROR(__xludf.DUMMYFUNCTION("IFERROR(
  LET(
    sd, GOOGLEFINANCE(A476,""close"",TODAY()-100,TODAY()),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"""")"),0.27)</f>
        <v>0.27</v>
      </c>
      <c r="V476" s="53" t="str">
        <f t="shared" si="12"/>
        <v>SLOW</v>
      </c>
      <c r="W476" s="53">
        <f>IFERROR(__xludf.DUMMYFUNCTION("IFERROR(ROUND((B476/GOOGLEFINANCE(A476,""high52"")-1)*100,1),"""")"),-15.9)</f>
        <v>-15.9</v>
      </c>
      <c r="X476" s="53">
        <f>IFERROR(__xludf.DUMMYFUNCTION("IFERROR(ROUND((B476-GOOGLEFINANCE(A476,""low52""))/(GOOGLEFINANCE(A476,""high52"")-GOOGLEFINANCE(A476,""low52""))*100,1),"""")"),69.0)</f>
        <v>69</v>
      </c>
      <c r="Y476" s="53" t="str">
        <f t="shared" si="13"/>
        <v>UPPER</v>
      </c>
      <c r="Z476" s="53">
        <f>IFERROR(__xludf.DUMMYFUNCTION("IFERROR(ROUND(((B476 / INDEX(GOOGLEFINANCE(TRIM(A476), ""price"", TODAY()-34, TODAY()), 2, 2)) - (GOOGLEFINANCE(""NIFTY_50"") / INDEX(GOOGLEFINANCE(""NIFTY_50"", ""price"", TODAY()-34, TODAY()), 2, 2))) * 100, 2), ""Check History"")"),6.5)</f>
        <v>6.5</v>
      </c>
      <c r="AA476" s="53" t="str">
        <f t="shared" si="14"/>
        <v>STRONG RS</v>
      </c>
      <c r="AB476" s="53">
        <f>IFERROR(__xludf.DUMMYFUNCTION("IFERROR(LET(
  p, QUERY(GOOGLEFINANCE(TRIM(A476),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Loading"")"),57.6)</f>
        <v>57.6</v>
      </c>
      <c r="AC476" s="53" t="str">
        <f t="shared" si="15"/>
        <v>IDEAL ENTRY</v>
      </c>
      <c r="AD476" s="53" t="str">
        <f>IFERROR(__xludf.DUMMYFUNCTION("IFERROR(IF(GOOGLEFINANCE(A476,""eps"")&gt;0,""EPS+"",""EPS-""),"""")"),"EPS+")</f>
        <v>EPS+</v>
      </c>
      <c r="AE476" s="53">
        <f t="shared" si="16"/>
        <v>3</v>
      </c>
      <c r="AF476" s="53">
        <f>IFERROR(__xludf.DUMMYFUNCTION("IFERROR(N476+IF(S476&gt;=1.2,1,0)+IF(U476&gt;=1,1,0)+IF(Z476&gt;0,1,0)+IF(AND(W476&gt;=-20,W476&lt;=0),1,0)+IF(IFERROR(GOOGLEFINANCE(A476,""eps""),0)&gt;0,1,0),"""")"),4.0)</f>
        <v>4</v>
      </c>
      <c r="AG476" s="53" t="str">
        <f t="shared" si="17"/>
        <v>REVERSE TRADE</v>
      </c>
    </row>
    <row r="477" ht="15.75" customHeight="1">
      <c r="A477" s="55" t="s">
        <v>644</v>
      </c>
      <c r="B477" s="44">
        <f>IFERROR(__xludf.DUMMYFUNCTION("GOOGLEFINANCE(A477,""price"")"),620.1)</f>
        <v>620.1</v>
      </c>
      <c r="C477" s="45">
        <f>IFERROR(__xludf.DUMMYFUNCTION("AVERAGE(QUERY(SORT(GOOGLEFINANCE(A477,""price"",TODAY()-150,TODAY()),1,0),""select Col2 limit 50""))"),579.2639999999999)</f>
        <v>579.264</v>
      </c>
      <c r="D477" s="45">
        <f>IFERROR(__xludf.DUMMYFUNCTION("AVERAGE(QUERY(SORT(GOOGLEFINANCE(A477,""price"",TODAY()-300,TODAY()),1,0),""select Col2 limit 100""))"),576.7264999999996)</f>
        <v>576.7265</v>
      </c>
      <c r="E477" s="45">
        <f>IFERROR(__xludf.DUMMYFUNCTION("AVERAGE(QUERY(SORT(GOOGLEFINANCE(A477,""price"",TODAY()-500,TODAY()),1,0),""select Col2 limit 200""))"),542.3432499999998)</f>
        <v>542.34325</v>
      </c>
      <c r="F477" s="46" t="str">
        <f t="shared" si="1"/>
        <v>In Bull Run</v>
      </c>
      <c r="G477" s="47">
        <f t="shared" si="2"/>
        <v>14.33718406</v>
      </c>
      <c r="H477" s="48" t="str">
        <f t="shared" si="3"/>
        <v>Golden ✓</v>
      </c>
      <c r="I477" s="48">
        <f t="shared" si="4"/>
        <v>3</v>
      </c>
      <c r="J477" s="48">
        <f t="shared" si="5"/>
        <v>0</v>
      </c>
      <c r="K477" s="49" t="str">
        <f>IFERROR(__xludf.DUMMYFUNCTION("IFERROR(IF(A477="""",""ENTER STOCK"",LET(stock,A477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FOUND"")"),"Short History")</f>
        <v>Short History</v>
      </c>
      <c r="L477" s="48">
        <f t="shared" si="6"/>
        <v>0</v>
      </c>
      <c r="M477" s="48">
        <f t="shared" si="7"/>
        <v>1</v>
      </c>
      <c r="N477" s="50">
        <f t="shared" si="8"/>
        <v>4</v>
      </c>
      <c r="P477" s="46" t="str">
        <f t="shared" si="9"/>
        <v>SKIP</v>
      </c>
      <c r="Q477" s="52"/>
      <c r="R477" s="53">
        <f t="shared" si="10"/>
        <v>15</v>
      </c>
      <c r="S477" s="53">
        <f>IFERROR(__xludf.DUMMYFUNCTION("IFERROR(ROUND(GOOGLEFINANCE(A477,""volume"")/GOOGLEFINANCE(A477,""volumeavg""),2),"""")"),1.64)</f>
        <v>1.64</v>
      </c>
      <c r="T477" s="53" t="str">
        <f t="shared" si="11"/>
        <v>HIGH VOL</v>
      </c>
      <c r="U477" s="53">
        <f>IFERROR(__xludf.DUMMYFUNCTION("IFERROR(
  LET(
    sd, GOOGLEFINANCE(A477,""close"",TODAY()-100,TODAY()),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"""")"),1.2)</f>
        <v>1.2</v>
      </c>
      <c r="V477" s="53" t="str">
        <f t="shared" si="12"/>
        <v>FAST</v>
      </c>
      <c r="W477" s="53">
        <f>IFERROR(__xludf.DUMMYFUNCTION("IFERROR(ROUND((B477/GOOGLEFINANCE(A477,""high52"")-1)*100,1),"""")"),-3.1)</f>
        <v>-3.1</v>
      </c>
      <c r="X477" s="53">
        <f>IFERROR(__xludf.DUMMYFUNCTION("IFERROR(ROUND((B477-GOOGLEFINANCE(A477,""low52""))/(GOOGLEFINANCE(A477,""high52"")-GOOGLEFINANCE(A477,""low52""))*100,1),"""")"),90.9)</f>
        <v>90.9</v>
      </c>
      <c r="Y477" s="53" t="str">
        <f t="shared" si="13"/>
        <v>AT HIGH</v>
      </c>
      <c r="Z477" s="53">
        <f>IFERROR(__xludf.DUMMYFUNCTION("IFERROR(ROUND(((B477 / INDEX(GOOGLEFINANCE(TRIM(A477), ""price"", TODAY()-34, TODAY()), 2, 2)) - (GOOGLEFINANCE(""NIFTY_50"") / INDEX(GOOGLEFINANCE(""NIFTY_50"", ""price"", TODAY()-34, TODAY()), 2, 2))) * 100, 2), ""Check History"")"),15.59)</f>
        <v>15.59</v>
      </c>
      <c r="AA477" s="53" t="str">
        <f t="shared" si="14"/>
        <v>STRONG RS</v>
      </c>
      <c r="AB477" s="53">
        <f>IFERROR(__xludf.DUMMYFUNCTION("IFERROR(LET(
  p, QUERY(GOOGLEFINANCE(TRIM(A477),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Loading"")"),55.6)</f>
        <v>55.6</v>
      </c>
      <c r="AC477" s="53" t="str">
        <f t="shared" si="15"/>
        <v>IDEAL ENTRY</v>
      </c>
      <c r="AD477" s="53" t="str">
        <f>IFERROR(__xludf.DUMMYFUNCTION("IFERROR(IF(GOOGLEFINANCE(A477,""eps"")&gt;0,""EPS+"",""EPS-""),"""")"),"EPS+")</f>
        <v>EPS+</v>
      </c>
      <c r="AE477" s="53">
        <f t="shared" si="16"/>
        <v>10</v>
      </c>
      <c r="AF477" s="53">
        <f>IFERROR(__xludf.DUMMYFUNCTION("IFERROR(N477+IF(S477&gt;=1.2,1,0)+IF(U477&gt;=1,1,0)+IF(Z477&gt;0,1,0)+IF(AND(W477&gt;=-20,W477&lt;=0),1,0)+IF(IFERROR(GOOGLEFINANCE(A477,""eps""),0)&gt;0,1,0),"""")"),9.0)</f>
        <v>9</v>
      </c>
      <c r="AG477" s="53" t="str">
        <f t="shared" si="17"/>
        <v>BUY</v>
      </c>
    </row>
    <row r="478" ht="15.75" customHeight="1">
      <c r="A478" s="55" t="s">
        <v>645</v>
      </c>
      <c r="B478" s="44">
        <f>IFERROR(__xludf.DUMMYFUNCTION("GOOGLEFINANCE(A478,""price"")"),228.0)</f>
        <v>228</v>
      </c>
      <c r="C478" s="45">
        <f>IFERROR(__xludf.DUMMYFUNCTION("AVERAGE(QUERY(SORT(GOOGLEFINANCE(A478,""price"",TODAY()-150,TODAY()),1,0),""select Col2 limit 50""))"),288.9)</f>
        <v>288.9</v>
      </c>
      <c r="D478" s="45">
        <f>IFERROR(__xludf.DUMMYFUNCTION("AVERAGE(QUERY(SORT(GOOGLEFINANCE(A478,""price"",TODAY()-300,TODAY()),1,0),""select Col2 limit 100""))"),293.68)</f>
        <v>293.68</v>
      </c>
      <c r="E478" s="45">
        <f>IFERROR(__xludf.DUMMYFUNCTION("AVERAGE(QUERY(SORT(GOOGLEFINANCE(A478,""price"",TODAY()-500,TODAY()),1,0),""select Col2 limit 200""))"),304.98475000000013)</f>
        <v>304.98475</v>
      </c>
      <c r="F478" s="46" t="str">
        <f t="shared" si="1"/>
        <v>In Bear Run</v>
      </c>
      <c r="G478" s="47">
        <f t="shared" si="2"/>
        <v>-25.24216375</v>
      </c>
      <c r="H478" s="48" t="str">
        <f t="shared" si="3"/>
        <v>Inverted ✗</v>
      </c>
      <c r="I478" s="48">
        <f t="shared" si="4"/>
        <v>0</v>
      </c>
      <c r="J478" s="48">
        <f t="shared" si="5"/>
        <v>0</v>
      </c>
      <c r="K478" s="49" t="str">
        <f>IFERROR(__xludf.DUMMYFUNCTION("IFERROR(IF(A478="""",""ENTER STOCK"",LET(stock,A478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78" s="48">
        <f t="shared" si="6"/>
        <v>0</v>
      </c>
      <c r="M478" s="48">
        <f t="shared" si="7"/>
        <v>1</v>
      </c>
      <c r="N478" s="50">
        <f t="shared" si="8"/>
        <v>1</v>
      </c>
      <c r="P478" s="46" t="str">
        <f t="shared" si="9"/>
        <v>REVERSE TRADE</v>
      </c>
      <c r="Q478" s="52"/>
      <c r="R478" s="53">
        <f t="shared" si="10"/>
        <v>15</v>
      </c>
      <c r="S478" s="53">
        <f>IFERROR(__xludf.DUMMYFUNCTION("IFERROR(ROUND(GOOGLEFINANCE(A478,""volume"")/GOOGLEFINANCE(A478,""volumeavg""),2),"""")"),1.09)</f>
        <v>1.09</v>
      </c>
      <c r="T478" s="53" t="str">
        <f t="shared" si="11"/>
        <v>LOW VOL</v>
      </c>
      <c r="U478" s="53">
        <f>IFERROR(__xludf.DUMMYFUNCTION("IFERROR(
  LET(
    sd, GOOGLEFINANCE(A478,""close"",TODAY()-100,TODAY()),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"""")"),0.91)</f>
        <v>0.91</v>
      </c>
      <c r="V478" s="53" t="str">
        <f t="shared" si="12"/>
        <v>MEDIUM</v>
      </c>
      <c r="W478" s="53">
        <f>IFERROR(__xludf.DUMMYFUNCTION("IFERROR(ROUND((B478/GOOGLEFINANCE(A478,""high52"")-1)*100,1),"""")"),-36.8)</f>
        <v>-36.8</v>
      </c>
      <c r="X478" s="53">
        <f>IFERROR(__xludf.DUMMYFUNCTION("IFERROR(ROUND((B478-GOOGLEFINANCE(A478,""low52""))/(GOOGLEFINANCE(A478,""high52"")-GOOGLEFINANCE(A478,""low52""))*100,1),"""")"),1.2)</f>
        <v>1.2</v>
      </c>
      <c r="Y478" s="53" t="str">
        <f t="shared" si="13"/>
        <v>MID</v>
      </c>
      <c r="Z478" s="53">
        <f>IFERROR(__xludf.DUMMYFUNCTION("IFERROR(ROUND(((B478 / INDEX(GOOGLEFINANCE(TRIM(A478), ""price"", TODAY()-34, TODAY()), 2, 2)) - (GOOGLEFINANCE(""NIFTY_50"") / INDEX(GOOGLEFINANCE(""NIFTY_50"", ""price"", TODAY()-34, TODAY()), 2, 2))) * 100, 2), ""Check History"")"),-12.61)</f>
        <v>-12.61</v>
      </c>
      <c r="AA478" s="53" t="str">
        <f t="shared" si="14"/>
        <v>WEAK RS</v>
      </c>
      <c r="AB478" s="53">
        <f>IFERROR(__xludf.DUMMYFUNCTION("IFERROR(LET(
  p, QUERY(GOOGLEFINANCE(TRIM(A478),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Loading"")"),54.7)</f>
        <v>54.7</v>
      </c>
      <c r="AC478" s="53" t="str">
        <f t="shared" si="15"/>
        <v>IDEAL ENTRY</v>
      </c>
      <c r="AD478" s="53" t="str">
        <f>IFERROR(__xludf.DUMMYFUNCTION("IFERROR(IF(GOOGLEFINANCE(A478,""eps"")&gt;0,""EPS+"",""EPS-""),"""")"),"EPS+")</f>
        <v>EPS+</v>
      </c>
      <c r="AE478" s="53">
        <f t="shared" si="16"/>
        <v>3</v>
      </c>
      <c r="AF478" s="53">
        <f>IFERROR(__xludf.DUMMYFUNCTION("IFERROR(N478+IF(S478&gt;=1.2,1,0)+IF(U478&gt;=1,1,0)+IF(Z478&gt;0,1,0)+IF(AND(W478&gt;=-20,W478&lt;=0),1,0)+IF(IFERROR(GOOGLEFINANCE(A478,""eps""),0)&gt;0,1,0),"""")"),2.0)</f>
        <v>2</v>
      </c>
      <c r="AG478" s="53" t="str">
        <f t="shared" si="17"/>
        <v>REVERSE TRADE</v>
      </c>
    </row>
    <row r="479" ht="15.75" customHeight="1">
      <c r="A479" s="55" t="s">
        <v>646</v>
      </c>
      <c r="B479" s="44">
        <f>IFERROR(__xludf.DUMMYFUNCTION("GOOGLEFINANCE(A479,""price"")"),911.0)</f>
        <v>911</v>
      </c>
      <c r="C479" s="45">
        <f>IFERROR(__xludf.DUMMYFUNCTION("AVERAGE(QUERY(SORT(GOOGLEFINANCE(A479,""price"",TODAY()-150,TODAY()),1,0),""select Col2 limit 50""))"),1093.4539999999997)</f>
        <v>1093.454</v>
      </c>
      <c r="D479" s="45">
        <f>IFERROR(__xludf.DUMMYFUNCTION("AVERAGE(QUERY(SORT(GOOGLEFINANCE(A479,""price"",TODAY()-300,TODAY()),1,0),""select Col2 limit 100""))"),1115.203)</f>
        <v>1115.203</v>
      </c>
      <c r="E479" s="45">
        <f>IFERROR(__xludf.DUMMYFUNCTION("AVERAGE(QUERY(SORT(GOOGLEFINANCE(A479,""price"",TODAY()-500,TODAY()),1,0),""select Col2 limit 200""))"),1200.0890000000002)</f>
        <v>1200.089</v>
      </c>
      <c r="F479" s="46" t="str">
        <f t="shared" si="1"/>
        <v>In Bear Run</v>
      </c>
      <c r="G479" s="47">
        <f t="shared" si="2"/>
        <v>-24.0889634</v>
      </c>
      <c r="H479" s="48" t="str">
        <f t="shared" si="3"/>
        <v>Inverted ✗</v>
      </c>
      <c r="I479" s="48">
        <f t="shared" si="4"/>
        <v>0</v>
      </c>
      <c r="J479" s="48">
        <f t="shared" si="5"/>
        <v>0</v>
      </c>
      <c r="K479" s="49" t="str">
        <f>IFERROR(__xludf.DUMMYFUNCTION("IFERROR(IF(A479="""",""ENTER STOCK"",LET(stock,A479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79" s="48">
        <f t="shared" si="6"/>
        <v>0</v>
      </c>
      <c r="M479" s="48">
        <f t="shared" si="7"/>
        <v>1</v>
      </c>
      <c r="N479" s="50">
        <f t="shared" si="8"/>
        <v>1</v>
      </c>
      <c r="P479" s="46" t="str">
        <f t="shared" si="9"/>
        <v>REVERSE TRADE</v>
      </c>
      <c r="Q479" s="52"/>
      <c r="R479" s="53">
        <f t="shared" si="10"/>
        <v>15</v>
      </c>
      <c r="S479" s="53">
        <f>IFERROR(__xludf.DUMMYFUNCTION("IFERROR(ROUND(GOOGLEFINANCE(A479,""volume"")/GOOGLEFINANCE(A479,""volumeavg""),2),"""")"),0.61)</f>
        <v>0.61</v>
      </c>
      <c r="T479" s="53" t="str">
        <f t="shared" si="11"/>
        <v>LOW VOL</v>
      </c>
      <c r="U479" s="53">
        <f>IFERROR(__xludf.DUMMYFUNCTION("IFERROR(
  LET(
    sd, GOOGLEFINANCE(A479,""close"",TODAY()-100,TODAY()),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"""")"),0.54)</f>
        <v>0.54</v>
      </c>
      <c r="V479" s="53" t="str">
        <f t="shared" si="12"/>
        <v>SLOW</v>
      </c>
      <c r="W479" s="53">
        <f>IFERROR(__xludf.DUMMYFUNCTION("IFERROR(ROUND((B479/GOOGLEFINANCE(A479,""high52"")-1)*100,1),"""")"),-40.0)</f>
        <v>-40</v>
      </c>
      <c r="X479" s="53">
        <f>IFERROR(__xludf.DUMMYFUNCTION("IFERROR(ROUND((B479-GOOGLEFINANCE(A479,""low52""))/(GOOGLEFINANCE(A479,""high52"")-GOOGLEFINANCE(A479,""low52""))*100,1),"""")"),5.1)</f>
        <v>5.1</v>
      </c>
      <c r="Y479" s="53" t="str">
        <f t="shared" si="13"/>
        <v>MID</v>
      </c>
      <c r="Z479" s="53">
        <f>IFERROR(__xludf.DUMMYFUNCTION("IFERROR(ROUND(((B479 / INDEX(GOOGLEFINANCE(TRIM(A479), ""price"", TODAY()-34, TODAY()), 2, 2)) - (GOOGLEFINANCE(""NIFTY_50"") / INDEX(GOOGLEFINANCE(""NIFTY_50"", ""price"", TODAY()-34, TODAY()), 2, 2))) * 100, 2), ""Check History"")"),-12.24)</f>
        <v>-12.24</v>
      </c>
      <c r="AA479" s="53" t="str">
        <f t="shared" si="14"/>
        <v>WEAK RS</v>
      </c>
      <c r="AB479" s="53">
        <f>IFERROR(__xludf.DUMMYFUNCTION("IFERROR(LET(
  p, QUERY(GOOGLEFINANCE(TRIM(A479),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Loading"")"),49.0)</f>
        <v>49</v>
      </c>
      <c r="AC479" s="53" t="str">
        <f t="shared" si="15"/>
        <v>IDEAL ENTRY</v>
      </c>
      <c r="AD479" s="53" t="str">
        <f>IFERROR(__xludf.DUMMYFUNCTION("IFERROR(IF(GOOGLEFINANCE(A479,""eps"")&gt;0,""EPS+"",""EPS-""),"""")"),"EPS+")</f>
        <v>EPS+</v>
      </c>
      <c r="AE479" s="53">
        <f t="shared" si="16"/>
        <v>0</v>
      </c>
      <c r="AF479" s="53">
        <f>IFERROR(__xludf.DUMMYFUNCTION("IFERROR(N479+IF(S479&gt;=1.2,1,0)+IF(U479&gt;=1,1,0)+IF(Z479&gt;0,1,0)+IF(AND(W479&gt;=-20,W479&lt;=0),1,0)+IF(IFERROR(GOOGLEFINANCE(A479,""eps""),0)&gt;0,1,0),"""")"),2.0)</f>
        <v>2</v>
      </c>
      <c r="AG479" s="53" t="str">
        <f t="shared" si="17"/>
        <v>REVERSE TRADE</v>
      </c>
    </row>
    <row r="480" ht="15.75" customHeight="1">
      <c r="A480" s="55" t="s">
        <v>647</v>
      </c>
      <c r="B480" s="44">
        <f>IFERROR(__xludf.DUMMYFUNCTION("GOOGLEFINANCE(A480,""price"")"),238.7)</f>
        <v>238.7</v>
      </c>
      <c r="C480" s="45">
        <f>IFERROR(__xludf.DUMMYFUNCTION("AVERAGE(QUERY(SORT(GOOGLEFINANCE(A480,""price"",TODAY()-150,TODAY()),1,0),""select Col2 limit 50""))"),276.22)</f>
        <v>276.22</v>
      </c>
      <c r="D480" s="45">
        <f>IFERROR(__xludf.DUMMYFUNCTION("AVERAGE(QUERY(SORT(GOOGLEFINANCE(A480,""price"",TODAY()-300,TODAY()),1,0),""select Col2 limit 100""))"),292.92899999999986)</f>
        <v>292.929</v>
      </c>
      <c r="E480" s="45">
        <f>IFERROR(__xludf.DUMMYFUNCTION("AVERAGE(QUERY(SORT(GOOGLEFINANCE(A480,""price"",TODAY()-500,TODAY()),1,0),""select Col2 limit 200""))"),303.71200000000016)</f>
        <v>303.712</v>
      </c>
      <c r="F480" s="46" t="str">
        <f t="shared" si="1"/>
        <v>In Bear Run</v>
      </c>
      <c r="G480" s="47">
        <f t="shared" si="2"/>
        <v>-21.4058055</v>
      </c>
      <c r="H480" s="48" t="str">
        <f t="shared" si="3"/>
        <v>Inverted ✗</v>
      </c>
      <c r="I480" s="48">
        <f t="shared" si="4"/>
        <v>0</v>
      </c>
      <c r="J480" s="48">
        <f t="shared" si="5"/>
        <v>0</v>
      </c>
      <c r="K480" s="49" t="str">
        <f>IFERROR(__xludf.DUMMYFUNCTION("IFERROR(IF(A480="""",""ENTER STOCK"",LET(stock,A480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80" s="48">
        <f t="shared" si="6"/>
        <v>0</v>
      </c>
      <c r="M480" s="48">
        <f t="shared" si="7"/>
        <v>1</v>
      </c>
      <c r="N480" s="50">
        <f t="shared" si="8"/>
        <v>1</v>
      </c>
      <c r="P480" s="46" t="str">
        <f t="shared" si="9"/>
        <v>REVERSE TRADE</v>
      </c>
      <c r="Q480" s="52"/>
      <c r="R480" s="53">
        <f t="shared" si="10"/>
        <v>15</v>
      </c>
      <c r="S480" s="53">
        <f>IFERROR(__xludf.DUMMYFUNCTION("IFERROR(ROUND(GOOGLEFINANCE(A480,""volume"")/GOOGLEFINANCE(A480,""volumeavg""),2),"""")"),0.13)</f>
        <v>0.13</v>
      </c>
      <c r="T480" s="53" t="str">
        <f t="shared" si="11"/>
        <v>LOW VOL</v>
      </c>
      <c r="U480" s="53">
        <f>IFERROR(__xludf.DUMMYFUNCTION("IFERROR(
  LET(
    sd, GOOGLEFINANCE(A480,""close"",TODAY()-100,TODAY()),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"""")"),1.2)</f>
        <v>1.2</v>
      </c>
      <c r="V480" s="53" t="str">
        <f t="shared" si="12"/>
        <v>FAST</v>
      </c>
      <c r="W480" s="53">
        <f>IFERROR(__xludf.DUMMYFUNCTION("IFERROR(ROUND((B480/GOOGLEFINANCE(A480,""high52"")-1)*100,1),"""")"),-36.0)</f>
        <v>-36</v>
      </c>
      <c r="X480" s="53">
        <f>IFERROR(__xludf.DUMMYFUNCTION("IFERROR(ROUND((B480-GOOGLEFINANCE(A480,""low52""))/(GOOGLEFINANCE(A480,""high52"")-GOOGLEFINANCE(A480,""low52""))*100,1),"""")"),3.4)</f>
        <v>3.4</v>
      </c>
      <c r="Y480" s="53" t="str">
        <f t="shared" si="13"/>
        <v>MID</v>
      </c>
      <c r="Z480" s="53">
        <f>IFERROR(__xludf.DUMMYFUNCTION("IFERROR(ROUND(((B480 / INDEX(GOOGLEFINANCE(TRIM(A480), ""price"", TODAY()-34, TODAY()), 2, 2)) - (GOOGLEFINANCE(""NIFTY_50"") / INDEX(GOOGLEFINANCE(""NIFTY_50"", ""price"", TODAY()-34, TODAY()), 2, 2))) * 100, 2), ""Check History"")"),-0.56)</f>
        <v>-0.56</v>
      </c>
      <c r="AA480" s="53" t="str">
        <f t="shared" si="14"/>
        <v>WEAK RS</v>
      </c>
      <c r="AB480" s="53">
        <f>IFERROR(__xludf.DUMMYFUNCTION("IFERROR(LET(
  p, QUERY(GOOGLEFINANCE(TRIM(A480),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Loading"")"),53.0)</f>
        <v>53</v>
      </c>
      <c r="AC480" s="53" t="str">
        <f t="shared" si="15"/>
        <v>IDEAL ENTRY</v>
      </c>
      <c r="AD480" s="53" t="str">
        <f>IFERROR(__xludf.DUMMYFUNCTION("IFERROR(IF(GOOGLEFINANCE(A480,""eps"")&gt;0,""EPS+"",""EPS-""),"""")"),"EPS-")</f>
        <v>EPS-</v>
      </c>
      <c r="AE480" s="53">
        <f t="shared" si="16"/>
        <v>3</v>
      </c>
      <c r="AF480" s="53">
        <f>IFERROR(__xludf.DUMMYFUNCTION("IFERROR(N480+IF(S480&gt;=1.2,1,0)+IF(U480&gt;=1,1,0)+IF(Z480&gt;0,1,0)+IF(AND(W480&gt;=-20,W480&lt;=0),1,0)+IF(IFERROR(GOOGLEFINANCE(A480,""eps""),0)&gt;0,1,0),"""")"),2.0)</f>
        <v>2</v>
      </c>
      <c r="AG480" s="53" t="str">
        <f t="shared" si="17"/>
        <v>REVERSE TRADE</v>
      </c>
    </row>
    <row r="481" ht="15.75" customHeight="1">
      <c r="A481" s="55" t="s">
        <v>648</v>
      </c>
      <c r="B481" s="44">
        <f>IFERROR(__xludf.DUMMYFUNCTION("GOOGLEFINANCE(A481,""price"")"),75.4)</f>
        <v>75.4</v>
      </c>
      <c r="C481" s="45">
        <f>IFERROR(__xludf.DUMMYFUNCTION("AVERAGE(QUERY(SORT(GOOGLEFINANCE(A481,""price"",TODAY()-150,TODAY()),1,0),""select Col2 limit 50""))"),95.6978)</f>
        <v>95.6978</v>
      </c>
      <c r="D481" s="45">
        <f>IFERROR(__xludf.DUMMYFUNCTION("AVERAGE(QUERY(SORT(GOOGLEFINANCE(A481,""price"",TODAY()-300,TODAY()),1,0),""select Col2 limit 100""))"),113.85570000000003)</f>
        <v>113.8557</v>
      </c>
      <c r="E481" s="45">
        <f>IFERROR(__xludf.DUMMYFUNCTION("AVERAGE(QUERY(SORT(GOOGLEFINANCE(A481,""price"",TODAY()-500,TODAY()),1,0),""select Col2 limit 200""))"),134.17134999999996)</f>
        <v>134.17135</v>
      </c>
      <c r="F481" s="46" t="str">
        <f t="shared" si="1"/>
        <v>In Bear Run</v>
      </c>
      <c r="G481" s="47">
        <f t="shared" si="2"/>
        <v>-43.80320389</v>
      </c>
      <c r="H481" s="48" t="str">
        <f t="shared" si="3"/>
        <v>Inverted ✗</v>
      </c>
      <c r="I481" s="48">
        <f t="shared" si="4"/>
        <v>0</v>
      </c>
      <c r="J481" s="48">
        <f t="shared" si="5"/>
        <v>0</v>
      </c>
      <c r="K481" s="49" t="str">
        <f>IFERROR(__xludf.DUMMYFUNCTION("IFERROR(IF(A481="""",""ENTER STOCK"",LET(stock,A481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81" s="48">
        <f t="shared" si="6"/>
        <v>0</v>
      </c>
      <c r="M481" s="48">
        <f t="shared" si="7"/>
        <v>1</v>
      </c>
      <c r="N481" s="50">
        <f t="shared" si="8"/>
        <v>1</v>
      </c>
      <c r="P481" s="46" t="str">
        <f t="shared" si="9"/>
        <v>REVERSE TRADE</v>
      </c>
      <c r="Q481" s="52"/>
      <c r="R481" s="53">
        <f t="shared" si="10"/>
        <v>15</v>
      </c>
      <c r="S481" s="53">
        <f>IFERROR(__xludf.DUMMYFUNCTION("IFERROR(ROUND(GOOGLEFINANCE(A481,""volume"")/GOOGLEFINANCE(A481,""volumeavg""),2),"""")"),1.03)</f>
        <v>1.03</v>
      </c>
      <c r="T481" s="53" t="str">
        <f t="shared" si="11"/>
        <v>LOW VOL</v>
      </c>
      <c r="U481" s="53">
        <f>IFERROR(__xludf.DUMMYFUNCTION("IFERROR(
  LET(
    sd, GOOGLEFINANCE(A481,""close"",TODAY()-100,TODAY()),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"""")"),1.74)</f>
        <v>1.74</v>
      </c>
      <c r="V481" s="53" t="str">
        <f t="shared" si="12"/>
        <v>FAST</v>
      </c>
      <c r="W481" s="53">
        <f>IFERROR(__xludf.DUMMYFUNCTION("IFERROR(ROUND((B481/GOOGLEFINANCE(A481,""high52"")-1)*100,1),"""")"),-61.9)</f>
        <v>-61.9</v>
      </c>
      <c r="X481" s="53">
        <f>IFERROR(__xludf.DUMMYFUNCTION("IFERROR(ROUND((B481-GOOGLEFINANCE(A481,""low52""))/(GOOGLEFINANCE(A481,""high52"")-GOOGLEFINANCE(A481,""low52""))*100,1),"""")"),0.3)</f>
        <v>0.3</v>
      </c>
      <c r="Y481" s="53" t="str">
        <f t="shared" si="13"/>
        <v>DEEP RECOVERY</v>
      </c>
      <c r="Z481" s="53">
        <f>IFERROR(__xludf.DUMMYFUNCTION("IFERROR(ROUND(((B481 / INDEX(GOOGLEFINANCE(TRIM(A481), ""price"", TODAY()-34, TODAY()), 2, 2)) - (GOOGLEFINANCE(""NIFTY_50"") / INDEX(GOOGLEFINANCE(""NIFTY_50"", ""price"", TODAY()-34, TODAY()), 2, 2))) * 100, 2), ""Check History"")"),-8.49)</f>
        <v>-8.49</v>
      </c>
      <c r="AA481" s="53" t="str">
        <f t="shared" si="14"/>
        <v>WEAK RS</v>
      </c>
      <c r="AB481" s="53">
        <f>IFERROR(__xludf.DUMMYFUNCTION("IFERROR(LET(
  p, QUERY(GOOGLEFINANCE(TRIM(A481),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Loading"")"),48.9)</f>
        <v>48.9</v>
      </c>
      <c r="AC481" s="53" t="str">
        <f t="shared" si="15"/>
        <v>IDEAL ENTRY</v>
      </c>
      <c r="AD481" s="53" t="str">
        <f>IFERROR(__xludf.DUMMYFUNCTION("IFERROR(IF(GOOGLEFINANCE(A481,""eps"")&gt;0,""EPS+"",""EPS-""),"""")"),"EPS+")</f>
        <v>EPS+</v>
      </c>
      <c r="AE481" s="53">
        <f t="shared" si="16"/>
        <v>4</v>
      </c>
      <c r="AF481" s="53">
        <f>IFERROR(__xludf.DUMMYFUNCTION("IFERROR(N481+IF(S481&gt;=1.2,1,0)+IF(U481&gt;=1,1,0)+IF(Z481&gt;0,1,0)+IF(AND(W481&gt;=-20,W481&lt;=0),1,0)+IF(IFERROR(GOOGLEFINANCE(A481,""eps""),0)&gt;0,1,0),"""")"),3.0)</f>
        <v>3</v>
      </c>
      <c r="AG481" s="53" t="str">
        <f t="shared" si="17"/>
        <v>REVERSE TRADE</v>
      </c>
    </row>
    <row r="482" ht="15.75" customHeight="1">
      <c r="A482" s="55" t="s">
        <v>649</v>
      </c>
      <c r="B482" s="44">
        <f>IFERROR(__xludf.DUMMYFUNCTION("GOOGLEFINANCE(A482,""price"")"),14.08)</f>
        <v>14.08</v>
      </c>
      <c r="C482" s="45">
        <f>IFERROR(__xludf.DUMMYFUNCTION("AVERAGE(QUERY(SORT(GOOGLEFINANCE(A482,""price"",TODAY()-150,TODAY()),1,0),""select Col2 limit 50""))"),14.883800000000006)</f>
        <v>14.8838</v>
      </c>
      <c r="D482" s="45">
        <f>IFERROR(__xludf.DUMMYFUNCTION("AVERAGE(QUERY(SORT(GOOGLEFINANCE(A482,""price"",TODAY()-300,TODAY()),1,0),""select Col2 limit 100""))"),16.513600000000004)</f>
        <v>16.5136</v>
      </c>
      <c r="E482" s="45">
        <f>IFERROR(__xludf.DUMMYFUNCTION("AVERAGE(QUERY(SORT(GOOGLEFINANCE(A482,""price"",TODAY()-500,TODAY()),1,0),""select Col2 limit 200""))"),17.823100000000007)</f>
        <v>17.8231</v>
      </c>
      <c r="F482" s="46" t="str">
        <f t="shared" si="1"/>
        <v>In Bear Run</v>
      </c>
      <c r="G482" s="47">
        <f t="shared" si="2"/>
        <v>-21.00139706</v>
      </c>
      <c r="H482" s="48" t="str">
        <f t="shared" si="3"/>
        <v>Inverted ✗</v>
      </c>
      <c r="I482" s="48">
        <f t="shared" si="4"/>
        <v>0</v>
      </c>
      <c r="J482" s="48">
        <f t="shared" si="5"/>
        <v>0</v>
      </c>
      <c r="K482" s="49" t="str">
        <f>IFERROR(__xludf.DUMMYFUNCTION("IFERROR(IF(A482="""",""ENTER STOCK"",LET(stock,A482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82" s="48">
        <f t="shared" si="6"/>
        <v>0</v>
      </c>
      <c r="M482" s="48">
        <f t="shared" si="7"/>
        <v>1</v>
      </c>
      <c r="N482" s="50">
        <f t="shared" si="8"/>
        <v>1</v>
      </c>
      <c r="P482" s="46" t="str">
        <f t="shared" si="9"/>
        <v>REVERSE TRADE</v>
      </c>
      <c r="Q482" s="52"/>
      <c r="R482" s="53">
        <f t="shared" si="10"/>
        <v>15</v>
      </c>
      <c r="S482" s="53">
        <f>IFERROR(__xludf.DUMMYFUNCTION("IFERROR(ROUND(GOOGLEFINANCE(A482,""volume"")/GOOGLEFINANCE(A482,""volumeavg""),2),"""")"),0.93)</f>
        <v>0.93</v>
      </c>
      <c r="T482" s="53" t="str">
        <f t="shared" si="11"/>
        <v>LOW VOL</v>
      </c>
      <c r="U482" s="53">
        <f>IFERROR(__xludf.DUMMYFUNCTION("IFERROR(
  LET(
    sd, GOOGLEFINANCE(A482,""close"",TODAY()-100,TODAY()),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"""")"),0.83)</f>
        <v>0.83</v>
      </c>
      <c r="V482" s="53" t="str">
        <f t="shared" si="12"/>
        <v>SLOW</v>
      </c>
      <c r="W482" s="53">
        <f>IFERROR(__xludf.DUMMYFUNCTION("IFERROR(ROUND((B482/GOOGLEFINANCE(A482,""high52"")-1)*100,1),"""")"),-49.2)</f>
        <v>-49.2</v>
      </c>
      <c r="X482" s="53">
        <f>IFERROR(__xludf.DUMMYFUNCTION("IFERROR(ROUND((B482-GOOGLEFINANCE(A482,""low52""))/(GOOGLEFINANCE(A482,""high52"")-GOOGLEFINANCE(A482,""low52""))*100,1),"""")"),10.3)</f>
        <v>10.3</v>
      </c>
      <c r="Y482" s="53" t="str">
        <f t="shared" si="13"/>
        <v>DEEP RECOVERY</v>
      </c>
      <c r="Z482" s="53">
        <f>IFERROR(__xludf.DUMMYFUNCTION("IFERROR(ROUND(((B482 / INDEX(GOOGLEFINANCE(TRIM(A482), ""price"", TODAY()-34, TODAY()), 2, 2)) - (GOOGLEFINANCE(""NIFTY_50"") / INDEX(GOOGLEFINANCE(""NIFTY_50"", ""price"", TODAY()-34, TODAY()), 2, 2))) * 100, 2), ""Check History"")"),10.01)</f>
        <v>10.01</v>
      </c>
      <c r="AA482" s="53" t="str">
        <f t="shared" si="14"/>
        <v>STRONG RS</v>
      </c>
      <c r="AB482" s="53">
        <f>IFERROR(__xludf.DUMMYFUNCTION("IFERROR(LET(
  p, QUERY(GOOGLEFINANCE(TRIM(A482),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Loading"")"),46.7)</f>
        <v>46.7</v>
      </c>
      <c r="AC482" s="53" t="str">
        <f t="shared" si="15"/>
        <v>IDEAL ENTRY</v>
      </c>
      <c r="AD482" s="53" t="str">
        <f>IFERROR(__xludf.DUMMYFUNCTION("IFERROR(IF(GOOGLEFINANCE(A482,""eps"")&gt;0,""EPS+"",""EPS-""),"""")"),"EPS+")</f>
        <v>EPS+</v>
      </c>
      <c r="AE482" s="53">
        <f t="shared" si="16"/>
        <v>3</v>
      </c>
      <c r="AF482" s="53">
        <f>IFERROR(__xludf.DUMMYFUNCTION("IFERROR(N482+IF(S482&gt;=1.2,1,0)+IF(U482&gt;=1,1,0)+IF(Z482&gt;0,1,0)+IF(AND(W482&gt;=-20,W482&lt;=0),1,0)+IF(IFERROR(GOOGLEFINANCE(A482,""eps""),0)&gt;0,1,0),"""")"),3.0)</f>
        <v>3</v>
      </c>
      <c r="AG482" s="53" t="str">
        <f t="shared" si="17"/>
        <v>REVERSE TRADE</v>
      </c>
    </row>
    <row r="483" ht="15.75" customHeight="1">
      <c r="A483" s="55" t="s">
        <v>650</v>
      </c>
      <c r="B483" s="44">
        <f>IFERROR(__xludf.DUMMYFUNCTION("GOOGLEFINANCE(A483,""price"")"),100.89)</f>
        <v>100.89</v>
      </c>
      <c r="C483" s="45">
        <f>IFERROR(__xludf.DUMMYFUNCTION("AVERAGE(QUERY(SORT(GOOGLEFINANCE(A483,""price"",TODAY()-150,TODAY()),1,0),""select Col2 limit 50""))"),120.13459999999999)</f>
        <v>120.1346</v>
      </c>
      <c r="D483" s="45">
        <f>IFERROR(__xludf.DUMMYFUNCTION("AVERAGE(QUERY(SORT(GOOGLEFINANCE(A483,""price"",TODAY()-300,TODAY()),1,0),""select Col2 limit 100""))"),139.37440000000004)</f>
        <v>139.3744</v>
      </c>
      <c r="E483" s="45">
        <f>IFERROR(__xludf.DUMMYFUNCTION("AVERAGE(QUERY(SORT(GOOGLEFINANCE(A483,""price"",TODAY()-500,TODAY()),1,0),""select Col2 limit 200""))"),148.0092)</f>
        <v>148.0092</v>
      </c>
      <c r="F483" s="46" t="str">
        <f t="shared" si="1"/>
        <v>In Bear Run</v>
      </c>
      <c r="G483" s="47">
        <f t="shared" si="2"/>
        <v>-31.83531835</v>
      </c>
      <c r="H483" s="48" t="str">
        <f t="shared" si="3"/>
        <v>Inverted ✗</v>
      </c>
      <c r="I483" s="48">
        <f t="shared" si="4"/>
        <v>0</v>
      </c>
      <c r="J483" s="48">
        <f t="shared" si="5"/>
        <v>0</v>
      </c>
      <c r="K483" s="49" t="str">
        <f>IFERROR(__xludf.DUMMYFUNCTION("IFERROR(IF(A483="""",""ENTER STOCK"",LET(stock,A483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83" s="48">
        <f t="shared" si="6"/>
        <v>0</v>
      </c>
      <c r="M483" s="48">
        <f t="shared" si="7"/>
        <v>1</v>
      </c>
      <c r="N483" s="50">
        <f t="shared" si="8"/>
        <v>1</v>
      </c>
      <c r="P483" s="46" t="str">
        <f t="shared" si="9"/>
        <v>REVERSE TRADE</v>
      </c>
      <c r="Q483" s="52"/>
      <c r="R483" s="53">
        <f t="shared" si="10"/>
        <v>15</v>
      </c>
      <c r="S483" s="53">
        <f>IFERROR(__xludf.DUMMYFUNCTION("IFERROR(ROUND(GOOGLEFINANCE(A483,""volume"")/GOOGLEFINANCE(A483,""volumeavg""),2),"""")"),1.17)</f>
        <v>1.17</v>
      </c>
      <c r="T483" s="53" t="str">
        <f t="shared" si="11"/>
        <v>LOW VOL</v>
      </c>
      <c r="U483" s="53">
        <f>IFERROR(__xludf.DUMMYFUNCTION("IFERROR(
  LET(
    sd, GOOGLEFINANCE(A483,""close"",TODAY()-100,TODAY()),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"""")"),0.35)</f>
        <v>0.35</v>
      </c>
      <c r="V483" s="53" t="str">
        <f t="shared" si="12"/>
        <v>SLOW</v>
      </c>
      <c r="W483" s="53">
        <f>IFERROR(__xludf.DUMMYFUNCTION("IFERROR(ROUND((B483/GOOGLEFINANCE(A483,""high52"")-1)*100,1),"""")"),-44.2)</f>
        <v>-44.2</v>
      </c>
      <c r="X483" s="53">
        <f>IFERROR(__xludf.DUMMYFUNCTION("IFERROR(ROUND((B483-GOOGLEFINANCE(A483,""low52""))/(GOOGLEFINANCE(A483,""high52"")-GOOGLEFINANCE(A483,""low52""))*100,1),"""")"),1.6)</f>
        <v>1.6</v>
      </c>
      <c r="Y483" s="53" t="str">
        <f t="shared" si="13"/>
        <v>DEEP RECOVERY</v>
      </c>
      <c r="Z483" s="53">
        <f>IFERROR(__xludf.DUMMYFUNCTION("IFERROR(ROUND(((B483 / INDEX(GOOGLEFINANCE(TRIM(A483), ""price"", TODAY()-34, TODAY()), 2, 2)) - (GOOGLEFINANCE(""NIFTY_50"") / INDEX(GOOGLEFINANCE(""NIFTY_50"", ""price"", TODAY()-34, TODAY()), 2, 2))) * 100, 2), ""Check History"")"),0.92)</f>
        <v>0.92</v>
      </c>
      <c r="AA483" s="53" t="str">
        <f t="shared" si="14"/>
        <v>MILD RS</v>
      </c>
      <c r="AB483" s="53">
        <f>IFERROR(__xludf.DUMMYFUNCTION("IFERROR(LET(
  p, QUERY(GOOGLEFINANCE(TRIM(A483),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Loading"")"),45.4)</f>
        <v>45.4</v>
      </c>
      <c r="AC483" s="53" t="str">
        <f t="shared" si="15"/>
        <v>IDEAL ENTRY</v>
      </c>
      <c r="AD483" s="53" t="str">
        <f>IFERROR(__xludf.DUMMYFUNCTION("IFERROR(IF(GOOGLEFINANCE(A483,""eps"")&gt;0,""EPS+"",""EPS-""),"""")"),"EPS+")</f>
        <v>EPS+</v>
      </c>
      <c r="AE483" s="53">
        <f t="shared" si="16"/>
        <v>2</v>
      </c>
      <c r="AF483" s="53">
        <f>IFERROR(__xludf.DUMMYFUNCTION("IFERROR(N483+IF(S483&gt;=1.2,1,0)+IF(U483&gt;=1,1,0)+IF(Z483&gt;0,1,0)+IF(AND(W483&gt;=-20,W483&lt;=0),1,0)+IF(IFERROR(GOOGLEFINANCE(A483,""eps""),0)&gt;0,1,0),"""")"),3.0)</f>
        <v>3</v>
      </c>
      <c r="AG483" s="53" t="str">
        <f t="shared" si="17"/>
        <v>REVERSE TRADE</v>
      </c>
    </row>
    <row r="484" ht="15.75" customHeight="1">
      <c r="A484" s="55" t="s">
        <v>651</v>
      </c>
      <c r="B484" s="44">
        <f>IFERROR(__xludf.DUMMYFUNCTION("GOOGLEFINANCE(A484,""price"")"),52.0)</f>
        <v>52</v>
      </c>
      <c r="C484" s="45">
        <f>IFERROR(__xludf.DUMMYFUNCTION("AVERAGE(QUERY(SORT(GOOGLEFINANCE(A484,""price"",TODAY()-150,TODAY()),1,0),""select Col2 limit 50""))"),61.48959999999997)</f>
        <v>61.4896</v>
      </c>
      <c r="D484" s="45">
        <f>IFERROR(__xludf.DUMMYFUNCTION("AVERAGE(QUERY(SORT(GOOGLEFINANCE(A484,""price"",TODAY()-300,TODAY()),1,0),""select Col2 limit 100""))"),61.66979999999999)</f>
        <v>61.6698</v>
      </c>
      <c r="E484" s="45">
        <f>IFERROR(__xludf.DUMMYFUNCTION("AVERAGE(QUERY(SORT(GOOGLEFINANCE(A484,""price"",TODAY()-500,TODAY()),1,0),""select Col2 limit 200""))"),64.48114999999999)</f>
        <v>64.48115</v>
      </c>
      <c r="F484" s="46" t="str">
        <f t="shared" si="1"/>
        <v>In Bear Run</v>
      </c>
      <c r="G484" s="47">
        <f t="shared" si="2"/>
        <v>-19.35627699</v>
      </c>
      <c r="H484" s="48" t="str">
        <f t="shared" si="3"/>
        <v>Inverted ✗</v>
      </c>
      <c r="I484" s="48">
        <f t="shared" si="4"/>
        <v>0</v>
      </c>
      <c r="J484" s="48">
        <f t="shared" si="5"/>
        <v>0</v>
      </c>
      <c r="K484" s="49" t="str">
        <f>IFERROR(__xludf.DUMMYFUNCTION("IFERROR(IF(A484="""",""ENTER STOCK"",LET(stock,A484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84" s="48">
        <f t="shared" si="6"/>
        <v>0</v>
      </c>
      <c r="M484" s="48">
        <f t="shared" si="7"/>
        <v>1</v>
      </c>
      <c r="N484" s="50">
        <f t="shared" si="8"/>
        <v>1</v>
      </c>
      <c r="P484" s="46" t="str">
        <f t="shared" si="9"/>
        <v>REVERSE TRADE</v>
      </c>
      <c r="Q484" s="52"/>
      <c r="R484" s="53">
        <f t="shared" si="10"/>
        <v>15</v>
      </c>
      <c r="S484" s="53">
        <f>IFERROR(__xludf.DUMMYFUNCTION("IFERROR(ROUND(GOOGLEFINANCE(A484,""volume"")/GOOGLEFINANCE(A484,""volumeavg""),2),"""")"),0.38)</f>
        <v>0.38</v>
      </c>
      <c r="T484" s="53" t="str">
        <f t="shared" si="11"/>
        <v>LOW VOL</v>
      </c>
      <c r="U484" s="53">
        <f>IFERROR(__xludf.DUMMYFUNCTION("IFERROR(
  LET(
    sd, GOOGLEFINANCE(A484,""close"",TODAY()-100,TODAY()),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"""")"),1.69)</f>
        <v>1.69</v>
      </c>
      <c r="V484" s="53" t="str">
        <f t="shared" si="12"/>
        <v>FAST</v>
      </c>
      <c r="W484" s="53">
        <f>IFERROR(__xludf.DUMMYFUNCTION("IFERROR(ROUND((B484/GOOGLEFINANCE(A484,""high52"")-1)*100,1),"""")"),-41.0)</f>
        <v>-41</v>
      </c>
      <c r="X484" s="53">
        <f>IFERROR(__xludf.DUMMYFUNCTION("IFERROR(ROUND((B484-GOOGLEFINANCE(A484,""low52""))/(GOOGLEFINANCE(A484,""high52"")-GOOGLEFINANCE(A484,""low52""))*100,1),"""")"),17.2)</f>
        <v>17.2</v>
      </c>
      <c r="Y484" s="53" t="str">
        <f t="shared" si="13"/>
        <v>DEEP RECOVERY</v>
      </c>
      <c r="Z484" s="53">
        <f>IFERROR(__xludf.DUMMYFUNCTION("IFERROR(ROUND(((B484 / INDEX(GOOGLEFINANCE(TRIM(A484), ""price"", TODAY()-34, TODAY()), 2, 2)) - (GOOGLEFINANCE(""NIFTY_50"") / INDEX(GOOGLEFINANCE(""NIFTY_50"", ""price"", TODAY()-34, TODAY()), 2, 2))) * 100, 2), ""Check History"")"),-3.53)</f>
        <v>-3.53</v>
      </c>
      <c r="AA484" s="53" t="str">
        <f t="shared" si="14"/>
        <v>WEAK RS</v>
      </c>
      <c r="AB484" s="53">
        <f>IFERROR(__xludf.DUMMYFUNCTION("IFERROR(LET(
  p, QUERY(GOOGLEFINANCE(TRIM(A484),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Loading"")"),52.7)</f>
        <v>52.7</v>
      </c>
      <c r="AC484" s="53" t="str">
        <f t="shared" si="15"/>
        <v>IDEAL ENTRY</v>
      </c>
      <c r="AD484" s="53" t="str">
        <f>IFERROR(__xludf.DUMMYFUNCTION("IFERROR(IF(GOOGLEFINANCE(A484,""eps"")&gt;0,""EPS+"",""EPS-""),"""")"),"EPS+")</f>
        <v>EPS+</v>
      </c>
      <c r="AE484" s="53">
        <f t="shared" si="16"/>
        <v>3</v>
      </c>
      <c r="AF484" s="53">
        <f>IFERROR(__xludf.DUMMYFUNCTION("IFERROR(N484+IF(S484&gt;=1.2,1,0)+IF(U484&gt;=1,1,0)+IF(Z484&gt;0,1,0)+IF(AND(W484&gt;=-20,W484&lt;=0),1,0)+IF(IFERROR(GOOGLEFINANCE(A484,""eps""),0)&gt;0,1,0),"""")"),3.0)</f>
        <v>3</v>
      </c>
      <c r="AG484" s="53" t="str">
        <f t="shared" si="17"/>
        <v>REVERSE TRADE</v>
      </c>
    </row>
    <row r="485" ht="15.75" customHeight="1">
      <c r="A485" s="55" t="s">
        <v>652</v>
      </c>
      <c r="B485" s="44">
        <f>IFERROR(__xludf.DUMMYFUNCTION("GOOGLEFINANCE(A485,""price"")"),561.0)</f>
        <v>561</v>
      </c>
      <c r="C485" s="45">
        <f>IFERROR(__xludf.DUMMYFUNCTION("AVERAGE(QUERY(SORT(GOOGLEFINANCE(A485,""price"",TODAY()-150,TODAY()),1,0),""select Col2 limit 50""))"),539.5870000000001)</f>
        <v>539.587</v>
      </c>
      <c r="D485" s="45">
        <f>IFERROR(__xludf.DUMMYFUNCTION("AVERAGE(QUERY(SORT(GOOGLEFINANCE(A485,""price"",TODAY()-300,TODAY()),1,0),""select Col2 limit 100""))"),549.9379999999999)</f>
        <v>549.938</v>
      </c>
      <c r="E485" s="45">
        <f>IFERROR(__xludf.DUMMYFUNCTION("AVERAGE(QUERY(SORT(GOOGLEFINANCE(A485,""price"",TODAY()-500,TODAY()),1,0),""select Col2 limit 200""))"),603.9815)</f>
        <v>603.9815</v>
      </c>
      <c r="F485" s="46" t="str">
        <f t="shared" si="1"/>
        <v>Unconfirmed</v>
      </c>
      <c r="G485" s="47">
        <f t="shared" si="2"/>
        <v>-7.116360352</v>
      </c>
      <c r="H485" s="48" t="str">
        <f t="shared" si="3"/>
        <v>Inverted ✗</v>
      </c>
      <c r="I485" s="48">
        <f t="shared" si="4"/>
        <v>0</v>
      </c>
      <c r="J485" s="48">
        <f t="shared" si="5"/>
        <v>0</v>
      </c>
      <c r="K485" s="49" t="str">
        <f>IFERROR(__xludf.DUMMYFUNCTION("IFERROR(IF(A485="""",""ENTER STOCK"",LET(stock,A485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85" s="48">
        <f t="shared" si="6"/>
        <v>0</v>
      </c>
      <c r="M485" s="48">
        <f t="shared" si="7"/>
        <v>1</v>
      </c>
      <c r="N485" s="50">
        <f t="shared" si="8"/>
        <v>1</v>
      </c>
      <c r="P485" s="46" t="str">
        <f t="shared" si="9"/>
        <v>WAIT</v>
      </c>
      <c r="Q485" s="52"/>
      <c r="R485" s="53">
        <f t="shared" si="10"/>
        <v>15</v>
      </c>
      <c r="S485" s="53">
        <f>IFERROR(__xludf.DUMMYFUNCTION("IFERROR(ROUND(GOOGLEFINANCE(A485,""volume"")/GOOGLEFINANCE(A485,""volumeavg""),2),"""")"),1.74)</f>
        <v>1.74</v>
      </c>
      <c r="T485" s="53" t="str">
        <f t="shared" si="11"/>
        <v>HIGH VOL</v>
      </c>
      <c r="U485" s="53">
        <f>IFERROR(__xludf.DUMMYFUNCTION("IFERROR(
  LET(
    sd, GOOGLEFINANCE(A485,""close"",TODAY()-100,TODAY()),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"""")"),0.94)</f>
        <v>0.94</v>
      </c>
      <c r="V485" s="53" t="str">
        <f t="shared" si="12"/>
        <v>MEDIUM</v>
      </c>
      <c r="W485" s="53">
        <f>IFERROR(__xludf.DUMMYFUNCTION("IFERROR(ROUND((B485/GOOGLEFINANCE(A485,""high52"")-1)*100,1),"""")"),-27.5)</f>
        <v>-27.5</v>
      </c>
      <c r="X485" s="53">
        <f>IFERROR(__xludf.DUMMYFUNCTION("IFERROR(ROUND((B485-GOOGLEFINANCE(A485,""low52""))/(GOOGLEFINANCE(A485,""high52"")-GOOGLEFINANCE(A485,""low52""))*100,1),"""")"),22.1)</f>
        <v>22.1</v>
      </c>
      <c r="Y485" s="53" t="str">
        <f t="shared" si="13"/>
        <v>MID</v>
      </c>
      <c r="Z485" s="53">
        <f>IFERROR(__xludf.DUMMYFUNCTION("IFERROR(ROUND(((B485 / INDEX(GOOGLEFINANCE(TRIM(A485), ""price"", TODAY()-34, TODAY()), 2, 2)) - (GOOGLEFINANCE(""NIFTY_50"") / INDEX(GOOGLEFINANCE(""NIFTY_50"", ""price"", TODAY()-34, TODAY()), 2, 2))) * 100, 2), ""Check History"")"),17.25)</f>
        <v>17.25</v>
      </c>
      <c r="AA485" s="53" t="str">
        <f t="shared" si="14"/>
        <v>STRONG RS</v>
      </c>
      <c r="AB485" s="53">
        <f>IFERROR(__xludf.DUMMYFUNCTION("IFERROR(LET(
  p, QUERY(GOOGLEFINANCE(TRIM(A485),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Loading"")"),48.5)</f>
        <v>48.5</v>
      </c>
      <c r="AC485" s="53" t="str">
        <f t="shared" si="15"/>
        <v>IDEAL ENTRY</v>
      </c>
      <c r="AD485" s="53" t="str">
        <f>IFERROR(__xludf.DUMMYFUNCTION("IFERROR(IF(GOOGLEFINANCE(A485,""eps"")&gt;0,""EPS+"",""EPS-""),"""")"),"EPS+")</f>
        <v>EPS+</v>
      </c>
      <c r="AE485" s="53">
        <f t="shared" si="16"/>
        <v>7</v>
      </c>
      <c r="AF485" s="53">
        <f>IFERROR(__xludf.DUMMYFUNCTION("IFERROR(N485+IF(S485&gt;=1.2,1,0)+IF(U485&gt;=1,1,0)+IF(Z485&gt;0,1,0)+IF(AND(W485&gt;=-20,W485&lt;=0),1,0)+IF(IFERROR(GOOGLEFINANCE(A485,""eps""),0)&gt;0,1,0),"""")"),4.0)</f>
        <v>4</v>
      </c>
      <c r="AG485" s="53" t="str">
        <f t="shared" si="17"/>
        <v>WAIT</v>
      </c>
    </row>
    <row r="486" ht="15.75" customHeight="1">
      <c r="A486" s="55" t="s">
        <v>653</v>
      </c>
      <c r="B486" s="44">
        <f>IFERROR(__xludf.DUMMYFUNCTION("GOOGLEFINANCE(A486,""price"")"),36.75)</f>
        <v>36.75</v>
      </c>
      <c r="C486" s="45">
        <f>IFERROR(__xludf.DUMMYFUNCTION("AVERAGE(QUERY(SORT(GOOGLEFINANCE(A486,""price"",TODAY()-150,TODAY()),1,0),""select Col2 limit 50""))"),41.898)</f>
        <v>41.898</v>
      </c>
      <c r="D486" s="45">
        <f>IFERROR(__xludf.DUMMYFUNCTION("AVERAGE(QUERY(SORT(GOOGLEFINANCE(A486,""price"",TODAY()-300,TODAY()),1,0),""select Col2 limit 100""))"),44.466300000000004)</f>
        <v>44.4663</v>
      </c>
      <c r="E486" s="45">
        <f>IFERROR(__xludf.DUMMYFUNCTION("AVERAGE(QUERY(SORT(GOOGLEFINANCE(A486,""price"",TODAY()-500,TODAY()),1,0),""select Col2 limit 200""))"),43.827650000000006)</f>
        <v>43.82765</v>
      </c>
      <c r="F486" s="46" t="str">
        <f t="shared" si="1"/>
        <v>In Bear Run</v>
      </c>
      <c r="G486" s="47">
        <f t="shared" si="2"/>
        <v>-16.14882386</v>
      </c>
      <c r="H486" s="48" t="str">
        <f t="shared" si="3"/>
        <v>Inverted ✗</v>
      </c>
      <c r="I486" s="48">
        <f t="shared" si="4"/>
        <v>0</v>
      </c>
      <c r="J486" s="48">
        <f t="shared" si="5"/>
        <v>0</v>
      </c>
      <c r="K486" s="49" t="str">
        <f>IFERROR(__xludf.DUMMYFUNCTION("IFERROR(IF(A486="""",""ENTER STOCK"",LET(stock,A486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86" s="48">
        <f t="shared" si="6"/>
        <v>0</v>
      </c>
      <c r="M486" s="48">
        <f t="shared" si="7"/>
        <v>1</v>
      </c>
      <c r="N486" s="50">
        <f t="shared" si="8"/>
        <v>1</v>
      </c>
      <c r="P486" s="46" t="str">
        <f t="shared" si="9"/>
        <v>REVERSE TRADE</v>
      </c>
      <c r="Q486" s="52"/>
      <c r="R486" s="53">
        <f t="shared" si="10"/>
        <v>15</v>
      </c>
      <c r="S486" s="53">
        <f>IFERROR(__xludf.DUMMYFUNCTION("IFERROR(ROUND(GOOGLEFINANCE(A486,""volume"")/GOOGLEFINANCE(A486,""volumeavg""),2),"""")"),1.37)</f>
        <v>1.37</v>
      </c>
      <c r="T486" s="53" t="str">
        <f t="shared" si="11"/>
        <v>OK VOL</v>
      </c>
      <c r="U486" s="53">
        <f>IFERROR(__xludf.DUMMYFUNCTION("IFERROR(
  LET(
    sd, GOOGLEFINANCE(A486,""close"",TODAY()-100,TODAY()),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"""")"),0.97)</f>
        <v>0.97</v>
      </c>
      <c r="V486" s="53" t="str">
        <f t="shared" si="12"/>
        <v>MEDIUM</v>
      </c>
      <c r="W486" s="53">
        <f>IFERROR(__xludf.DUMMYFUNCTION("IFERROR(ROUND((B486/GOOGLEFINANCE(A486,""high52"")-1)*100,1),"""")"),-31.4)</f>
        <v>-31.4</v>
      </c>
      <c r="X486" s="53">
        <f>IFERROR(__xludf.DUMMYFUNCTION("IFERROR(ROUND((B486-GOOGLEFINANCE(A486,""low52""))/(GOOGLEFINANCE(A486,""high52"")-GOOGLEFINANCE(A486,""low52""))*100,1),"""")"),24.3)</f>
        <v>24.3</v>
      </c>
      <c r="Y486" s="53" t="str">
        <f t="shared" si="13"/>
        <v>MID</v>
      </c>
      <c r="Z486" s="53">
        <f>IFERROR(__xludf.DUMMYFUNCTION("IFERROR(ROUND(((B486 / INDEX(GOOGLEFINANCE(TRIM(A486), ""price"", TODAY()-34, TODAY()), 2, 2)) - (GOOGLEFINANCE(""NIFTY_50"") / INDEX(GOOGLEFINANCE(""NIFTY_50"", ""price"", TODAY()-34, TODAY()), 2, 2))) * 100, 2), ""Check History"")"),-3.56)</f>
        <v>-3.56</v>
      </c>
      <c r="AA486" s="53" t="str">
        <f t="shared" si="14"/>
        <v>WEAK RS</v>
      </c>
      <c r="AB486" s="53">
        <f>IFERROR(__xludf.DUMMYFUNCTION("IFERROR(LET(
  p, QUERY(GOOGLEFINANCE(TRIM(A486),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Loading"")"),45.8)</f>
        <v>45.8</v>
      </c>
      <c r="AC486" s="53" t="str">
        <f t="shared" si="15"/>
        <v>IDEAL ENTRY</v>
      </c>
      <c r="AD486" s="53" t="str">
        <f>IFERROR(__xludf.DUMMYFUNCTION("IFERROR(IF(GOOGLEFINANCE(A486,""eps"")&gt;0,""EPS+"",""EPS-""),"""")"),"EPS+")</f>
        <v>EPS+</v>
      </c>
      <c r="AE486" s="53">
        <f t="shared" si="16"/>
        <v>4</v>
      </c>
      <c r="AF486" s="53">
        <f>IFERROR(__xludf.DUMMYFUNCTION("IFERROR(N486+IF(S486&gt;=1.2,1,0)+IF(U486&gt;=1,1,0)+IF(Z486&gt;0,1,0)+IF(AND(W486&gt;=-20,W486&lt;=0),1,0)+IF(IFERROR(GOOGLEFINANCE(A486,""eps""),0)&gt;0,1,0),"""")"),3.0)</f>
        <v>3</v>
      </c>
      <c r="AG486" s="53" t="str">
        <f t="shared" si="17"/>
        <v>REVERSE TRADE</v>
      </c>
    </row>
    <row r="487" ht="15.75" customHeight="1">
      <c r="A487" s="55" t="s">
        <v>654</v>
      </c>
      <c r="B487" s="44">
        <f>IFERROR(__xludf.DUMMYFUNCTION("GOOGLEFINANCE(A487,""price"")"),77.74)</f>
        <v>77.74</v>
      </c>
      <c r="C487" s="45">
        <f>IFERROR(__xludf.DUMMYFUNCTION("AVERAGE(QUERY(SORT(GOOGLEFINANCE(A487,""price"",TODAY()-150,TODAY()),1,0),""select Col2 limit 50""))"),93.13000000000002)</f>
        <v>93.13</v>
      </c>
      <c r="D487" s="45">
        <f>IFERROR(__xludf.DUMMYFUNCTION("AVERAGE(QUERY(SORT(GOOGLEFINANCE(A487,""price"",TODAY()-300,TODAY()),1,0),""select Col2 limit 100""))"),103.75070000000004)</f>
        <v>103.7507</v>
      </c>
      <c r="E487" s="45">
        <f>IFERROR(__xludf.DUMMYFUNCTION("AVERAGE(QUERY(SORT(GOOGLEFINANCE(A487,""price"",TODAY()-500,TODAY()),1,0),""select Col2 limit 200""))"),107.69440000000004)</f>
        <v>107.6944</v>
      </c>
      <c r="F487" s="46" t="str">
        <f t="shared" si="1"/>
        <v>In Bear Run</v>
      </c>
      <c r="G487" s="47">
        <f t="shared" si="2"/>
        <v>-27.81425961</v>
      </c>
      <c r="H487" s="48" t="str">
        <f t="shared" si="3"/>
        <v>Inverted ✗</v>
      </c>
      <c r="I487" s="48">
        <f t="shared" si="4"/>
        <v>0</v>
      </c>
      <c r="J487" s="48">
        <f t="shared" si="5"/>
        <v>0</v>
      </c>
      <c r="K487" s="49" t="str">
        <f>IFERROR(__xludf.DUMMYFUNCTION("IFERROR(IF(A487="""",""ENTER STOCK"",LET(stock,A487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87" s="48">
        <f t="shared" si="6"/>
        <v>0</v>
      </c>
      <c r="M487" s="48">
        <f t="shared" si="7"/>
        <v>1</v>
      </c>
      <c r="N487" s="50">
        <f t="shared" si="8"/>
        <v>1</v>
      </c>
      <c r="P487" s="46" t="str">
        <f t="shared" si="9"/>
        <v>REVERSE TRADE</v>
      </c>
      <c r="Q487" s="52"/>
      <c r="R487" s="53">
        <f t="shared" si="10"/>
        <v>15</v>
      </c>
      <c r="S487" s="53">
        <f>IFERROR(__xludf.DUMMYFUNCTION("IFERROR(ROUND(GOOGLEFINANCE(A487,""volume"")/GOOGLEFINANCE(A487,""volumeavg""),2),"""")"),1.4)</f>
        <v>1.4</v>
      </c>
      <c r="T487" s="53" t="str">
        <f t="shared" si="11"/>
        <v>OK VOL</v>
      </c>
      <c r="U487" s="53">
        <f>IFERROR(__xludf.DUMMYFUNCTION("IFERROR(
  LET(
    sd, GOOGLEFINANCE(A487,""close"",TODAY()-100,TODAY()),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"""")"),1.82)</f>
        <v>1.82</v>
      </c>
      <c r="V487" s="53" t="str">
        <f t="shared" si="12"/>
        <v>FAST</v>
      </c>
      <c r="W487" s="53">
        <f>IFERROR(__xludf.DUMMYFUNCTION("IFERROR(ROUND((B487/GOOGLEFINANCE(A487,""high52"")-1)*100,1),"""")"),-40.5)</f>
        <v>-40.5</v>
      </c>
      <c r="X487" s="53">
        <f>IFERROR(__xludf.DUMMYFUNCTION("IFERROR(ROUND((B487-GOOGLEFINANCE(A487,""low52""))/(GOOGLEFINANCE(A487,""high52"")-GOOGLEFINANCE(A487,""low52""))*100,1),"""")"),4.9)</f>
        <v>4.9</v>
      </c>
      <c r="Y487" s="53" t="str">
        <f t="shared" si="13"/>
        <v>DEEP RECOVERY</v>
      </c>
      <c r="Z487" s="53">
        <f>IFERROR(__xludf.DUMMYFUNCTION("IFERROR(ROUND(((B487 / INDEX(GOOGLEFINANCE(TRIM(A487), ""price"", TODAY()-34, TODAY()), 2, 2)) - (GOOGLEFINANCE(""NIFTY_50"") / INDEX(GOOGLEFINANCE(""NIFTY_50"", ""price"", TODAY()-34, TODAY()), 2, 2))) * 100, 2), ""Check History"")"),-5.6)</f>
        <v>-5.6</v>
      </c>
      <c r="AA487" s="53" t="str">
        <f t="shared" si="14"/>
        <v>WEAK RS</v>
      </c>
      <c r="AB487" s="53">
        <f>IFERROR(__xludf.DUMMYFUNCTION("IFERROR(LET(
  p, QUERY(GOOGLEFINANCE(TRIM(A487),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Loading"")"),40.5)</f>
        <v>40.5</v>
      </c>
      <c r="AC487" s="53" t="str">
        <f t="shared" si="15"/>
        <v>WEAK MOM</v>
      </c>
      <c r="AD487" s="53" t="str">
        <f>IFERROR(__xludf.DUMMYFUNCTION("IFERROR(IF(GOOGLEFINANCE(A487,""eps"")&gt;0,""EPS+"",""EPS-""),"""")"),"EPS+")</f>
        <v>EPS+</v>
      </c>
      <c r="AE487" s="53">
        <f t="shared" si="16"/>
        <v>5</v>
      </c>
      <c r="AF487" s="53">
        <f>IFERROR(__xludf.DUMMYFUNCTION("IFERROR(N487+IF(S487&gt;=1.2,1,0)+IF(U487&gt;=1,1,0)+IF(Z487&gt;0,1,0)+IF(AND(W487&gt;=-20,W487&lt;=0),1,0)+IF(IFERROR(GOOGLEFINANCE(A487,""eps""),0)&gt;0,1,0),"""")"),4.0)</f>
        <v>4</v>
      </c>
      <c r="AG487" s="53" t="str">
        <f t="shared" si="17"/>
        <v>REVERSE TRADE</v>
      </c>
    </row>
    <row r="488" ht="15.75" customHeight="1">
      <c r="A488" s="55" t="s">
        <v>655</v>
      </c>
      <c r="B488" s="44">
        <f>IFERROR(__xludf.DUMMYFUNCTION("GOOGLEFINANCE(A488,""price"")"),12060.0)</f>
        <v>12060</v>
      </c>
      <c r="C488" s="45">
        <f>IFERROR(__xludf.DUMMYFUNCTION("AVERAGE(QUERY(SORT(GOOGLEFINANCE(A488,""price"",TODAY()-150,TODAY()),1,0),""select Col2 limit 50""))"),12960.94)</f>
        <v>12960.94</v>
      </c>
      <c r="D488" s="45">
        <f>IFERROR(__xludf.DUMMYFUNCTION("AVERAGE(QUERY(SORT(GOOGLEFINANCE(A488,""price"",TODAY()-300,TODAY()),1,0),""select Col2 limit 100""))"),14595.6)</f>
        <v>14595.6</v>
      </c>
      <c r="E488" s="45">
        <f>IFERROR(__xludf.DUMMYFUNCTION("AVERAGE(QUERY(SORT(GOOGLEFINANCE(A488,""price"",TODAY()-500,TODAY()),1,0),""select Col2 limit 200""))"),14332.01)</f>
        <v>14332.01</v>
      </c>
      <c r="F488" s="46" t="str">
        <f t="shared" si="1"/>
        <v>In Bear Run</v>
      </c>
      <c r="G488" s="47">
        <f t="shared" si="2"/>
        <v>-15.85269617</v>
      </c>
      <c r="H488" s="48" t="str">
        <f t="shared" si="3"/>
        <v>Inverted ✗</v>
      </c>
      <c r="I488" s="48">
        <f t="shared" si="4"/>
        <v>0</v>
      </c>
      <c r="J488" s="48">
        <f t="shared" si="5"/>
        <v>0</v>
      </c>
      <c r="K488" s="49" t="str">
        <f>IFERROR(__xludf.DUMMYFUNCTION("IFERROR(IF(A488="""",""ENTER STOCK"",LET(stock,A488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88" s="48">
        <f t="shared" si="6"/>
        <v>0</v>
      </c>
      <c r="M488" s="48">
        <f t="shared" si="7"/>
        <v>1</v>
      </c>
      <c r="N488" s="50">
        <f t="shared" si="8"/>
        <v>1</v>
      </c>
      <c r="P488" s="46" t="str">
        <f t="shared" si="9"/>
        <v>REVERSE TRADE</v>
      </c>
      <c r="Q488" s="52"/>
      <c r="R488" s="53">
        <f t="shared" si="10"/>
        <v>15</v>
      </c>
      <c r="S488" s="53">
        <f>IFERROR(__xludf.DUMMYFUNCTION("IFERROR(ROUND(GOOGLEFINANCE(A488,""volume"")/GOOGLEFINANCE(A488,""volumeavg""),2),"""")"),0.95)</f>
        <v>0.95</v>
      </c>
      <c r="T488" s="53" t="str">
        <f t="shared" si="11"/>
        <v>LOW VOL</v>
      </c>
      <c r="U488" s="53">
        <f>IFERROR(__xludf.DUMMYFUNCTION("IFERROR(
  LET(
    sd, GOOGLEFINANCE(A488,""close"",TODAY()-100,TODAY()),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"""")"),1.0)</f>
        <v>1</v>
      </c>
      <c r="V488" s="53" t="str">
        <f t="shared" si="12"/>
        <v>MEDIUM</v>
      </c>
      <c r="W488" s="53">
        <f>IFERROR(__xludf.DUMMYFUNCTION("IFERROR(ROUND((B488/GOOGLEFINANCE(A488,""high52"")-1)*100,1),"""")"),-38.9)</f>
        <v>-38.9</v>
      </c>
      <c r="X488" s="53">
        <f>IFERROR(__xludf.DUMMYFUNCTION("IFERROR(ROUND((B488-GOOGLEFINANCE(A488,""low52""))/(GOOGLEFINANCE(A488,""high52"")-GOOGLEFINANCE(A488,""low52""))*100,1),"""")"),17.8)</f>
        <v>17.8</v>
      </c>
      <c r="Y488" s="53" t="str">
        <f t="shared" si="13"/>
        <v>MID</v>
      </c>
      <c r="Z488" s="53">
        <f>IFERROR(__xludf.DUMMYFUNCTION("IFERROR(ROUND(((B488 / INDEX(GOOGLEFINANCE(TRIM(A488), ""price"", TODAY()-34, TODAY()), 2, 2)) - (GOOGLEFINANCE(""NIFTY_50"") / INDEX(GOOGLEFINANCE(""NIFTY_50"", ""price"", TODAY()-34, TODAY()), 2, 2))) * 100, 2), ""Check History"")"),2.4)</f>
        <v>2.4</v>
      </c>
      <c r="AA488" s="53" t="str">
        <f t="shared" si="14"/>
        <v>MILD RS</v>
      </c>
      <c r="AB488" s="53">
        <f>IFERROR(__xludf.DUMMYFUNCTION("IFERROR(LET(
  p, QUERY(GOOGLEFINANCE(TRIM(A488),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Loading"")"),39.3)</f>
        <v>39.3</v>
      </c>
      <c r="AC488" s="53" t="str">
        <f t="shared" si="15"/>
        <v>WEAK MOM</v>
      </c>
      <c r="AD488" s="53" t="str">
        <f>IFERROR(__xludf.DUMMYFUNCTION("IFERROR(IF(GOOGLEFINANCE(A488,""eps"")&gt;0,""EPS+"",""EPS-""),"""")"),"EPS+")</f>
        <v>EPS+</v>
      </c>
      <c r="AE488" s="53">
        <f t="shared" si="16"/>
        <v>3</v>
      </c>
      <c r="AF488" s="53">
        <f>IFERROR(__xludf.DUMMYFUNCTION("IFERROR(N488+IF(S488&gt;=1.2,1,0)+IF(U488&gt;=1,1,0)+IF(Z488&gt;0,1,0)+IF(AND(W488&gt;=-20,W488&lt;=0),1,0)+IF(IFERROR(GOOGLEFINANCE(A488,""eps""),0)&gt;0,1,0),"""")"),4.0)</f>
        <v>4</v>
      </c>
      <c r="AG488" s="53" t="str">
        <f t="shared" si="17"/>
        <v>REVERSE TRADE</v>
      </c>
    </row>
    <row r="489" ht="15.75" customHeight="1">
      <c r="A489" s="55" t="s">
        <v>656</v>
      </c>
      <c r="B489" s="44">
        <f>IFERROR(__xludf.DUMMYFUNCTION("GOOGLEFINANCE(A489,""price"")"),968.6)</f>
        <v>968.6</v>
      </c>
      <c r="C489" s="45">
        <f>IFERROR(__xludf.DUMMYFUNCTION("AVERAGE(QUERY(SORT(GOOGLEFINANCE(A489,""price"",TODAY()-150,TODAY()),1,0),""select Col2 limit 50""))"),1011.375)</f>
        <v>1011.375</v>
      </c>
      <c r="D489" s="45">
        <f>IFERROR(__xludf.DUMMYFUNCTION("AVERAGE(QUERY(SORT(GOOGLEFINANCE(A489,""price"",TODAY()-300,TODAY()),1,0),""select Col2 limit 100""))"),1142.0574999999997)</f>
        <v>1142.0575</v>
      </c>
      <c r="E489" s="45">
        <f>IFERROR(__xludf.DUMMYFUNCTION("AVERAGE(QUERY(SORT(GOOGLEFINANCE(A489,""price"",TODAY()-500,TODAY()),1,0),""select Col2 limit 200""))"),1281.9452499999998)</f>
        <v>1281.94525</v>
      </c>
      <c r="F489" s="46" t="str">
        <f t="shared" si="1"/>
        <v>In Bear Run</v>
      </c>
      <c r="G489" s="47">
        <f t="shared" si="2"/>
        <v>-24.44295105</v>
      </c>
      <c r="H489" s="48" t="str">
        <f t="shared" si="3"/>
        <v>Inverted ✗</v>
      </c>
      <c r="I489" s="48">
        <f t="shared" si="4"/>
        <v>0</v>
      </c>
      <c r="J489" s="48">
        <f t="shared" si="5"/>
        <v>0</v>
      </c>
      <c r="K489" s="49" t="str">
        <f>IFERROR(__xludf.DUMMYFUNCTION("IFERROR(IF(A489="""",""ENTER STOCK"",LET(stock,A489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89" s="48">
        <f t="shared" si="6"/>
        <v>0</v>
      </c>
      <c r="M489" s="48">
        <f t="shared" si="7"/>
        <v>1</v>
      </c>
      <c r="N489" s="50">
        <f t="shared" si="8"/>
        <v>1</v>
      </c>
      <c r="P489" s="46" t="str">
        <f t="shared" si="9"/>
        <v>REVERSE TRADE</v>
      </c>
      <c r="Q489" s="52"/>
      <c r="R489" s="53">
        <f t="shared" si="10"/>
        <v>15</v>
      </c>
      <c r="S489" s="53">
        <f>IFERROR(__xludf.DUMMYFUNCTION("IFERROR(ROUND(GOOGLEFINANCE(A489,""volume"")/GOOGLEFINANCE(A489,""volumeavg""),2),"""")"),0.67)</f>
        <v>0.67</v>
      </c>
      <c r="T489" s="53" t="str">
        <f t="shared" si="11"/>
        <v>LOW VOL</v>
      </c>
      <c r="U489" s="53">
        <f>IFERROR(__xludf.DUMMYFUNCTION("IFERROR(
  LET(
    sd, GOOGLEFINANCE(A489,""close"",TODAY()-100,TODAY()),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"""")"),2.0)</f>
        <v>2</v>
      </c>
      <c r="V489" s="53" t="str">
        <f t="shared" si="12"/>
        <v>FAST</v>
      </c>
      <c r="W489" s="53">
        <f>IFERROR(__xludf.DUMMYFUNCTION("IFERROR(ROUND((B489/GOOGLEFINANCE(A489,""high52"")-1)*100,1),"""")"),-43.5)</f>
        <v>-43.5</v>
      </c>
      <c r="X489" s="53">
        <f>IFERROR(__xludf.DUMMYFUNCTION("IFERROR(ROUND((B489-GOOGLEFINANCE(A489,""low52""))/(GOOGLEFINANCE(A489,""high52"")-GOOGLEFINANCE(A489,""low52""))*100,1),"""")"),12.0)</f>
        <v>12</v>
      </c>
      <c r="Y489" s="53" t="str">
        <f t="shared" si="13"/>
        <v>DEEP RECOVERY</v>
      </c>
      <c r="Z489" s="53">
        <f>IFERROR(__xludf.DUMMYFUNCTION("IFERROR(ROUND(((B489 / INDEX(GOOGLEFINANCE(TRIM(A489), ""price"", TODAY()-34, TODAY()), 2, 2)) - (GOOGLEFINANCE(""NIFTY_50"") / INDEX(GOOGLEFINANCE(""NIFTY_50"", ""price"", TODAY()-34, TODAY()), 2, 2))) * 100, 2), ""Check History"")"),6.7)</f>
        <v>6.7</v>
      </c>
      <c r="AA489" s="53" t="str">
        <f t="shared" si="14"/>
        <v>STRONG RS</v>
      </c>
      <c r="AB489" s="53">
        <f>IFERROR(__xludf.DUMMYFUNCTION("IFERROR(LET(
  p, QUERY(GOOGLEFINANCE(TRIM(A489),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Loading"")"),55.8)</f>
        <v>55.8</v>
      </c>
      <c r="AC489" s="53" t="str">
        <f t="shared" si="15"/>
        <v>IDEAL ENTRY</v>
      </c>
      <c r="AD489" s="53" t="str">
        <f>IFERROR(__xludf.DUMMYFUNCTION("IFERROR(IF(GOOGLEFINANCE(A489,""eps"")&gt;0,""EPS+"",""EPS-""),"""")"),"EPS+")</f>
        <v>EPS+</v>
      </c>
      <c r="AE489" s="53">
        <f t="shared" si="16"/>
        <v>5</v>
      </c>
      <c r="AF489" s="53">
        <f>IFERROR(__xludf.DUMMYFUNCTION("IFERROR(N489+IF(S489&gt;=1.2,1,0)+IF(U489&gt;=1,1,0)+IF(Z489&gt;0,1,0)+IF(AND(W489&gt;=-20,W489&lt;=0),1,0)+IF(IFERROR(GOOGLEFINANCE(A489,""eps""),0)&gt;0,1,0),"""")"),4.0)</f>
        <v>4</v>
      </c>
      <c r="AG489" s="53" t="str">
        <f t="shared" si="17"/>
        <v>REVERSE TRADE</v>
      </c>
    </row>
    <row r="490" ht="15.75" customHeight="1">
      <c r="A490" s="55" t="s">
        <v>657</v>
      </c>
      <c r="B490" s="44">
        <f>IFERROR(__xludf.DUMMYFUNCTION("GOOGLEFINANCE(A490,""price"")"),1191.9)</f>
        <v>1191.9</v>
      </c>
      <c r="C490" s="45">
        <f>IFERROR(__xludf.DUMMYFUNCTION("AVERAGE(QUERY(SORT(GOOGLEFINANCE(A490,""price"",TODAY()-150,TODAY()),1,0),""select Col2 limit 50""))"),1380.0579999999995)</f>
        <v>1380.058</v>
      </c>
      <c r="D490" s="45">
        <f>IFERROR(__xludf.DUMMYFUNCTION("AVERAGE(QUERY(SORT(GOOGLEFINANCE(A490,""price"",TODAY()-300,TODAY()),1,0),""select Col2 limit 100""))"),1620.3799999999997)</f>
        <v>1620.38</v>
      </c>
      <c r="E490" s="45">
        <f>IFERROR(__xludf.DUMMYFUNCTION("AVERAGE(QUERY(SORT(GOOGLEFINANCE(A490,""price"",TODAY()-500,TODAY()),1,0),""select Col2 limit 200""))"),1827.5290000000002)</f>
        <v>1827.529</v>
      </c>
      <c r="F490" s="46" t="str">
        <f t="shared" si="1"/>
        <v>In Bear Run</v>
      </c>
      <c r="G490" s="47">
        <f t="shared" si="2"/>
        <v>-34.7807887</v>
      </c>
      <c r="H490" s="48" t="str">
        <f t="shared" si="3"/>
        <v>Inverted ✗</v>
      </c>
      <c r="I490" s="48">
        <f t="shared" si="4"/>
        <v>0</v>
      </c>
      <c r="J490" s="48">
        <f t="shared" si="5"/>
        <v>0</v>
      </c>
      <c r="K490" s="49" t="str">
        <f>IFERROR(__xludf.DUMMYFUNCTION("IFERROR(IF(A490="""",""ENTER STOCK"",LET(stock,A490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90" s="48">
        <f t="shared" si="6"/>
        <v>0</v>
      </c>
      <c r="M490" s="48">
        <f t="shared" si="7"/>
        <v>1</v>
      </c>
      <c r="N490" s="50">
        <f t="shared" si="8"/>
        <v>1</v>
      </c>
      <c r="P490" s="46" t="str">
        <f t="shared" si="9"/>
        <v>REVERSE TRADE</v>
      </c>
      <c r="Q490" s="52"/>
      <c r="R490" s="53">
        <f t="shared" si="10"/>
        <v>15</v>
      </c>
      <c r="S490" s="53">
        <f>IFERROR(__xludf.DUMMYFUNCTION("IFERROR(ROUND(GOOGLEFINANCE(A490,""volume"")/GOOGLEFINANCE(A490,""volumeavg""),2),"""")"),0.95)</f>
        <v>0.95</v>
      </c>
      <c r="T490" s="53" t="str">
        <f t="shared" si="11"/>
        <v>LOW VOL</v>
      </c>
      <c r="U490" s="53">
        <f>IFERROR(__xludf.DUMMYFUNCTION("IFERROR(
  LET(
    sd, GOOGLEFINANCE(A490,""close"",TODAY()-100,TODAY()),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"""")"),1.01)</f>
        <v>1.01</v>
      </c>
      <c r="V490" s="53" t="str">
        <f t="shared" si="12"/>
        <v>MEDIUM</v>
      </c>
      <c r="W490" s="53">
        <f>IFERROR(__xludf.DUMMYFUNCTION("IFERROR(ROUND((B490/GOOGLEFINANCE(A490,""high52"")-1)*100,1),"""")"),-59.4)</f>
        <v>-59.4</v>
      </c>
      <c r="X490" s="53">
        <f>IFERROR(__xludf.DUMMYFUNCTION("IFERROR(ROUND((B490-GOOGLEFINANCE(A490,""low52""))/(GOOGLEFINANCE(A490,""high52"")-GOOGLEFINANCE(A490,""low52""))*100,1),"""")"),0.6)</f>
        <v>0.6</v>
      </c>
      <c r="Y490" s="53" t="str">
        <f t="shared" si="13"/>
        <v>DEEP RECOVERY</v>
      </c>
      <c r="Z490" s="53">
        <f>IFERROR(__xludf.DUMMYFUNCTION("IFERROR(ROUND(((B490 / INDEX(GOOGLEFINANCE(TRIM(A490), ""price"", TODAY()-34, TODAY()), 2, 2)) - (GOOGLEFINANCE(""NIFTY_50"") / INDEX(GOOGLEFINANCE(""NIFTY_50"", ""price"", TODAY()-34, TODAY()), 2, 2))) * 100, 2), ""Check History"")"),4.77)</f>
        <v>4.77</v>
      </c>
      <c r="AA490" s="53" t="str">
        <f t="shared" si="14"/>
        <v>MILD RS</v>
      </c>
      <c r="AB490" s="53">
        <f>IFERROR(__xludf.DUMMYFUNCTION("IFERROR(LET(
  p, QUERY(GOOGLEFINANCE(TRIM(A490),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Loading"")"),51.6)</f>
        <v>51.6</v>
      </c>
      <c r="AC490" s="53" t="str">
        <f t="shared" si="15"/>
        <v>IDEAL ENTRY</v>
      </c>
      <c r="AD490" s="53" t="str">
        <f>IFERROR(__xludf.DUMMYFUNCTION("IFERROR(IF(GOOGLEFINANCE(A490,""eps"")&gt;0,""EPS+"",""EPS-""),"""")"),"EPS+")</f>
        <v>EPS+</v>
      </c>
      <c r="AE490" s="53">
        <f t="shared" si="16"/>
        <v>3</v>
      </c>
      <c r="AF490" s="53">
        <f>IFERROR(__xludf.DUMMYFUNCTION("IFERROR(N490+IF(S490&gt;=1.2,1,0)+IF(U490&gt;=1,1,0)+IF(Z490&gt;0,1,0)+IF(AND(W490&gt;=-20,W490&lt;=0),1,0)+IF(IFERROR(GOOGLEFINANCE(A490,""eps""),0)&gt;0,1,0),"""")"),4.0)</f>
        <v>4</v>
      </c>
      <c r="AG490" s="53" t="str">
        <f t="shared" si="17"/>
        <v>REVERSE TRADE</v>
      </c>
    </row>
    <row r="491" ht="15.75" customHeight="1">
      <c r="A491" s="55" t="s">
        <v>658</v>
      </c>
      <c r="B491" s="44">
        <f>IFERROR(__xludf.DUMMYFUNCTION("GOOGLEFINANCE(A491,""price"")"),1164.4)</f>
        <v>1164.4</v>
      </c>
      <c r="C491" s="45">
        <f>IFERROR(__xludf.DUMMYFUNCTION("AVERAGE(QUERY(SORT(GOOGLEFINANCE(A491,""price"",TODAY()-150,TODAY()),1,0),""select Col2 limit 50""))"),1178.9479999999999)</f>
        <v>1178.948</v>
      </c>
      <c r="D491" s="45">
        <f>IFERROR(__xludf.DUMMYFUNCTION("AVERAGE(QUERY(SORT(GOOGLEFINANCE(A491,""price"",TODAY()-300,TODAY()),1,0),""select Col2 limit 100""))"),1257.7549999999999)</f>
        <v>1257.755</v>
      </c>
      <c r="E491" s="45">
        <f>IFERROR(__xludf.DUMMYFUNCTION("AVERAGE(QUERY(SORT(GOOGLEFINANCE(A491,""price"",TODAY()-500,TODAY()),1,0),""select Col2 limit 200""))"),1361.3935000000001)</f>
        <v>1361.3935</v>
      </c>
      <c r="F491" s="46" t="str">
        <f t="shared" si="1"/>
        <v>In Bear Run</v>
      </c>
      <c r="G491" s="47">
        <f t="shared" si="2"/>
        <v>-14.46998976</v>
      </c>
      <c r="H491" s="48" t="str">
        <f t="shared" si="3"/>
        <v>Inverted ✗</v>
      </c>
      <c r="I491" s="48">
        <f t="shared" si="4"/>
        <v>0</v>
      </c>
      <c r="J491" s="48">
        <f t="shared" si="5"/>
        <v>0</v>
      </c>
      <c r="K491" s="49" t="str">
        <f>IFERROR(__xludf.DUMMYFUNCTION("IFERROR(IF(A491="""",""ENTER STOCK"",LET(stock,A491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91" s="48">
        <f t="shared" si="6"/>
        <v>0</v>
      </c>
      <c r="M491" s="48">
        <f t="shared" si="7"/>
        <v>1</v>
      </c>
      <c r="N491" s="50">
        <f t="shared" si="8"/>
        <v>1</v>
      </c>
      <c r="P491" s="46" t="str">
        <f t="shared" si="9"/>
        <v>REVERSE TRADE</v>
      </c>
      <c r="Q491" s="52"/>
      <c r="R491" s="53">
        <f t="shared" si="10"/>
        <v>15</v>
      </c>
      <c r="S491" s="53">
        <f>IFERROR(__xludf.DUMMYFUNCTION("IFERROR(ROUND(GOOGLEFINANCE(A491,""volume"")/GOOGLEFINANCE(A491,""volumeavg""),2),"""")"),1.96)</f>
        <v>1.96</v>
      </c>
      <c r="T491" s="53" t="str">
        <f t="shared" si="11"/>
        <v>HIGH VOL</v>
      </c>
      <c r="U491" s="53">
        <f>IFERROR(__xludf.DUMMYFUNCTION("IFERROR(
  LET(
    sd, GOOGLEFINANCE(A491,""close"",TODAY()-100,TODAY()),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"""")"),0.42)</f>
        <v>0.42</v>
      </c>
      <c r="V491" s="53" t="str">
        <f t="shared" si="12"/>
        <v>SLOW</v>
      </c>
      <c r="W491" s="53">
        <f>IFERROR(__xludf.DUMMYFUNCTION("IFERROR(ROUND((B491/GOOGLEFINANCE(A491,""high52"")-1)*100,1),"""")"),-29.2)</f>
        <v>-29.2</v>
      </c>
      <c r="X491" s="53">
        <f>IFERROR(__xludf.DUMMYFUNCTION("IFERROR(ROUND((B491-GOOGLEFINANCE(A491,""low52""))/(GOOGLEFINANCE(A491,""high52"")-GOOGLEFINANCE(A491,""low52""))*100,1),"""")"),14.3)</f>
        <v>14.3</v>
      </c>
      <c r="Y491" s="53" t="str">
        <f t="shared" si="13"/>
        <v>MID</v>
      </c>
      <c r="Z491" s="53">
        <f>IFERROR(__xludf.DUMMYFUNCTION("IFERROR(ROUND(((B491 / INDEX(GOOGLEFINANCE(TRIM(A491), ""price"", TODAY()-34, TODAY()), 2, 2)) - (GOOGLEFINANCE(""NIFTY_50"") / INDEX(GOOGLEFINANCE(""NIFTY_50"", ""price"", TODAY()-34, TODAY()), 2, 2))) * 100, 2), ""Check History"")"),9.27)</f>
        <v>9.27</v>
      </c>
      <c r="AA491" s="53" t="str">
        <f t="shared" si="14"/>
        <v>STRONG RS</v>
      </c>
      <c r="AB491" s="53">
        <f>IFERROR(__xludf.DUMMYFUNCTION("IFERROR(LET(
  p, QUERY(GOOGLEFINANCE(TRIM(A491),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Loading"")"),52.9)</f>
        <v>52.9</v>
      </c>
      <c r="AC491" s="53" t="str">
        <f t="shared" si="15"/>
        <v>IDEAL ENTRY</v>
      </c>
      <c r="AD491" s="53" t="str">
        <f>IFERROR(__xludf.DUMMYFUNCTION("IFERROR(IF(GOOGLEFINANCE(A491,""eps"")&gt;0,""EPS+"",""EPS-""),"""")"),"EPS+")</f>
        <v>EPS+</v>
      </c>
      <c r="AE491" s="53">
        <f t="shared" si="16"/>
        <v>5</v>
      </c>
      <c r="AF491" s="53">
        <f>IFERROR(__xludf.DUMMYFUNCTION("IFERROR(N491+IF(S491&gt;=1.2,1,0)+IF(U491&gt;=1,1,0)+IF(Z491&gt;0,1,0)+IF(AND(W491&gt;=-20,W491&lt;=0),1,0)+IF(IFERROR(GOOGLEFINANCE(A491,""eps""),0)&gt;0,1,0),"""")"),4.0)</f>
        <v>4</v>
      </c>
      <c r="AG491" s="53" t="str">
        <f t="shared" si="17"/>
        <v>REVERSE TRADE</v>
      </c>
    </row>
    <row r="492" ht="15.75" customHeight="1">
      <c r="A492" s="55" t="s">
        <v>659</v>
      </c>
      <c r="B492" s="44">
        <f>IFERROR(__xludf.DUMMYFUNCTION("GOOGLEFINANCE(A492,""price"")"),148.75)</f>
        <v>148.75</v>
      </c>
      <c r="C492" s="45">
        <f>IFERROR(__xludf.DUMMYFUNCTION("AVERAGE(QUERY(SORT(GOOGLEFINANCE(A492,""price"",TODAY()-150,TODAY()),1,0),""select Col2 limit 50""))"),144.90079999999998)</f>
        <v>144.9008</v>
      </c>
      <c r="D492" s="45">
        <f>IFERROR(__xludf.DUMMYFUNCTION("AVERAGE(QUERY(SORT(GOOGLEFINANCE(A492,""price"",TODAY()-300,TODAY()),1,0),""select Col2 limit 100""))"),150.05889999999997)</f>
        <v>150.0589</v>
      </c>
      <c r="E492" s="45">
        <f>IFERROR(__xludf.DUMMYFUNCTION("AVERAGE(QUERY(SORT(GOOGLEFINANCE(A492,""price"",TODAY()-500,TODAY()),1,0),""select Col2 limit 200""))"),144.49149999999997)</f>
        <v>144.4915</v>
      </c>
      <c r="F492" s="46" t="str">
        <f t="shared" si="1"/>
        <v>Unconfirmed</v>
      </c>
      <c r="G492" s="47">
        <f t="shared" si="2"/>
        <v>2.94723219</v>
      </c>
      <c r="H492" s="48" t="str">
        <f t="shared" si="3"/>
        <v>Inverted ✗</v>
      </c>
      <c r="I492" s="48">
        <f t="shared" si="4"/>
        <v>0</v>
      </c>
      <c r="J492" s="48">
        <f t="shared" si="5"/>
        <v>2</v>
      </c>
      <c r="K492" s="49" t="str">
        <f>IFERROR(__xludf.DUMMYFUNCTION("IFERROR(IF(A492="""",""ENTER STOCK"",LET(stock,A492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92" s="48">
        <f t="shared" si="6"/>
        <v>0</v>
      </c>
      <c r="M492" s="48">
        <f t="shared" si="7"/>
        <v>1</v>
      </c>
      <c r="N492" s="50">
        <f t="shared" si="8"/>
        <v>3</v>
      </c>
      <c r="P492" s="46" t="str">
        <f t="shared" si="9"/>
        <v>WAIT</v>
      </c>
      <c r="Q492" s="52"/>
      <c r="R492" s="53">
        <f t="shared" si="10"/>
        <v>15</v>
      </c>
      <c r="S492" s="53">
        <f>IFERROR(__xludf.DUMMYFUNCTION("IFERROR(ROUND(GOOGLEFINANCE(A492,""volume"")/GOOGLEFINANCE(A492,""volumeavg""),2),"""")"),1.82)</f>
        <v>1.82</v>
      </c>
      <c r="T492" s="53" t="str">
        <f t="shared" si="11"/>
        <v>HIGH VOL</v>
      </c>
      <c r="U492" s="53">
        <f>IFERROR(__xludf.DUMMYFUNCTION("IFERROR(
  LET(
    sd, GOOGLEFINANCE(A492,""close"",TODAY()-100,TODAY()),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"""")"),1.25)</f>
        <v>1.25</v>
      </c>
      <c r="V492" s="53" t="str">
        <f t="shared" si="12"/>
        <v>FAST</v>
      </c>
      <c r="W492" s="53">
        <f>IFERROR(__xludf.DUMMYFUNCTION("IFERROR(ROUND((B492/GOOGLEFINANCE(A492,""high52"")-1)*100,1),"""")"),-22.9)</f>
        <v>-22.9</v>
      </c>
      <c r="X492" s="53">
        <f>IFERROR(__xludf.DUMMYFUNCTION("IFERROR(ROUND((B492-GOOGLEFINANCE(A492,""low52""))/(GOOGLEFINANCE(A492,""high52"")-GOOGLEFINANCE(A492,""low52""))*100,1),"""")"),53.6)</f>
        <v>53.6</v>
      </c>
      <c r="Y492" s="53" t="str">
        <f t="shared" si="13"/>
        <v>MID</v>
      </c>
      <c r="Z492" s="53">
        <f>IFERROR(__xludf.DUMMYFUNCTION("IFERROR(ROUND(((B492 / INDEX(GOOGLEFINANCE(TRIM(A492), ""price"", TODAY()-34, TODAY()), 2, 2)) - (GOOGLEFINANCE(""NIFTY_50"") / INDEX(GOOGLEFINANCE(""NIFTY_50"", ""price"", TODAY()-34, TODAY()), 2, 2))) * 100, 2), ""Check History"")"),9.12)</f>
        <v>9.12</v>
      </c>
      <c r="AA492" s="53" t="str">
        <f t="shared" si="14"/>
        <v>STRONG RS</v>
      </c>
      <c r="AB492" s="53">
        <f>IFERROR(__xludf.DUMMYFUNCTION("IFERROR(LET(
  p, QUERY(GOOGLEFINANCE(TRIM(A492),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Loading"")"),43.8)</f>
        <v>43.8</v>
      </c>
      <c r="AC492" s="53" t="str">
        <f t="shared" si="15"/>
        <v>WEAK MOM</v>
      </c>
      <c r="AD492" s="53" t="str">
        <f>IFERROR(__xludf.DUMMYFUNCTION("IFERROR(IF(GOOGLEFINANCE(A492,""eps"")&gt;0,""EPS+"",""EPS-""),"""")"),"EPS+")</f>
        <v>EPS+</v>
      </c>
      <c r="AE492" s="53">
        <f t="shared" si="16"/>
        <v>9</v>
      </c>
      <c r="AF492" s="53">
        <f>IFERROR(__xludf.DUMMYFUNCTION("IFERROR(N492+IF(S492&gt;=1.2,1,0)+IF(U492&gt;=1,1,0)+IF(Z492&gt;0,1,0)+IF(AND(W492&gt;=-20,W492&lt;=0),1,0)+IF(IFERROR(GOOGLEFINANCE(A492,""eps""),0)&gt;0,1,0),"""")"),7.0)</f>
        <v>7</v>
      </c>
      <c r="AG492" s="53" t="str">
        <f t="shared" si="17"/>
        <v>WAIT</v>
      </c>
    </row>
    <row r="493" ht="15.75" customHeight="1">
      <c r="A493" s="55" t="s">
        <v>660</v>
      </c>
      <c r="B493" s="44">
        <f>IFERROR(__xludf.DUMMYFUNCTION("GOOGLEFINANCE(A493,""price"")"),149.01)</f>
        <v>149.01</v>
      </c>
      <c r="C493" s="45">
        <f>IFERROR(__xludf.DUMMYFUNCTION("AVERAGE(QUERY(SORT(GOOGLEFINANCE(A493,""price"",TODAY()-150,TODAY()),1,0),""select Col2 limit 50""))"),193.56639999999996)</f>
        <v>193.5664</v>
      </c>
      <c r="D493" s="45">
        <f>IFERROR(__xludf.DUMMYFUNCTION("AVERAGE(QUERY(SORT(GOOGLEFINANCE(A493,""price"",TODAY()-300,TODAY()),1,0),""select Col2 limit 100""))"),220.61169999999996)</f>
        <v>220.6117</v>
      </c>
      <c r="E493" s="45">
        <f>IFERROR(__xludf.DUMMYFUNCTION("AVERAGE(QUERY(SORT(GOOGLEFINANCE(A493,""price"",TODAY()-500,TODAY()),1,0),""select Col2 limit 200""))"),268.4643500000001)</f>
        <v>268.46435</v>
      </c>
      <c r="F493" s="46" t="str">
        <f t="shared" si="1"/>
        <v>In Bear Run</v>
      </c>
      <c r="G493" s="47">
        <f t="shared" si="2"/>
        <v>-44.49542369</v>
      </c>
      <c r="H493" s="48" t="str">
        <f t="shared" si="3"/>
        <v>Inverted ✗</v>
      </c>
      <c r="I493" s="48">
        <f t="shared" si="4"/>
        <v>0</v>
      </c>
      <c r="J493" s="48">
        <f t="shared" si="5"/>
        <v>0</v>
      </c>
      <c r="K493" s="49" t="str">
        <f>IFERROR(__xludf.DUMMYFUNCTION("IFERROR(IF(A493="""",""ENTER STOCK"",LET(stock,A493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93" s="48">
        <f t="shared" si="6"/>
        <v>0</v>
      </c>
      <c r="M493" s="48">
        <f t="shared" si="7"/>
        <v>1</v>
      </c>
      <c r="N493" s="50">
        <f t="shared" si="8"/>
        <v>1</v>
      </c>
      <c r="P493" s="46" t="str">
        <f t="shared" si="9"/>
        <v>REVERSE TRADE</v>
      </c>
      <c r="Q493" s="52"/>
      <c r="R493" s="53">
        <f t="shared" si="10"/>
        <v>15</v>
      </c>
      <c r="S493" s="53">
        <f>IFERROR(__xludf.DUMMYFUNCTION("IFERROR(ROUND(GOOGLEFINANCE(A493,""volume"")/GOOGLEFINANCE(A493,""volumeavg""),2),"""")"),4.09)</f>
        <v>4.09</v>
      </c>
      <c r="T493" s="53" t="str">
        <f t="shared" si="11"/>
        <v>HIGH VOL</v>
      </c>
      <c r="U493" s="53">
        <f>IFERROR(__xludf.DUMMYFUNCTION("IFERROR(
  LET(
    sd, GOOGLEFINANCE(A493,""close"",TODAY()-100,TODAY()),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"""")"),1.21)</f>
        <v>1.21</v>
      </c>
      <c r="V493" s="53" t="str">
        <f t="shared" si="12"/>
        <v>FAST</v>
      </c>
      <c r="W493" s="53">
        <f>IFERROR(__xludf.DUMMYFUNCTION("IFERROR(ROUND((B493/GOOGLEFINANCE(A493,""high52"")-1)*100,1),"""")"),-59.5)</f>
        <v>-59.5</v>
      </c>
      <c r="X493" s="53">
        <f>IFERROR(__xludf.DUMMYFUNCTION("IFERROR(ROUND((B493-GOOGLEFINANCE(A493,""low52""))/(GOOGLEFINANCE(A493,""high52"")-GOOGLEFINANCE(A493,""low52""))*100,1),"""")"),0.0)</f>
        <v>0</v>
      </c>
      <c r="Y493" s="53" t="str">
        <f t="shared" si="13"/>
        <v>DEEP RECOVERY</v>
      </c>
      <c r="Z493" s="53">
        <f>IFERROR(__xludf.DUMMYFUNCTION("IFERROR(ROUND(((B493 / INDEX(GOOGLEFINANCE(TRIM(A493), ""price"", TODAY()-34, TODAY()), 2, 2)) - (GOOGLEFINANCE(""NIFTY_50"") / INDEX(GOOGLEFINANCE(""NIFTY_50"", ""price"", TODAY()-34, TODAY()), 2, 2))) * 100, 2), ""Check History"")"),-18.56)</f>
        <v>-18.56</v>
      </c>
      <c r="AA493" s="53" t="str">
        <f t="shared" si="14"/>
        <v>WEAK RS</v>
      </c>
      <c r="AB493" s="53">
        <f>IFERROR(__xludf.DUMMYFUNCTION("IFERROR(LET(
  p, QUERY(GOOGLEFINANCE(TRIM(A493),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Loading"")"),40.1)</f>
        <v>40.1</v>
      </c>
      <c r="AC493" s="53" t="str">
        <f t="shared" si="15"/>
        <v>WEAK MOM</v>
      </c>
      <c r="AD493" s="53" t="str">
        <f>IFERROR(__xludf.DUMMYFUNCTION("IFERROR(IF(GOOGLEFINANCE(A493,""eps"")&gt;0,""EPS+"",""EPS-""),"""")"),"EPS-")</f>
        <v>EPS-</v>
      </c>
      <c r="AE493" s="53">
        <f t="shared" si="16"/>
        <v>6</v>
      </c>
      <c r="AF493" s="53">
        <f>IFERROR(__xludf.DUMMYFUNCTION("IFERROR(N493+IF(S493&gt;=1.2,1,0)+IF(U493&gt;=1,1,0)+IF(Z493&gt;0,1,0)+IF(AND(W493&gt;=-20,W493&lt;=0),1,0)+IF(IFERROR(GOOGLEFINANCE(A493,""eps""),0)&gt;0,1,0),"""")"),3.0)</f>
        <v>3</v>
      </c>
      <c r="AG493" s="53" t="str">
        <f t="shared" si="17"/>
        <v>REVERSE TRADE</v>
      </c>
    </row>
    <row r="494" ht="15.75" customHeight="1">
      <c r="A494" s="55" t="s">
        <v>661</v>
      </c>
      <c r="B494" s="44">
        <f>IFERROR(__xludf.DUMMYFUNCTION("GOOGLEFINANCE(A494,""price"")"),845.0)</f>
        <v>845</v>
      </c>
      <c r="C494" s="45">
        <f>IFERROR(__xludf.DUMMYFUNCTION("AVERAGE(QUERY(SORT(GOOGLEFINANCE(A494,""price"",TODAY()-150,TODAY()),1,0),""select Col2 limit 50""))"),806.915)</f>
        <v>806.915</v>
      </c>
      <c r="D494" s="45">
        <f>IFERROR(__xludf.DUMMYFUNCTION("AVERAGE(QUERY(SORT(GOOGLEFINANCE(A494,""price"",TODAY()-300,TODAY()),1,0),""select Col2 limit 100""))"),774.7914999999998)</f>
        <v>774.7915</v>
      </c>
      <c r="E494" s="45">
        <f>IFERROR(__xludf.DUMMYFUNCTION("AVERAGE(QUERY(SORT(GOOGLEFINANCE(A494,""price"",TODAY()-500,TODAY()),1,0),""select Col2 limit 200""))"),816.0935)</f>
        <v>816.0935</v>
      </c>
      <c r="F494" s="46" t="str">
        <f t="shared" si="1"/>
        <v>In Bull Run</v>
      </c>
      <c r="G494" s="47">
        <f t="shared" si="2"/>
        <v>3.542057375</v>
      </c>
      <c r="H494" s="48" t="str">
        <f t="shared" si="3"/>
        <v>Inverted ✗</v>
      </c>
      <c r="I494" s="48">
        <f t="shared" si="4"/>
        <v>0</v>
      </c>
      <c r="J494" s="48">
        <f t="shared" si="5"/>
        <v>4</v>
      </c>
      <c r="K494" s="49" t="str">
        <f>IFERROR(__xludf.DUMMYFUNCTION("IFERROR(IF(A494="""",""ENTER STOCK"",LET(stock,A494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FOUND"")"),"Buy/Average Out")</f>
        <v>Buy/Average Out</v>
      </c>
      <c r="L494" s="48">
        <f t="shared" si="6"/>
        <v>2</v>
      </c>
      <c r="M494" s="48">
        <f t="shared" si="7"/>
        <v>1</v>
      </c>
      <c r="N494" s="50">
        <f t="shared" si="8"/>
        <v>7</v>
      </c>
      <c r="P494" s="46" t="str">
        <f t="shared" si="9"/>
        <v>PRIME BUY</v>
      </c>
      <c r="Q494" s="52"/>
      <c r="R494" s="53">
        <f t="shared" si="10"/>
        <v>15</v>
      </c>
      <c r="S494" s="53">
        <f>IFERROR(__xludf.DUMMYFUNCTION("IFERROR(ROUND(GOOGLEFINANCE(A494,""volume"")/GOOGLEFINANCE(A494,""volumeavg""),2),"""")"),0.28)</f>
        <v>0.28</v>
      </c>
      <c r="T494" s="53" t="str">
        <f t="shared" si="11"/>
        <v>LOW VOL</v>
      </c>
      <c r="U494" s="53">
        <f>IFERROR(__xludf.DUMMYFUNCTION("IFERROR(
  LET(
    sd, GOOGLEFINANCE(A494,""close"",TODAY()-100,TODAY()),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"""")"),1.48)</f>
        <v>1.48</v>
      </c>
      <c r="V494" s="53" t="str">
        <f t="shared" si="12"/>
        <v>FAST</v>
      </c>
      <c r="W494" s="53">
        <f>IFERROR(__xludf.DUMMYFUNCTION("IFERROR(ROUND((B494/GOOGLEFINANCE(A494,""high52"")-1)*100,1),"""")"),-19.7)</f>
        <v>-19.7</v>
      </c>
      <c r="X494" s="53">
        <f>IFERROR(__xludf.DUMMYFUNCTION("IFERROR(ROUND((B494-GOOGLEFINANCE(A494,""low52""))/(GOOGLEFINANCE(A494,""high52"")-GOOGLEFINANCE(A494,""low52""))*100,1),"""")"),59.6)</f>
        <v>59.6</v>
      </c>
      <c r="Y494" s="53" t="str">
        <f t="shared" si="13"/>
        <v>UPPER</v>
      </c>
      <c r="Z494" s="53">
        <f>IFERROR(__xludf.DUMMYFUNCTION("IFERROR(ROUND(((B494 / INDEX(GOOGLEFINANCE(TRIM(A494), ""price"", TODAY()-34, TODAY()), 2, 2)) - (GOOGLEFINANCE(""NIFTY_50"") / INDEX(GOOGLEFINANCE(""NIFTY_50"", ""price"", TODAY()-34, TODAY()), 2, 2))) * 100, 2), ""Check History"")"),6.39)</f>
        <v>6.39</v>
      </c>
      <c r="AA494" s="53" t="str">
        <f t="shared" si="14"/>
        <v>STRONG RS</v>
      </c>
      <c r="AB494" s="53">
        <f>IFERROR(__xludf.DUMMYFUNCTION("IFERROR(LET(
  p, QUERY(GOOGLEFINANCE(TRIM(A494),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Loading"")"),59.7)</f>
        <v>59.7</v>
      </c>
      <c r="AC494" s="53" t="str">
        <f t="shared" si="15"/>
        <v>IDEAL ENTRY</v>
      </c>
      <c r="AD494" s="53" t="str">
        <f>IFERROR(__xludf.DUMMYFUNCTION("IFERROR(IF(GOOGLEFINANCE(A494,""eps"")&gt;0,""EPS+"",""EPS-""),"""")"),"EPS+")</f>
        <v>EPS+</v>
      </c>
      <c r="AE494" s="53">
        <f t="shared" si="16"/>
        <v>6</v>
      </c>
      <c r="AF494" s="53">
        <f>IFERROR(__xludf.DUMMYFUNCTION("IFERROR(N494+IF(S494&gt;=1.2,1,0)+IF(U494&gt;=1,1,0)+IF(Z494&gt;0,1,0)+IF(AND(W494&gt;=-20,W494&lt;=0),1,0)+IF(IFERROR(GOOGLEFINANCE(A494,""eps""),0)&gt;0,1,0),"""")"),11.0)</f>
        <v>11</v>
      </c>
      <c r="AG494" s="53" t="str">
        <f t="shared" si="17"/>
        <v>PRIME BUY [10-20d]</v>
      </c>
    </row>
    <row r="495" ht="15.75" customHeight="1">
      <c r="A495" s="55" t="s">
        <v>662</v>
      </c>
      <c r="B495" s="44">
        <f>IFERROR(__xludf.DUMMYFUNCTION("GOOGLEFINANCE(A495,""price"")"),986.1)</f>
        <v>986.1</v>
      </c>
      <c r="C495" s="45">
        <f>IFERROR(__xludf.DUMMYFUNCTION("AVERAGE(QUERY(SORT(GOOGLEFINANCE(A495,""price"",TODAY()-150,TODAY()),1,0),""select Col2 limit 50""))"),1059.8280000000004)</f>
        <v>1059.828</v>
      </c>
      <c r="D495" s="45">
        <f>IFERROR(__xludf.DUMMYFUNCTION("AVERAGE(QUERY(SORT(GOOGLEFINANCE(A495,""price"",TODAY()-300,TODAY()),1,0),""select Col2 limit 100""))"),1100.6739999999998)</f>
        <v>1100.674</v>
      </c>
      <c r="E495" s="45">
        <f>IFERROR(__xludf.DUMMYFUNCTION("AVERAGE(QUERY(SORT(GOOGLEFINANCE(A495,""price"",TODAY()-500,TODAY()),1,0),""select Col2 limit 200""))"),1278.397)</f>
        <v>1278.397</v>
      </c>
      <c r="F495" s="46" t="str">
        <f t="shared" si="1"/>
        <v>In Bear Run</v>
      </c>
      <c r="G495" s="47">
        <f t="shared" si="2"/>
        <v>-22.86433713</v>
      </c>
      <c r="H495" s="48" t="str">
        <f t="shared" si="3"/>
        <v>Inverted ✗</v>
      </c>
      <c r="I495" s="48">
        <f t="shared" si="4"/>
        <v>0</v>
      </c>
      <c r="J495" s="48">
        <f t="shared" si="5"/>
        <v>0</v>
      </c>
      <c r="K495" s="49" t="str">
        <f>IFERROR(__xludf.DUMMYFUNCTION("IFERROR(IF(A495="""",""ENTER STOCK"",LET(stock,A495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95" s="48">
        <f t="shared" si="6"/>
        <v>0</v>
      </c>
      <c r="M495" s="48">
        <f t="shared" si="7"/>
        <v>1</v>
      </c>
      <c r="N495" s="50">
        <f t="shared" si="8"/>
        <v>1</v>
      </c>
      <c r="P495" s="46" t="str">
        <f t="shared" si="9"/>
        <v>REVERSE TRADE</v>
      </c>
      <c r="Q495" s="52"/>
      <c r="R495" s="53">
        <f t="shared" si="10"/>
        <v>15</v>
      </c>
      <c r="S495" s="53">
        <f>IFERROR(__xludf.DUMMYFUNCTION("IFERROR(ROUND(GOOGLEFINANCE(A495,""volume"")/GOOGLEFINANCE(A495,""volumeavg""),2),"""")"),1.24)</f>
        <v>1.24</v>
      </c>
      <c r="T495" s="53" t="str">
        <f t="shared" si="11"/>
        <v>OK VOL</v>
      </c>
      <c r="U495" s="53">
        <f>IFERROR(__xludf.DUMMYFUNCTION("IFERROR(
  LET(
    sd, GOOGLEFINANCE(A495,""close"",TODAY()-100,TODAY()),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"""")"),1.7)</f>
        <v>1.7</v>
      </c>
      <c r="V495" s="53" t="str">
        <f t="shared" si="12"/>
        <v>FAST</v>
      </c>
      <c r="W495" s="53">
        <f>IFERROR(__xludf.DUMMYFUNCTION("IFERROR(ROUND((B495/GOOGLEFINANCE(A495,""high52"")-1)*100,1),"""")"),-40.4)</f>
        <v>-40.4</v>
      </c>
      <c r="X495" s="53">
        <f>IFERROR(__xludf.DUMMYFUNCTION("IFERROR(ROUND((B495-GOOGLEFINANCE(A495,""low52""))/(GOOGLEFINANCE(A495,""high52"")-GOOGLEFINANCE(A495,""low52""))*100,1),"""")"),23.1)</f>
        <v>23.1</v>
      </c>
      <c r="Y495" s="53" t="str">
        <f t="shared" si="13"/>
        <v>DEEP RECOVERY</v>
      </c>
      <c r="Z495" s="53">
        <f>IFERROR(__xludf.DUMMYFUNCTION("IFERROR(ROUND(((B495 / INDEX(GOOGLEFINANCE(TRIM(A495), ""price"", TODAY()-34, TODAY()), 2, 2)) - (GOOGLEFINANCE(""NIFTY_50"") / INDEX(GOOGLEFINANCE(""NIFTY_50"", ""price"", TODAY()-34, TODAY()), 2, 2))) * 100, 2), ""Check History"")"),-3.51)</f>
        <v>-3.51</v>
      </c>
      <c r="AA495" s="53" t="str">
        <f t="shared" si="14"/>
        <v>WEAK RS</v>
      </c>
      <c r="AB495" s="53">
        <f>IFERROR(__xludf.DUMMYFUNCTION("IFERROR(LET(
  p, QUERY(GOOGLEFINANCE(TRIM(A495),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Loading"")"),37.8)</f>
        <v>37.8</v>
      </c>
      <c r="AC495" s="53" t="str">
        <f t="shared" si="15"/>
        <v>WEAK MOM</v>
      </c>
      <c r="AD495" s="53" t="str">
        <f>IFERROR(__xludf.DUMMYFUNCTION("IFERROR(IF(GOOGLEFINANCE(A495,""eps"")&gt;0,""EPS+"",""EPS-""),"""")"),"EPS+")</f>
        <v>EPS+</v>
      </c>
      <c r="AE495" s="53">
        <f t="shared" si="16"/>
        <v>5</v>
      </c>
      <c r="AF495" s="53">
        <f>IFERROR(__xludf.DUMMYFUNCTION("IFERROR(N495+IF(S495&gt;=1.2,1,0)+IF(U495&gt;=1,1,0)+IF(Z495&gt;0,1,0)+IF(AND(W495&gt;=-20,W495&lt;=0),1,0)+IF(IFERROR(GOOGLEFINANCE(A495,""eps""),0)&gt;0,1,0),"""")"),4.0)</f>
        <v>4</v>
      </c>
      <c r="AG495" s="53" t="str">
        <f t="shared" si="17"/>
        <v>REVERSE TRADE</v>
      </c>
    </row>
    <row r="496" ht="15.75" customHeight="1">
      <c r="A496" s="55" t="s">
        <v>663</v>
      </c>
      <c r="B496" s="44">
        <f>IFERROR(__xludf.DUMMYFUNCTION("GOOGLEFINANCE(A496,""price"")"),905.0)</f>
        <v>905</v>
      </c>
      <c r="C496" s="45">
        <f>IFERROR(__xludf.DUMMYFUNCTION("AVERAGE(QUERY(SORT(GOOGLEFINANCE(A496,""price"",TODAY()-150,TODAY()),1,0),""select Col2 limit 50""))"),1070.0820000000003)</f>
        <v>1070.082</v>
      </c>
      <c r="D496" s="45">
        <f>IFERROR(__xludf.DUMMYFUNCTION("AVERAGE(QUERY(SORT(GOOGLEFINANCE(A496,""price"",TODAY()-300,TODAY()),1,0),""select Col2 limit 100""))"),1052.6340000000002)</f>
        <v>1052.634</v>
      </c>
      <c r="E496" s="45">
        <f>IFERROR(__xludf.DUMMYFUNCTION("AVERAGE(QUERY(SORT(GOOGLEFINANCE(A496,""price"",TODAY()-500,TODAY()),1,0),""select Col2 limit 200""))"),1062.5184999999994)</f>
        <v>1062.5185</v>
      </c>
      <c r="F496" s="46" t="str">
        <f t="shared" si="1"/>
        <v>In Bear Run</v>
      </c>
      <c r="G496" s="47">
        <f t="shared" si="2"/>
        <v>-14.82501246</v>
      </c>
      <c r="H496" s="48" t="str">
        <f t="shared" si="3"/>
        <v>Inverted ✗</v>
      </c>
      <c r="I496" s="48">
        <f t="shared" si="4"/>
        <v>0</v>
      </c>
      <c r="J496" s="48">
        <f t="shared" si="5"/>
        <v>0</v>
      </c>
      <c r="K496" s="49" t="str">
        <f>IFERROR(__xludf.DUMMYFUNCTION("IFERROR(IF(A496="""",""ENTER STOCK"",LET(stock,A496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96" s="48">
        <f t="shared" si="6"/>
        <v>0</v>
      </c>
      <c r="M496" s="48">
        <f t="shared" si="7"/>
        <v>1</v>
      </c>
      <c r="N496" s="50">
        <f t="shared" si="8"/>
        <v>1</v>
      </c>
      <c r="P496" s="46" t="str">
        <f t="shared" si="9"/>
        <v>REVERSE TRADE</v>
      </c>
      <c r="Q496" s="52"/>
      <c r="R496" s="53">
        <f t="shared" si="10"/>
        <v>15</v>
      </c>
      <c r="S496" s="53">
        <f>IFERROR(__xludf.DUMMYFUNCTION("IFERROR(ROUND(GOOGLEFINANCE(A496,""volume"")/GOOGLEFINANCE(A496,""volumeavg""),2),"""")"),2.36)</f>
        <v>2.36</v>
      </c>
      <c r="T496" s="53" t="str">
        <f t="shared" si="11"/>
        <v>HIGH VOL</v>
      </c>
      <c r="U496" s="53">
        <f>IFERROR(__xludf.DUMMYFUNCTION("IFERROR(
  LET(
    sd, GOOGLEFINANCE(A496,""close"",TODAY()-100,TODAY()),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"""")"),1.02)</f>
        <v>1.02</v>
      </c>
      <c r="V496" s="53" t="str">
        <f t="shared" si="12"/>
        <v>MEDIUM</v>
      </c>
      <c r="W496" s="53">
        <f>IFERROR(__xludf.DUMMYFUNCTION("IFERROR(ROUND((B496/GOOGLEFINANCE(A496,""high52"")-1)*100,1),"""")"),-25.5)</f>
        <v>-25.5</v>
      </c>
      <c r="X496" s="53">
        <f>IFERROR(__xludf.DUMMYFUNCTION("IFERROR(ROUND((B496-GOOGLEFINANCE(A496,""low52""))/(GOOGLEFINANCE(A496,""high52"")-GOOGLEFINANCE(A496,""low52""))*100,1),"""")"),12.7)</f>
        <v>12.7</v>
      </c>
      <c r="Y496" s="53" t="str">
        <f t="shared" si="13"/>
        <v>MID</v>
      </c>
      <c r="Z496" s="53">
        <f>IFERROR(__xludf.DUMMYFUNCTION("IFERROR(ROUND(((B496 / INDEX(GOOGLEFINANCE(TRIM(A496), ""price"", TODAY()-34, TODAY()), 2, 2)) - (GOOGLEFINANCE(""NIFTY_50"") / INDEX(GOOGLEFINANCE(""NIFTY_50"", ""price"", TODAY()-34, TODAY()), 2, 2))) * 100, 2), ""Check History"")"),-8.94)</f>
        <v>-8.94</v>
      </c>
      <c r="AA496" s="53" t="str">
        <f t="shared" si="14"/>
        <v>WEAK RS</v>
      </c>
      <c r="AB496" s="53">
        <f>IFERROR(__xludf.DUMMYFUNCTION("IFERROR(LET(
  p, QUERY(GOOGLEFINANCE(TRIM(A496),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Loading"")"),37.7)</f>
        <v>37.7</v>
      </c>
      <c r="AC496" s="53" t="str">
        <f t="shared" si="15"/>
        <v>WEAK MOM</v>
      </c>
      <c r="AD496" s="53" t="str">
        <f>IFERROR(__xludf.DUMMYFUNCTION("IFERROR(IF(GOOGLEFINANCE(A496,""eps"")&gt;0,""EPS+"",""EPS-""),"""")"),"EPS+")</f>
        <v>EPS+</v>
      </c>
      <c r="AE496" s="53">
        <f t="shared" si="16"/>
        <v>5</v>
      </c>
      <c r="AF496" s="53">
        <f>IFERROR(__xludf.DUMMYFUNCTION("IFERROR(N496+IF(S496&gt;=1.2,1,0)+IF(U496&gt;=1,1,0)+IF(Z496&gt;0,1,0)+IF(AND(W496&gt;=-20,W496&lt;=0),1,0)+IF(IFERROR(GOOGLEFINANCE(A496,""eps""),0)&gt;0,1,0),"""")"),4.0)</f>
        <v>4</v>
      </c>
      <c r="AG496" s="53" t="str">
        <f t="shared" si="17"/>
        <v>REVERSE TRADE</v>
      </c>
    </row>
    <row r="497" ht="15.75" customHeight="1">
      <c r="A497" s="55" t="s">
        <v>664</v>
      </c>
      <c r="B497" s="44">
        <f>IFERROR(__xludf.DUMMYFUNCTION("GOOGLEFINANCE(A497,""price"")"),255.95)</f>
        <v>255.95</v>
      </c>
      <c r="C497" s="45">
        <f>IFERROR(__xludf.DUMMYFUNCTION("AVERAGE(QUERY(SORT(GOOGLEFINANCE(A497,""price"",TODAY()-150,TODAY()),1,0),""select Col2 limit 50""))"),273.43299999999994)</f>
        <v>273.433</v>
      </c>
      <c r="D497" s="45">
        <f>IFERROR(__xludf.DUMMYFUNCTION("AVERAGE(QUERY(SORT(GOOGLEFINANCE(A497,""price"",TODAY()-300,TODAY()),1,0),""select Col2 limit 100""))"),285.2895)</f>
        <v>285.2895</v>
      </c>
      <c r="E497" s="45">
        <f>IFERROR(__xludf.DUMMYFUNCTION("AVERAGE(QUERY(SORT(GOOGLEFINANCE(A497,""price"",TODAY()-500,TODAY()),1,0),""select Col2 limit 200""))"),391.89650000000006)</f>
        <v>391.8965</v>
      </c>
      <c r="F497" s="46" t="str">
        <f t="shared" si="1"/>
        <v>In Bear Run</v>
      </c>
      <c r="G497" s="47">
        <f t="shared" si="2"/>
        <v>-34.68938865</v>
      </c>
      <c r="H497" s="48" t="str">
        <f t="shared" si="3"/>
        <v>Inverted ✗</v>
      </c>
      <c r="I497" s="48">
        <f t="shared" si="4"/>
        <v>0</v>
      </c>
      <c r="J497" s="48">
        <f t="shared" si="5"/>
        <v>0</v>
      </c>
      <c r="K497" s="49" t="str">
        <f>IFERROR(__xludf.DUMMYFUNCTION("IFERROR(IF(A497="""",""ENTER STOCK"",LET(stock,A497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97" s="48">
        <f t="shared" si="6"/>
        <v>0</v>
      </c>
      <c r="M497" s="48">
        <f t="shared" si="7"/>
        <v>1</v>
      </c>
      <c r="N497" s="50">
        <f t="shared" si="8"/>
        <v>1</v>
      </c>
      <c r="P497" s="46" t="str">
        <f t="shared" si="9"/>
        <v>REVERSE TRADE</v>
      </c>
      <c r="Q497" s="52"/>
      <c r="R497" s="53">
        <f t="shared" si="10"/>
        <v>15</v>
      </c>
      <c r="S497" s="53">
        <f>IFERROR(__xludf.DUMMYFUNCTION("IFERROR(ROUND(GOOGLEFINANCE(A497,""volume"")/GOOGLEFINANCE(A497,""volumeavg""),2),"""")"),0.63)</f>
        <v>0.63</v>
      </c>
      <c r="T497" s="53" t="str">
        <f t="shared" si="11"/>
        <v>LOW VOL</v>
      </c>
      <c r="U497" s="53">
        <f>IFERROR(__xludf.DUMMYFUNCTION("IFERROR(
  LET(
    sd, GOOGLEFINANCE(A497,""close"",TODAY()-100,TODAY()),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"""")"),2.34)</f>
        <v>2.34</v>
      </c>
      <c r="V497" s="53" t="str">
        <f t="shared" si="12"/>
        <v>FAST</v>
      </c>
      <c r="W497" s="53">
        <f>IFERROR(__xludf.DUMMYFUNCTION("IFERROR(ROUND((B497/GOOGLEFINANCE(A497,""high52"")-1)*100,1),"""")"),-56.9)</f>
        <v>-56.9</v>
      </c>
      <c r="X497" s="53">
        <f>IFERROR(__xludf.DUMMYFUNCTION("IFERROR(ROUND((B497-GOOGLEFINANCE(A497,""low52""))/(GOOGLEFINANCE(A497,""high52"")-GOOGLEFINANCE(A497,""low52""))*100,1),"""")"),8.6)</f>
        <v>8.6</v>
      </c>
      <c r="Y497" s="53" t="str">
        <f t="shared" si="13"/>
        <v>DEEP RECOVERY</v>
      </c>
      <c r="Z497" s="53">
        <f>IFERROR(__xludf.DUMMYFUNCTION("IFERROR(ROUND(((B497 / INDEX(GOOGLEFINANCE(TRIM(A497), ""price"", TODAY()-34, TODAY()), 2, 2)) - (GOOGLEFINANCE(""NIFTY_50"") / INDEX(GOOGLEFINANCE(""NIFTY_50"", ""price"", TODAY()-34, TODAY()), 2, 2))) * 100, 2), ""Check History"")"),-3.23)</f>
        <v>-3.23</v>
      </c>
      <c r="AA497" s="53" t="str">
        <f t="shared" si="14"/>
        <v>WEAK RS</v>
      </c>
      <c r="AB497" s="53">
        <f>IFERROR(__xludf.DUMMYFUNCTION("IFERROR(LET(
  p, QUERY(GOOGLEFINANCE(TRIM(A497),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Loading"")"),35.3)</f>
        <v>35.3</v>
      </c>
      <c r="AC497" s="53" t="str">
        <f t="shared" si="15"/>
        <v>WEAK MOM</v>
      </c>
      <c r="AD497" s="53" t="str">
        <f>IFERROR(__xludf.DUMMYFUNCTION("IFERROR(IF(GOOGLEFINANCE(A497,""eps"")&gt;0,""EPS+"",""EPS-""),"""")"),"EPS+")</f>
        <v>EPS+</v>
      </c>
      <c r="AE497" s="53">
        <f t="shared" si="16"/>
        <v>3</v>
      </c>
      <c r="AF497" s="53">
        <f>IFERROR(__xludf.DUMMYFUNCTION("IFERROR(N497+IF(S497&gt;=1.2,1,0)+IF(U497&gt;=1,1,0)+IF(Z497&gt;0,1,0)+IF(AND(W497&gt;=-20,W497&lt;=0),1,0)+IF(IFERROR(GOOGLEFINANCE(A497,""eps""),0)&gt;0,1,0),"""")"),3.0)</f>
        <v>3</v>
      </c>
      <c r="AG497" s="53" t="str">
        <f t="shared" si="17"/>
        <v>REVERSE TRADE</v>
      </c>
    </row>
    <row r="498" ht="15.75" customHeight="1">
      <c r="A498" s="55" t="s">
        <v>665</v>
      </c>
      <c r="B498" s="44">
        <f>IFERROR(__xludf.DUMMYFUNCTION("GOOGLEFINANCE(A498,""price"")"),391.3)</f>
        <v>391.3</v>
      </c>
      <c r="C498" s="45">
        <f>IFERROR(__xludf.DUMMYFUNCTION("AVERAGE(QUERY(SORT(GOOGLEFINANCE(A498,""price"",TODAY()-150,TODAY()),1,0),""select Col2 limit 50""))"),413.397)</f>
        <v>413.397</v>
      </c>
      <c r="D498" s="45">
        <f>IFERROR(__xludf.DUMMYFUNCTION("AVERAGE(QUERY(SORT(GOOGLEFINANCE(A498,""price"",TODAY()-300,TODAY()),1,0),""select Col2 limit 100""))"),429.6575)</f>
        <v>429.6575</v>
      </c>
      <c r="E498" s="45">
        <f>IFERROR(__xludf.DUMMYFUNCTION("AVERAGE(QUERY(SORT(GOOGLEFINANCE(A498,""price"",TODAY()-500,TODAY()),1,0),""select Col2 limit 200""))"),410.4082500000001)</f>
        <v>410.40825</v>
      </c>
      <c r="F498" s="46" t="str">
        <f t="shared" si="1"/>
        <v>In Bear Run</v>
      </c>
      <c r="G498" s="47">
        <f t="shared" si="2"/>
        <v>-4.655912741</v>
      </c>
      <c r="H498" s="48" t="str">
        <f t="shared" si="3"/>
        <v>Inverted ✗</v>
      </c>
      <c r="I498" s="48">
        <f t="shared" si="4"/>
        <v>0</v>
      </c>
      <c r="J498" s="48">
        <f t="shared" si="5"/>
        <v>0</v>
      </c>
      <c r="K498" s="49" t="str">
        <f>IFERROR(__xludf.DUMMYFUNCTION("IFERROR(IF(A498="""",""ENTER STOCK"",LET(stock,A498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98" s="48">
        <f t="shared" si="6"/>
        <v>0</v>
      </c>
      <c r="M498" s="48">
        <f t="shared" si="7"/>
        <v>1</v>
      </c>
      <c r="N498" s="50">
        <f t="shared" si="8"/>
        <v>1</v>
      </c>
      <c r="P498" s="46" t="str">
        <f t="shared" si="9"/>
        <v>REVERSE TRADE</v>
      </c>
      <c r="Q498" s="52"/>
      <c r="R498" s="53">
        <f t="shared" si="10"/>
        <v>15</v>
      </c>
      <c r="S498" s="53">
        <f>IFERROR(__xludf.DUMMYFUNCTION("IFERROR(ROUND(GOOGLEFINANCE(A498,""volume"")/GOOGLEFINANCE(A498,""volumeavg""),2),"""")"),0.55)</f>
        <v>0.55</v>
      </c>
      <c r="T498" s="53" t="str">
        <f t="shared" si="11"/>
        <v>LOW VOL</v>
      </c>
      <c r="U498" s="53">
        <f>IFERROR(__xludf.DUMMYFUNCTION("IFERROR(
  LET(
    sd, GOOGLEFINANCE(A498,""close"",TODAY()-100,TODAY()),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"""")"),1.34)</f>
        <v>1.34</v>
      </c>
      <c r="V498" s="53" t="str">
        <f t="shared" si="12"/>
        <v>FAST</v>
      </c>
      <c r="W498" s="53">
        <f>IFERROR(__xludf.DUMMYFUNCTION("IFERROR(ROUND((B498/GOOGLEFINANCE(A498,""high52"")-1)*100,1),"""")"),-21.3)</f>
        <v>-21.3</v>
      </c>
      <c r="X498" s="53">
        <f>IFERROR(__xludf.DUMMYFUNCTION("IFERROR(ROUND((B498-GOOGLEFINANCE(A498,""low52""))/(GOOGLEFINANCE(A498,""high52"")-GOOGLEFINANCE(A498,""low52""))*100,1),"""")"),50.0)</f>
        <v>50</v>
      </c>
      <c r="Y498" s="53" t="str">
        <f t="shared" si="13"/>
        <v>MID</v>
      </c>
      <c r="Z498" s="53">
        <f>IFERROR(__xludf.DUMMYFUNCTION("IFERROR(ROUND(((B498 / INDEX(GOOGLEFINANCE(TRIM(A498), ""price"", TODAY()-34, TODAY()), 2, 2)) - (GOOGLEFINANCE(""NIFTY_50"") / INDEX(GOOGLEFINANCE(""NIFTY_50"", ""price"", TODAY()-34, TODAY()), 2, 2))) * 100, 2), ""Check History"")"),8.53)</f>
        <v>8.53</v>
      </c>
      <c r="AA498" s="53" t="str">
        <f t="shared" si="14"/>
        <v>STRONG RS</v>
      </c>
      <c r="AB498" s="53">
        <f>IFERROR(__xludf.DUMMYFUNCTION("IFERROR(LET(
  p, QUERY(GOOGLEFINANCE(TRIM(A498),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Loading"")"),45.3)</f>
        <v>45.3</v>
      </c>
      <c r="AC498" s="53" t="str">
        <f t="shared" si="15"/>
        <v>IDEAL ENTRY</v>
      </c>
      <c r="AD498" s="53" t="str">
        <f>IFERROR(__xludf.DUMMYFUNCTION("IFERROR(IF(GOOGLEFINANCE(A498,""eps"")&gt;0,""EPS+"",""EPS-""),"""")"),"EPS+")</f>
        <v>EPS+</v>
      </c>
      <c r="AE498" s="53">
        <f t="shared" si="16"/>
        <v>6</v>
      </c>
      <c r="AF498" s="53">
        <f>IFERROR(__xludf.DUMMYFUNCTION("IFERROR(N498+IF(S498&gt;=1.2,1,0)+IF(U498&gt;=1,1,0)+IF(Z498&gt;0,1,0)+IF(AND(W498&gt;=-20,W498&lt;=0),1,0)+IF(IFERROR(GOOGLEFINANCE(A498,""eps""),0)&gt;0,1,0),"""")"),4.0)</f>
        <v>4</v>
      </c>
      <c r="AG498" s="53" t="str">
        <f t="shared" si="17"/>
        <v>REVERSE TRADE</v>
      </c>
    </row>
    <row r="499" ht="15.75" customHeight="1">
      <c r="A499" s="55" t="s">
        <v>666</v>
      </c>
      <c r="B499" s="44">
        <f>IFERROR(__xludf.DUMMYFUNCTION("GOOGLEFINANCE(A499,""price"")"),84.15)</f>
        <v>84.15</v>
      </c>
      <c r="C499" s="45">
        <f>IFERROR(__xludf.DUMMYFUNCTION("AVERAGE(QUERY(SORT(GOOGLEFINANCE(A499,""price"",TODAY()-150,TODAY()),1,0),""select Col2 limit 50""))"),107.84579999999998)</f>
        <v>107.8458</v>
      </c>
      <c r="D499" s="45">
        <f>IFERROR(__xludf.DUMMYFUNCTION("AVERAGE(QUERY(SORT(GOOGLEFINANCE(A499,""price"",TODAY()-300,TODAY()),1,0),""select Col2 limit 100""))"),117.68589999999999)</f>
        <v>117.6859</v>
      </c>
      <c r="E499" s="45">
        <f>IFERROR(__xludf.DUMMYFUNCTION("AVERAGE(QUERY(SORT(GOOGLEFINANCE(A499,""price"",TODAY()-500,TODAY()),1,0),""select Col2 limit 200""))"),152.5254499999999)</f>
        <v>152.52545</v>
      </c>
      <c r="F499" s="46" t="str">
        <f t="shared" si="1"/>
        <v>In Bear Run</v>
      </c>
      <c r="G499" s="47">
        <f t="shared" si="2"/>
        <v>-44.82887938</v>
      </c>
      <c r="H499" s="48" t="str">
        <f t="shared" si="3"/>
        <v>Inverted ✗</v>
      </c>
      <c r="I499" s="48">
        <f t="shared" si="4"/>
        <v>0</v>
      </c>
      <c r="J499" s="48">
        <f t="shared" si="5"/>
        <v>0</v>
      </c>
      <c r="K499" s="49" t="str">
        <f>IFERROR(__xludf.DUMMYFUNCTION("IFERROR(IF(A499="""",""ENTER STOCK"",LET(stock,A499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499" s="48">
        <f t="shared" si="6"/>
        <v>0</v>
      </c>
      <c r="M499" s="48">
        <f t="shared" si="7"/>
        <v>1</v>
      </c>
      <c r="N499" s="50">
        <f t="shared" si="8"/>
        <v>1</v>
      </c>
      <c r="P499" s="46" t="str">
        <f t="shared" si="9"/>
        <v>REVERSE TRADE</v>
      </c>
      <c r="Q499" s="52"/>
      <c r="R499" s="53">
        <f t="shared" si="10"/>
        <v>15</v>
      </c>
      <c r="S499" s="53">
        <f>IFERROR(__xludf.DUMMYFUNCTION("IFERROR(ROUND(GOOGLEFINANCE(A499,""volume"")/GOOGLEFINANCE(A499,""volumeavg""),2),"""")"),2.3)</f>
        <v>2.3</v>
      </c>
      <c r="T499" s="53" t="str">
        <f t="shared" si="11"/>
        <v>HIGH VOL</v>
      </c>
      <c r="U499" s="53">
        <f>IFERROR(__xludf.DUMMYFUNCTION("IFERROR(
  LET(
    sd, GOOGLEFINANCE(A499,""close"",TODAY()-100,TODAY()),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"""")"),1.99)</f>
        <v>1.99</v>
      </c>
      <c r="V499" s="53" t="str">
        <f t="shared" si="12"/>
        <v>FAST</v>
      </c>
      <c r="W499" s="53">
        <f>IFERROR(__xludf.DUMMYFUNCTION("IFERROR(ROUND((B499/GOOGLEFINANCE(A499,""high52"")-1)*100,1),"""")"),-61.3)</f>
        <v>-61.3</v>
      </c>
      <c r="X499" s="53">
        <f>IFERROR(__xludf.DUMMYFUNCTION("IFERROR(ROUND((B499-GOOGLEFINANCE(A499,""low52""))/(GOOGLEFINANCE(A499,""high52"")-GOOGLEFINANCE(A499,""low52""))*100,1),"""")"),0.5)</f>
        <v>0.5</v>
      </c>
      <c r="Y499" s="53" t="str">
        <f t="shared" si="13"/>
        <v>DEEP RECOVERY</v>
      </c>
      <c r="Z499" s="53">
        <f>IFERROR(__xludf.DUMMYFUNCTION("IFERROR(ROUND(((B499 / INDEX(GOOGLEFINANCE(TRIM(A499), ""price"", TODAY()-34, TODAY()), 2, 2)) - (GOOGLEFINANCE(""NIFTY_50"") / INDEX(GOOGLEFINANCE(""NIFTY_50"", ""price"", TODAY()-34, TODAY()), 2, 2))) * 100, 2), ""Check History"")"),-13.27)</f>
        <v>-13.27</v>
      </c>
      <c r="AA499" s="53" t="str">
        <f t="shared" si="14"/>
        <v>WEAK RS</v>
      </c>
      <c r="AB499" s="53">
        <f>IFERROR(__xludf.DUMMYFUNCTION("IFERROR(LET(
  p, QUERY(GOOGLEFINANCE(TRIM(A499),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Loading"")"),30.6)</f>
        <v>30.6</v>
      </c>
      <c r="AC499" s="53" t="str">
        <f t="shared" si="15"/>
        <v>WEAK MOM</v>
      </c>
      <c r="AD499" s="53" t="str">
        <f>IFERROR(__xludf.DUMMYFUNCTION("IFERROR(IF(GOOGLEFINANCE(A499,""eps"")&gt;0,""EPS+"",""EPS-""),"""")"),"EPS+")</f>
        <v>EPS+</v>
      </c>
      <c r="AE499" s="53">
        <f t="shared" si="16"/>
        <v>6</v>
      </c>
      <c r="AF499" s="53">
        <f>IFERROR(__xludf.DUMMYFUNCTION("IFERROR(N499+IF(S499&gt;=1.2,1,0)+IF(U499&gt;=1,1,0)+IF(Z499&gt;0,1,0)+IF(AND(W499&gt;=-20,W499&lt;=0),1,0)+IF(IFERROR(GOOGLEFINANCE(A499,""eps""),0)&gt;0,1,0),"""")"),4.0)</f>
        <v>4</v>
      </c>
      <c r="AG499" s="53" t="str">
        <f t="shared" si="17"/>
        <v>REVERSE TRADE</v>
      </c>
    </row>
    <row r="500" ht="15.75" customHeight="1">
      <c r="A500" s="55" t="s">
        <v>667</v>
      </c>
      <c r="B500" s="44">
        <f>IFERROR(__xludf.DUMMYFUNCTION("GOOGLEFINANCE(A500,""price"")"),520.6)</f>
        <v>520.6</v>
      </c>
      <c r="C500" s="45">
        <f>IFERROR(__xludf.DUMMYFUNCTION("AVERAGE(QUERY(SORT(GOOGLEFINANCE(A500,""price"",TODAY()-150,TODAY()),1,0),""select Col2 limit 50""))"),499.0239999999998)</f>
        <v>499.024</v>
      </c>
      <c r="D500" s="45">
        <f>IFERROR(__xludf.DUMMYFUNCTION("AVERAGE(QUERY(SORT(GOOGLEFINANCE(A500,""price"",TODAY()-300,TODAY()),1,0),""select Col2 limit 100""))"),469.21399999999994)</f>
        <v>469.214</v>
      </c>
      <c r="E500" s="45">
        <f>IFERROR(__xludf.DUMMYFUNCTION("AVERAGE(QUERY(SORT(GOOGLEFINANCE(A500,""price"",TODAY()-500,TODAY()),1,0),""select Col2 limit 200""))"),455.9947499999999)</f>
        <v>455.99475</v>
      </c>
      <c r="F500" s="46" t="str">
        <f t="shared" si="1"/>
        <v>In Bull Run</v>
      </c>
      <c r="G500" s="47">
        <f t="shared" si="2"/>
        <v>14.1679811</v>
      </c>
      <c r="H500" s="48" t="str">
        <f t="shared" si="3"/>
        <v>Golden ✓</v>
      </c>
      <c r="I500" s="48">
        <f t="shared" si="4"/>
        <v>3</v>
      </c>
      <c r="J500" s="48">
        <f t="shared" si="5"/>
        <v>0</v>
      </c>
      <c r="K500" s="49" t="str">
        <f>IFERROR(__xludf.DUMMYFUNCTION("IFERROR(IF(A500="""",""ENTER STOCK"",LET(stock,A500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00" s="48">
        <f t="shared" si="6"/>
        <v>0</v>
      </c>
      <c r="M500" s="48">
        <f t="shared" si="7"/>
        <v>1</v>
      </c>
      <c r="N500" s="50">
        <f t="shared" si="8"/>
        <v>4</v>
      </c>
      <c r="P500" s="46" t="str">
        <f t="shared" si="9"/>
        <v>SKIP</v>
      </c>
      <c r="Q500" s="52"/>
      <c r="R500" s="53">
        <f t="shared" si="10"/>
        <v>15</v>
      </c>
      <c r="S500" s="53">
        <f>IFERROR(__xludf.DUMMYFUNCTION("IFERROR(ROUND(GOOGLEFINANCE(A500,""volume"")/GOOGLEFINANCE(A500,""volumeavg""),2),"""")"),1.34)</f>
        <v>1.34</v>
      </c>
      <c r="T500" s="53" t="str">
        <f t="shared" si="11"/>
        <v>OK VOL</v>
      </c>
      <c r="U500" s="53">
        <f>IFERROR(__xludf.DUMMYFUNCTION("IFERROR(
  LET(
    sd, GOOGLEFINANCE(A500,""close"",TODAY()-100,TODAY()),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"""")"),0.59)</f>
        <v>0.59</v>
      </c>
      <c r="V500" s="53" t="str">
        <f t="shared" si="12"/>
        <v>SLOW</v>
      </c>
      <c r="W500" s="53">
        <f>IFERROR(__xludf.DUMMYFUNCTION("IFERROR(ROUND((B500/GOOGLEFINANCE(A500,""high52"")-1)*100,1),"""")"),-7.0)</f>
        <v>-7</v>
      </c>
      <c r="X500" s="53">
        <f>IFERROR(__xludf.DUMMYFUNCTION("IFERROR(ROUND((B500-GOOGLEFINANCE(A500,""low52""))/(GOOGLEFINANCE(A500,""high52"")-GOOGLEFINANCE(A500,""low52""))*100,1),"""")"),77.7)</f>
        <v>77.7</v>
      </c>
      <c r="Y500" s="53" t="str">
        <f t="shared" si="13"/>
        <v>UPPER</v>
      </c>
      <c r="Z500" s="53">
        <f>IFERROR(__xludf.DUMMYFUNCTION("IFERROR(ROUND(((B500 / INDEX(GOOGLEFINANCE(TRIM(A500), ""price"", TODAY()-34, TODAY()), 2, 2)) - (GOOGLEFINANCE(""NIFTY_50"") / INDEX(GOOGLEFINANCE(""NIFTY_50"", ""price"", TODAY()-34, TODAY()), 2, 2))) * 100, 2), ""Check History"")"),8.64)</f>
        <v>8.64</v>
      </c>
      <c r="AA500" s="53" t="str">
        <f t="shared" si="14"/>
        <v>STRONG RS</v>
      </c>
      <c r="AB500" s="53">
        <f>IFERROR(__xludf.DUMMYFUNCTION("IFERROR(LET(
  p, QUERY(GOOGLEFINANCE(TRIM(A500),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Loading"")"),48.6)</f>
        <v>48.6</v>
      </c>
      <c r="AC500" s="53" t="str">
        <f t="shared" si="15"/>
        <v>IDEAL ENTRY</v>
      </c>
      <c r="AD500" s="53" t="str">
        <f>IFERROR(__xludf.DUMMYFUNCTION("IFERROR(IF(GOOGLEFINANCE(A500,""eps"")&gt;0,""EPS+"",""EPS-""),"""")"),"EPS+")</f>
        <v>EPS+</v>
      </c>
      <c r="AE500" s="53">
        <f t="shared" si="16"/>
        <v>6</v>
      </c>
      <c r="AF500" s="53">
        <f>IFERROR(__xludf.DUMMYFUNCTION("IFERROR(N500+IF(S500&gt;=1.2,1,0)+IF(U500&gt;=1,1,0)+IF(Z500&gt;0,1,0)+IF(AND(W500&gt;=-20,W500&lt;=0),1,0)+IF(IFERROR(GOOGLEFINANCE(A500,""eps""),0)&gt;0,1,0),"""")"),8.0)</f>
        <v>8</v>
      </c>
      <c r="AG500" s="53" t="str">
        <f t="shared" si="17"/>
        <v>BUY</v>
      </c>
    </row>
    <row r="501" ht="15.75" customHeight="1">
      <c r="A501" s="55" t="s">
        <v>668</v>
      </c>
      <c r="B501" s="44">
        <f>IFERROR(__xludf.DUMMYFUNCTION("GOOGLEFINANCE(A501,""price"")"),1174.7)</f>
        <v>1174.7</v>
      </c>
      <c r="C501" s="45">
        <f>IFERROR(__xludf.DUMMYFUNCTION("AVERAGE(QUERY(SORT(GOOGLEFINANCE(A501,""price"",TODAY()-150,TODAY()),1,0),""select Col2 limit 50""))"),1324.5939999999996)</f>
        <v>1324.594</v>
      </c>
      <c r="D501" s="45">
        <f>IFERROR(__xludf.DUMMYFUNCTION("AVERAGE(QUERY(SORT(GOOGLEFINANCE(A501,""price"",TODAY()-300,TODAY()),1,0),""select Col2 limit 100""))"),1349.6309999999992)</f>
        <v>1349.631</v>
      </c>
      <c r="E501" s="45">
        <f>IFERROR(__xludf.DUMMYFUNCTION("AVERAGE(QUERY(SORT(GOOGLEFINANCE(A501,""price"",TODAY()-500,TODAY()),1,0),""select Col2 limit 200""))"),1452.1264999999999)</f>
        <v>1452.1265</v>
      </c>
      <c r="F501" s="46" t="str">
        <f t="shared" si="1"/>
        <v>In Bear Run</v>
      </c>
      <c r="G501" s="47">
        <f t="shared" si="2"/>
        <v>-19.10484383</v>
      </c>
      <c r="H501" s="48" t="str">
        <f t="shared" si="3"/>
        <v>Inverted ✗</v>
      </c>
      <c r="I501" s="48">
        <f t="shared" si="4"/>
        <v>0</v>
      </c>
      <c r="J501" s="48">
        <f t="shared" si="5"/>
        <v>0</v>
      </c>
      <c r="K501" s="49" t="str">
        <f>IFERROR(__xludf.DUMMYFUNCTION("IFERROR(IF(A501="""",""ENTER STOCK"",LET(stock,A501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01" s="48">
        <f t="shared" si="6"/>
        <v>0</v>
      </c>
      <c r="M501" s="48">
        <f t="shared" si="7"/>
        <v>1</v>
      </c>
      <c r="N501" s="50">
        <f t="shared" si="8"/>
        <v>1</v>
      </c>
      <c r="P501" s="46" t="str">
        <f t="shared" si="9"/>
        <v>REVERSE TRADE</v>
      </c>
      <c r="Q501" s="52"/>
      <c r="R501" s="53">
        <f t="shared" si="10"/>
        <v>15</v>
      </c>
      <c r="S501" s="53">
        <f>IFERROR(__xludf.DUMMYFUNCTION("IFERROR(ROUND(GOOGLEFINANCE(A501,""volume"")/GOOGLEFINANCE(A501,""volumeavg""),2),"""")"),2.77)</f>
        <v>2.77</v>
      </c>
      <c r="T501" s="53" t="str">
        <f t="shared" si="11"/>
        <v>HIGH VOL</v>
      </c>
      <c r="U501" s="53">
        <f>IFERROR(__xludf.DUMMYFUNCTION("IFERROR(
  LET(
    sd, GOOGLEFINANCE(A501,""close"",TODAY()-100,TODAY()),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"""")"),1.4)</f>
        <v>1.4</v>
      </c>
      <c r="V501" s="53" t="str">
        <f t="shared" si="12"/>
        <v>FAST</v>
      </c>
      <c r="W501" s="53">
        <f>IFERROR(__xludf.DUMMYFUNCTION("IFERROR(ROUND((B501/GOOGLEFINANCE(A501,""high52"")-1)*100,1),"""")"),-37.1)</f>
        <v>-37.1</v>
      </c>
      <c r="X501" s="53">
        <f>IFERROR(__xludf.DUMMYFUNCTION("IFERROR(ROUND((B501-GOOGLEFINANCE(A501,""low52""))/(GOOGLEFINANCE(A501,""high52"")-GOOGLEFINANCE(A501,""low52""))*100,1),"""")"),11.3)</f>
        <v>11.3</v>
      </c>
      <c r="Y501" s="53" t="str">
        <f t="shared" si="13"/>
        <v>MID</v>
      </c>
      <c r="Z501" s="53">
        <f>IFERROR(__xludf.DUMMYFUNCTION("IFERROR(ROUND(((B501 / INDEX(GOOGLEFINANCE(TRIM(A501), ""price"", TODAY()-34, TODAY()), 2, 2)) - (GOOGLEFINANCE(""NIFTY_50"") / INDEX(GOOGLEFINANCE(""NIFTY_50"", ""price"", TODAY()-34, TODAY()), 2, 2))) * 100, 2), ""Check History"")"),-1.59)</f>
        <v>-1.59</v>
      </c>
      <c r="AA501" s="53" t="str">
        <f t="shared" si="14"/>
        <v>WEAK RS</v>
      </c>
      <c r="AB501" s="53">
        <f>IFERROR(__xludf.DUMMYFUNCTION("IFERROR(LET(
  p, QUERY(GOOGLEFINANCE(TRIM(A501),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Loading"")"),62.3)</f>
        <v>62.3</v>
      </c>
      <c r="AC501" s="53" t="str">
        <f t="shared" si="15"/>
        <v>IDEAL ENTRY</v>
      </c>
      <c r="AD501" s="53" t="str">
        <f>IFERROR(__xludf.DUMMYFUNCTION("IFERROR(IF(GOOGLEFINANCE(A501,""eps"")&gt;0,""EPS+"",""EPS-""),"""")"),"EPS+")</f>
        <v>EPS+</v>
      </c>
      <c r="AE501" s="53">
        <f t="shared" si="16"/>
        <v>6</v>
      </c>
      <c r="AF501" s="53">
        <f>IFERROR(__xludf.DUMMYFUNCTION("IFERROR(N501+IF(S501&gt;=1.2,1,0)+IF(U501&gt;=1,1,0)+IF(Z501&gt;0,1,0)+IF(AND(W501&gt;=-20,W501&lt;=0),1,0)+IF(IFERROR(GOOGLEFINANCE(A501,""eps""),0)&gt;0,1,0),"""")"),4.0)</f>
        <v>4</v>
      </c>
      <c r="AG501" s="53" t="str">
        <f t="shared" si="17"/>
        <v>REVERSE TRADE</v>
      </c>
    </row>
    <row r="502" ht="15.75" customHeight="1">
      <c r="A502" s="55" t="s">
        <v>669</v>
      </c>
      <c r="B502" s="44">
        <f>IFERROR(__xludf.DUMMYFUNCTION("GOOGLEFINANCE(A502,""price"")"),72.0)</f>
        <v>72</v>
      </c>
      <c r="C502" s="45">
        <f>IFERROR(__xludf.DUMMYFUNCTION("AVERAGE(QUERY(SORT(GOOGLEFINANCE(A502,""price"",TODAY()-150,TODAY()),1,0),""select Col2 limit 50""))"),84.00219999999999)</f>
        <v>84.0022</v>
      </c>
      <c r="D502" s="45">
        <f>IFERROR(__xludf.DUMMYFUNCTION("AVERAGE(QUERY(SORT(GOOGLEFINANCE(A502,""price"",TODAY()-300,TODAY()),1,0),""select Col2 limit 100""))"),89.6468)</f>
        <v>89.6468</v>
      </c>
      <c r="E502" s="45">
        <f>IFERROR(__xludf.DUMMYFUNCTION("AVERAGE(QUERY(SORT(GOOGLEFINANCE(A502,""price"",TODAY()-500,TODAY()),1,0),""select Col2 limit 200""))"),105.94910000000003)</f>
        <v>105.9491</v>
      </c>
      <c r="F502" s="46" t="str">
        <f t="shared" si="1"/>
        <v>In Bear Run</v>
      </c>
      <c r="G502" s="47">
        <f t="shared" si="2"/>
        <v>-32.04283944</v>
      </c>
      <c r="H502" s="48" t="str">
        <f t="shared" si="3"/>
        <v>Inverted ✗</v>
      </c>
      <c r="I502" s="48">
        <f t="shared" si="4"/>
        <v>0</v>
      </c>
      <c r="J502" s="48">
        <f t="shared" si="5"/>
        <v>0</v>
      </c>
      <c r="K502" s="49" t="str">
        <f>IFERROR(__xludf.DUMMYFUNCTION("IFERROR(IF(A502="""",""ENTER STOCK"",LET(stock,A502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02" s="48">
        <f t="shared" si="6"/>
        <v>0</v>
      </c>
      <c r="M502" s="48">
        <f t="shared" si="7"/>
        <v>1</v>
      </c>
      <c r="N502" s="50">
        <f t="shared" si="8"/>
        <v>1</v>
      </c>
      <c r="P502" s="46" t="str">
        <f t="shared" si="9"/>
        <v>REVERSE TRADE</v>
      </c>
      <c r="Q502" s="52"/>
      <c r="R502" s="53">
        <f t="shared" si="10"/>
        <v>15</v>
      </c>
      <c r="S502" s="53">
        <f>IFERROR(__xludf.DUMMYFUNCTION("IFERROR(ROUND(GOOGLEFINANCE(A502,""volume"")/GOOGLEFINANCE(A502,""volumeavg""),2),"""")"),2.05)</f>
        <v>2.05</v>
      </c>
      <c r="T502" s="53" t="str">
        <f t="shared" si="11"/>
        <v>HIGH VOL</v>
      </c>
      <c r="U502" s="53">
        <f>IFERROR(__xludf.DUMMYFUNCTION("IFERROR(
  LET(
    sd, GOOGLEFINANCE(A502,""close"",TODAY()-100,TODAY()),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"""")"),1.36)</f>
        <v>1.36</v>
      </c>
      <c r="V502" s="53" t="str">
        <f t="shared" si="12"/>
        <v>FAST</v>
      </c>
      <c r="W502" s="53">
        <f>IFERROR(__xludf.DUMMYFUNCTION("IFERROR(ROUND((B502/GOOGLEFINANCE(A502,""high52"")-1)*100,1),"""")"),-52.5)</f>
        <v>-52.5</v>
      </c>
      <c r="X502" s="53">
        <f>IFERROR(__xludf.DUMMYFUNCTION("IFERROR(ROUND((B502-GOOGLEFINANCE(A502,""low52""))/(GOOGLEFINANCE(A502,""high52"")-GOOGLEFINANCE(A502,""low52""))*100,1),"""")"),4.8)</f>
        <v>4.8</v>
      </c>
      <c r="Y502" s="53" t="str">
        <f t="shared" si="13"/>
        <v>DEEP RECOVERY</v>
      </c>
      <c r="Z502" s="53">
        <f>IFERROR(__xludf.DUMMYFUNCTION("IFERROR(ROUND(((B502 / INDEX(GOOGLEFINANCE(TRIM(A502), ""price"", TODAY()-34, TODAY()), 2, 2)) - (GOOGLEFINANCE(""NIFTY_50"") / INDEX(GOOGLEFINANCE(""NIFTY_50"", ""price"", TODAY()-34, TODAY()), 2, 2))) * 100, 2), ""Check History"")"),-6.05)</f>
        <v>-6.05</v>
      </c>
      <c r="AA502" s="53" t="str">
        <f t="shared" si="14"/>
        <v>WEAK RS</v>
      </c>
      <c r="AB502" s="53">
        <f>IFERROR(__xludf.DUMMYFUNCTION("IFERROR(LET(
  p, QUERY(GOOGLEFINANCE(TRIM(A502),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Loading"")"),43.8)</f>
        <v>43.8</v>
      </c>
      <c r="AC502" s="53" t="str">
        <f t="shared" si="15"/>
        <v>WEAK MOM</v>
      </c>
      <c r="AD502" s="53" t="str">
        <f>IFERROR(__xludf.DUMMYFUNCTION("IFERROR(IF(GOOGLEFINANCE(A502,""eps"")&gt;0,""EPS+"",""EPS-""),"""")"),"EPS+")</f>
        <v>EPS+</v>
      </c>
      <c r="AE502" s="53">
        <f t="shared" si="16"/>
        <v>6</v>
      </c>
      <c r="AF502" s="53">
        <f>IFERROR(__xludf.DUMMYFUNCTION("IFERROR(N502+IF(S502&gt;=1.2,1,0)+IF(U502&gt;=1,1,0)+IF(Z502&gt;0,1,0)+IF(AND(W502&gt;=-20,W502&lt;=0),1,0)+IF(IFERROR(GOOGLEFINANCE(A502,""eps""),0)&gt;0,1,0),"""")"),4.0)</f>
        <v>4</v>
      </c>
      <c r="AG502" s="53" t="str">
        <f t="shared" si="17"/>
        <v>REVERSE TRADE</v>
      </c>
    </row>
    <row r="503" ht="15.75" customHeight="1">
      <c r="A503" s="55" t="s">
        <v>670</v>
      </c>
      <c r="B503" s="44">
        <f>IFERROR(__xludf.DUMMYFUNCTION("GOOGLEFINANCE(A503,""price"")"),515.45)</f>
        <v>515.45</v>
      </c>
      <c r="C503" s="45">
        <f>IFERROR(__xludf.DUMMYFUNCTION("AVERAGE(QUERY(SORT(GOOGLEFINANCE(A503,""price"",TODAY()-150,TODAY()),1,0),""select Col2 limit 50""))"),601.8919999999999)</f>
        <v>601.892</v>
      </c>
      <c r="D503" s="45">
        <f>IFERROR(__xludf.DUMMYFUNCTION("AVERAGE(QUERY(SORT(GOOGLEFINANCE(A503,""price"",TODAY()-300,TODAY()),1,0),""select Col2 limit 100""))"),663.2189999999999)</f>
        <v>663.219</v>
      </c>
      <c r="E503" s="45">
        <f>IFERROR(__xludf.DUMMYFUNCTION("AVERAGE(QUERY(SORT(GOOGLEFINANCE(A503,""price"",TODAY()-500,TODAY()),1,0),""select Col2 limit 200""))"),736.7752499999999)</f>
        <v>736.77525</v>
      </c>
      <c r="F503" s="46" t="str">
        <f t="shared" si="1"/>
        <v>In Bear Run</v>
      </c>
      <c r="G503" s="47">
        <f t="shared" si="2"/>
        <v>-30.03972378</v>
      </c>
      <c r="H503" s="48" t="str">
        <f t="shared" si="3"/>
        <v>Inverted ✗</v>
      </c>
      <c r="I503" s="48">
        <f t="shared" si="4"/>
        <v>0</v>
      </c>
      <c r="J503" s="48">
        <f t="shared" si="5"/>
        <v>0</v>
      </c>
      <c r="K503" s="49" t="str">
        <f>IFERROR(__xludf.DUMMYFUNCTION("IFERROR(IF(A503="""",""ENTER STOCK"",LET(stock,A503,raw_high,GOOGLEFINANCE(stock,""high"",TODAY()-364,TODAY()),high_date,IFERROR(TO_DATE(INDEX(SORT(raw_high,2,0),2,1)),TODAY()-30),data,IFERROR(GOOGLEFINANCE(stock,""close"",high_date,TODAY()),GOOGLEFINANCE"&amp;"(stock,""close"",TODAY()-10,TODAY())),prices,INDEX(data,0,2),count_rows,ROWS(prices),cum_avg,SCAN(0,SEQUENCE(count_rows),LAMBDA(a,n,IFERROR(AVERAGE(CHOOSEROWS(prices,SEQUENCE(n))),0))),last_10_avgs,IFERROR(QUERY({IFERROR(QUERY(data,""SELECT Col1"",1),SEQU"&amp;"ENCE(count_rows)),cum_avg},""SELECT Col2 WHERE Col1 IS NOT NULL ORDER BY Col1 DESC LIMIT 10"",0),{0;0;0;0;0;0;0;0;0;0}),check,IF(ROWS(last_10_avgs)&lt;10,0,SUMPRODUCT(--(CHOOSECOLS(last_10_avgs,1)&gt;{INDEX(last_10_avgs,2);INDEX(last_10_avgs,3);INDEX(last_10_av"&amp;"gs,4);INDEX(last_10_avgs,5);INDEX(last_10_avgs,6);INDEX(last_10_avgs,7);INDEX(last_10_avgs,8);INDEX(last_10_avgs,9);INDEX(last_10_avgs,10);0}))),IF(count_rows&lt;10,""Short History"",IF(check=10,""Buy/Average Out"",""Avoid/Hold"")))),""TICKER NOT FOUND"")"),"Avoid/Hold")</f>
        <v>Avoid/Hold</v>
      </c>
      <c r="L503" s="48">
        <f t="shared" si="6"/>
        <v>0</v>
      </c>
      <c r="M503" s="48">
        <f t="shared" si="7"/>
        <v>1</v>
      </c>
      <c r="N503" s="50">
        <f t="shared" si="8"/>
        <v>1</v>
      </c>
      <c r="P503" s="46" t="str">
        <f t="shared" si="9"/>
        <v>REVERSE TRADE</v>
      </c>
      <c r="Q503" s="52"/>
      <c r="R503" s="53">
        <f t="shared" si="10"/>
        <v>15</v>
      </c>
      <c r="S503" s="53">
        <f>IFERROR(__xludf.DUMMYFUNCTION("IFERROR(ROUND(GOOGLEFINANCE(A503,""volume"")/GOOGLEFINANCE(A503,""volumeavg""),2),"""")"),0.74)</f>
        <v>0.74</v>
      </c>
      <c r="T503" s="53" t="str">
        <f t="shared" si="11"/>
        <v>LOW VOL</v>
      </c>
      <c r="U503" s="53">
        <f>IFERROR(__xludf.DUMMYFUNCTION("IFERROR(
  LET(
    sd, GOOGLEFINANCE(A503,""close"",TODAY()-100,TODAY()),
    sp, CHOOSECOLS(sd,2),
    np, NIFTY_DATA!$B$2:$B$80,
    n,  MIN(ROWS(sp)-2, COUNTA(np)-1),
    sr, MAKEARRAY(n,1,LAMBDA(i,j, INDEX(sp,i+2)/INDEX(sp,i+1)-1 )),
    nr, MAKEARRA"&amp;"Y(n,1,LAMBDA(i,j, INDEX(np,i+1)/INDEX(np,i)-1   )),
    ROUND(SLOPE(sr,nr),2)
  ),
"""")"),0.57)</f>
        <v>0.57</v>
      </c>
      <c r="V503" s="53" t="str">
        <f t="shared" si="12"/>
        <v>SLOW</v>
      </c>
      <c r="W503" s="53">
        <f>IFERROR(__xludf.DUMMYFUNCTION("IFERROR(ROUND((B503/GOOGLEFINANCE(A503,""high52"")-1)*100,1),"""")"),-42.3)</f>
        <v>-42.3</v>
      </c>
      <c r="X503" s="53">
        <f>IFERROR(__xludf.DUMMYFUNCTION("IFERROR(ROUND((B503-GOOGLEFINANCE(A503,""low52""))/(GOOGLEFINANCE(A503,""high52"")-GOOGLEFINANCE(A503,""low52""))*100,1),"""")"),1.1)</f>
        <v>1.1</v>
      </c>
      <c r="Y503" s="53" t="str">
        <f t="shared" si="13"/>
        <v>DEEP RECOVERY</v>
      </c>
      <c r="Z503" s="53">
        <f>IFERROR(__xludf.DUMMYFUNCTION("IFERROR(ROUND(((B503 / INDEX(GOOGLEFINANCE(TRIM(A503), ""price"", TODAY()-34, TODAY()), 2, 2)) - (GOOGLEFINANCE(""NIFTY_50"") / INDEX(GOOGLEFINANCE(""NIFTY_50"", ""price"", TODAY()-34, TODAY()), 2, 2))) * 100, 2), ""Check History"")"),8.08)</f>
        <v>8.08</v>
      </c>
      <c r="AA503" s="53" t="str">
        <f t="shared" si="14"/>
        <v>STRONG RS</v>
      </c>
      <c r="AB503" s="53">
        <f>IFERROR(__xludf.DUMMYFUNCTION("IFERROR(LET(
  p, QUERY(GOOGLEFINANCE(TRIM(A503), ""price"", TODAY()-25, TODAY()), ""select Col2 where Col2 is not null order by Col1 desc limit 15"", 0),
  changes, ARRAYFORMULA(QUERY(p, ""limit 14 offset 0"", 0) - QUERY(p, ""limit 14 offset 1"", 0)),
  "&amp;"avg_gain, AVERAGEIF(changes, ""&gt;0""),
  avg_loss, ABS(AVERAGEIF(changes, ""&lt;0"")),
  IF(avg_loss=0, 100, ROUND(100 - (100 / (1 + (avg_gain / avg_loss))), 1))
), ""Data Loading"")"),46.1)</f>
        <v>46.1</v>
      </c>
      <c r="AC503" s="53" t="str">
        <f t="shared" si="15"/>
        <v>IDEAL ENTRY</v>
      </c>
      <c r="AD503" s="53" t="str">
        <f>IFERROR(__xludf.DUMMYFUNCTION("IFERROR(IF(GOOGLEFINANCE(A503,""eps"")&gt;0,""EPS+"",""EPS-""),"""")"),"EPS+")</f>
        <v>EPS+</v>
      </c>
      <c r="AE503" s="53">
        <f t="shared" si="16"/>
        <v>2</v>
      </c>
      <c r="AF503" s="53">
        <f>IFERROR(__xludf.DUMMYFUNCTION("IFERROR(N503+IF(S503&gt;=1.2,1,0)+IF(U503&gt;=1,1,0)+IF(Z503&gt;0,1,0)+IF(AND(W503&gt;=-20,W503&lt;=0),1,0)+IF(IFERROR(GOOGLEFINANCE(A503,""eps""),0)&gt;0,1,0),"""")"),3.0)</f>
        <v>3</v>
      </c>
      <c r="AG503" s="53" t="str">
        <f t="shared" si="17"/>
        <v>REVERSE TRADE</v>
      </c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</sheetData>
  <autoFilter ref="$AG$4:$AG$503"/>
  <mergeCells count="4">
    <mergeCell ref="A1:R1"/>
    <mergeCell ref="S1:AJ1"/>
    <mergeCell ref="A2:R2"/>
    <mergeCell ref="S2:AJ2"/>
  </mergeCells>
  <conditionalFormatting sqref="F5:F503">
    <cfRule type="cellIs" dxfId="0" priority="1" operator="equal">
      <formula>"In Bull Run"</formula>
    </cfRule>
  </conditionalFormatting>
  <conditionalFormatting sqref="F5:F503">
    <cfRule type="cellIs" dxfId="1" priority="2" operator="equal">
      <formula>"In Bear Run"</formula>
    </cfRule>
  </conditionalFormatting>
  <conditionalFormatting sqref="F5:F503">
    <cfRule type="cellIs" dxfId="2" priority="3" operator="equal">
      <formula>"Unconfirmed"</formula>
    </cfRule>
  </conditionalFormatting>
  <conditionalFormatting sqref="N5:N503">
    <cfRule type="colorScale" priority="4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P5:P503">
    <cfRule type="cellIs" dxfId="2" priority="5" operator="equal">
      <formula>"WAIT"</formula>
    </cfRule>
  </conditionalFormatting>
  <conditionalFormatting sqref="K1:K1254">
    <cfRule type="containsText" dxfId="3" priority="6" operator="containsText" text="Buy/Ave">
      <formula>NOT(ISERROR(SEARCH(("Buy/Ave"),(K1))))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1.5"/>
  </cols>
  <sheetData>
    <row r="1">
      <c r="A1" s="37" t="s">
        <v>67</v>
      </c>
      <c r="B1" s="55" t="s">
        <v>671</v>
      </c>
      <c r="C1" s="55" t="str">
        <f>IFERROR(__xludf.DUMMYFUNCTION("FILTER(B2:B1000, COUNTIF(A2:A1000, B2:B1000) = 0)"),"NSE:DATAPATTNS")</f>
        <v>NSE:DATAPATTNS</v>
      </c>
    </row>
    <row r="2">
      <c r="A2" s="43" t="s">
        <v>120</v>
      </c>
      <c r="B2" s="55" t="s">
        <v>384</v>
      </c>
      <c r="C2" s="55" t="str">
        <f>IFERROR(__xludf.DUMMYFUNCTION("""COMPUTED_VALUE"""),"NSE:KIRLOSENG")</f>
        <v>NSE:KIRLOSENG</v>
      </c>
    </row>
    <row r="3">
      <c r="A3" s="43" t="s">
        <v>122</v>
      </c>
      <c r="B3" s="55" t="s">
        <v>422</v>
      </c>
      <c r="C3" s="55" t="str">
        <f>IFERROR(__xludf.DUMMYFUNCTION("""COMPUTED_VALUE"""),"NSE:MRPL")</f>
        <v>NSE:MRPL</v>
      </c>
    </row>
    <row r="4">
      <c r="A4" s="43" t="s">
        <v>123</v>
      </c>
      <c r="B4" s="55" t="s">
        <v>423</v>
      </c>
      <c r="C4" s="55" t="str">
        <f>IFERROR(__xludf.DUMMYFUNCTION("""COMPUTED_VALUE"""),"NSE:AARTIIND")</f>
        <v>NSE:AARTIIND</v>
      </c>
    </row>
    <row r="5">
      <c r="A5" s="43" t="s">
        <v>125</v>
      </c>
      <c r="B5" s="55" t="s">
        <v>401</v>
      </c>
      <c r="C5" s="55" t="str">
        <f>IFERROR(__xludf.DUMMYFUNCTION("""COMPUTED_VALUE"""),"NSE:AAVAS")</f>
        <v>NSE:AAVAS</v>
      </c>
    </row>
    <row r="6">
      <c r="A6" s="43" t="s">
        <v>126</v>
      </c>
      <c r="B6" s="55" t="s">
        <v>424</v>
      </c>
      <c r="C6" s="55" t="str">
        <f>IFERROR(__xludf.DUMMYFUNCTION("""COMPUTED_VALUE"""),"NSE:ACE")</f>
        <v>NSE:ACE</v>
      </c>
    </row>
    <row r="7">
      <c r="A7" s="43" t="s">
        <v>128</v>
      </c>
      <c r="B7" s="55" t="s">
        <v>292</v>
      </c>
      <c r="C7" s="55" t="str">
        <f>IFERROR(__xludf.DUMMYFUNCTION("""COMPUTED_VALUE"""),"NSE:ABFRL")</f>
        <v>NSE:ABFRL</v>
      </c>
    </row>
    <row r="8">
      <c r="A8" s="43" t="s">
        <v>130</v>
      </c>
      <c r="B8" s="55" t="s">
        <v>351</v>
      </c>
      <c r="C8" s="55" t="str">
        <f>IFERROR(__xludf.DUMMYFUNCTION("""COMPUTED_VALUE"""),"NSE:ABREL")</f>
        <v>NSE:ABREL</v>
      </c>
    </row>
    <row r="9">
      <c r="A9" s="43" t="s">
        <v>132</v>
      </c>
      <c r="B9" s="55" t="s">
        <v>382</v>
      </c>
      <c r="C9" s="55" t="str">
        <f>IFERROR(__xludf.DUMMYFUNCTION("""COMPUTED_VALUE"""),"NSE:ABSLAMC")</f>
        <v>NSE:ABSLAMC</v>
      </c>
    </row>
    <row r="10">
      <c r="A10" s="43" t="s">
        <v>133</v>
      </c>
      <c r="B10" s="55" t="s">
        <v>340</v>
      </c>
      <c r="C10" s="55" t="str">
        <f>IFERROR(__xludf.DUMMYFUNCTION("""COMPUTED_VALUE"""),"NSE:AEGISLOG")</f>
        <v>NSE:AEGISLOG</v>
      </c>
    </row>
    <row r="11">
      <c r="A11" s="43" t="s">
        <v>135</v>
      </c>
      <c r="B11" s="55" t="s">
        <v>402</v>
      </c>
      <c r="C11" s="55" t="str">
        <f>IFERROR(__xludf.DUMMYFUNCTION("""COMPUTED_VALUE"""),"NSE:AEGISVOPAK")</f>
        <v>NSE:AEGISVOPAK</v>
      </c>
    </row>
    <row r="12">
      <c r="A12" s="43" t="s">
        <v>136</v>
      </c>
      <c r="B12" s="55" t="s">
        <v>381</v>
      </c>
      <c r="C12" s="55" t="str">
        <f>IFERROR(__xludf.DUMMYFUNCTION("""COMPUTED_VALUE"""),"NSE:AFFLE")</f>
        <v>NSE:AFFLE</v>
      </c>
    </row>
    <row r="13">
      <c r="A13" s="43" t="s">
        <v>138</v>
      </c>
      <c r="B13" s="55" t="s">
        <v>132</v>
      </c>
      <c r="C13" s="55" t="str">
        <f>IFERROR(__xludf.DUMMYFUNCTION("""COMPUTED_VALUE"""),"NSE:AKUMS")</f>
        <v>NSE:AKUMS</v>
      </c>
    </row>
    <row r="14">
      <c r="A14" s="43" t="s">
        <v>139</v>
      </c>
      <c r="B14" s="55" t="s">
        <v>425</v>
      </c>
      <c r="C14" s="55" t="str">
        <f>IFERROR(__xludf.DUMMYFUNCTION("""COMPUTED_VALUE"""),"NSE:AKZOINDIA")</f>
        <v>NSE:AKZOINDIA</v>
      </c>
    </row>
    <row r="15">
      <c r="A15" s="43" t="s">
        <v>140</v>
      </c>
      <c r="B15" s="55" t="s">
        <v>426</v>
      </c>
      <c r="C15" s="55" t="str">
        <f>IFERROR(__xludf.DUMMYFUNCTION("""COMPUTED_VALUE"""),"NSE:APLLTD")</f>
        <v>NSE:APLLTD</v>
      </c>
    </row>
    <row r="16">
      <c r="A16" s="43" t="s">
        <v>142</v>
      </c>
      <c r="B16" s="55" t="s">
        <v>274</v>
      </c>
      <c r="C16" s="55" t="str">
        <f>IFERROR(__xludf.DUMMYFUNCTION("""COMPUTED_VALUE"""),"NSE:ALKYLAMINE")</f>
        <v>NSE:ALKYLAMINE</v>
      </c>
    </row>
    <row r="17">
      <c r="A17" s="43" t="s">
        <v>144</v>
      </c>
      <c r="B17" s="55" t="s">
        <v>427</v>
      </c>
      <c r="C17" s="55" t="str">
        <f>IFERROR(__xludf.DUMMYFUNCTION("""COMPUTED_VALUE"""),"NSE:ALOKINDS")</f>
        <v>NSE:ALOKINDS</v>
      </c>
    </row>
    <row r="18">
      <c r="A18" s="43" t="s">
        <v>146</v>
      </c>
      <c r="B18" s="55" t="s">
        <v>374</v>
      </c>
      <c r="C18" s="55" t="str">
        <f>IFERROR(__xludf.DUMMYFUNCTION("""COMPUTED_VALUE"""),"NSE:ARE&amp;M")</f>
        <v>NSE:ARE&amp;M</v>
      </c>
    </row>
    <row r="19">
      <c r="A19" s="43" t="s">
        <v>148</v>
      </c>
      <c r="B19" s="55" t="s">
        <v>224</v>
      </c>
      <c r="C19" s="55" t="str">
        <f>IFERROR(__xludf.DUMMYFUNCTION("""COMPUTED_VALUE"""),"NSE:AMBER")</f>
        <v>NSE:AMBER</v>
      </c>
    </row>
    <row r="20">
      <c r="A20" s="43" t="s">
        <v>149</v>
      </c>
      <c r="B20" s="55" t="s">
        <v>223</v>
      </c>
      <c r="C20" s="55" t="str">
        <f>IFERROR(__xludf.DUMMYFUNCTION("""COMPUTED_VALUE"""),"NSE:ANANTRAJ")</f>
        <v>NSE:ANANTRAJ</v>
      </c>
    </row>
    <row r="21">
      <c r="A21" s="43" t="s">
        <v>150</v>
      </c>
      <c r="B21" s="55" t="s">
        <v>346</v>
      </c>
      <c r="C21" s="55" t="str">
        <f>IFERROR(__xludf.DUMMYFUNCTION("""COMPUTED_VALUE"""),"NSE:ANGELONE")</f>
        <v>NSE:ANGELONE</v>
      </c>
    </row>
    <row r="22">
      <c r="A22" s="43" t="s">
        <v>152</v>
      </c>
      <c r="B22" s="55" t="s">
        <v>166</v>
      </c>
      <c r="C22" s="55" t="str">
        <f>IFERROR(__xludf.DUMMYFUNCTION("""COMPUTED_VALUE"""),"NSE:APTUS")</f>
        <v>NSE:APTUS</v>
      </c>
    </row>
    <row r="23">
      <c r="A23" s="43" t="s">
        <v>154</v>
      </c>
      <c r="B23" s="55" t="s">
        <v>355</v>
      </c>
      <c r="C23" s="55" t="str">
        <f>IFERROR(__xludf.DUMMYFUNCTION("""COMPUTED_VALUE"""),"NSE:ASAHIINDIA")</f>
        <v>NSE:ASAHIINDIA</v>
      </c>
    </row>
    <row r="24">
      <c r="A24" s="43" t="s">
        <v>156</v>
      </c>
      <c r="B24" s="55" t="s">
        <v>428</v>
      </c>
      <c r="C24" s="55" t="str">
        <f>IFERROR(__xludf.DUMMYFUNCTION("""COMPUTED_VALUE"""),"NSE:ASTERDM")</f>
        <v>NSE:ASTERDM</v>
      </c>
    </row>
    <row r="25">
      <c r="A25" s="43" t="s">
        <v>158</v>
      </c>
      <c r="B25" s="55" t="s">
        <v>429</v>
      </c>
      <c r="C25" s="55" t="str">
        <f>IFERROR(__xludf.DUMMYFUNCTION("""COMPUTED_VALUE"""),"NSE:ASTRAZEN")</f>
        <v>NSE:ASTRAZEN</v>
      </c>
    </row>
    <row r="26">
      <c r="A26" s="43" t="s">
        <v>159</v>
      </c>
      <c r="B26" s="55" t="s">
        <v>430</v>
      </c>
      <c r="C26" s="55" t="str">
        <f>IFERROR(__xludf.DUMMYFUNCTION("""COMPUTED_VALUE"""),"NSE:ATHERENERG")</f>
        <v>NSE:ATHERENERG</v>
      </c>
    </row>
    <row r="27">
      <c r="A27" s="43" t="s">
        <v>161</v>
      </c>
      <c r="B27" s="55" t="s">
        <v>431</v>
      </c>
      <c r="C27" s="55" t="str">
        <f>IFERROR(__xludf.DUMMYFUNCTION("""COMPUTED_VALUE"""),"NSE:ATUL")</f>
        <v>NSE:ATUL</v>
      </c>
    </row>
    <row r="28">
      <c r="A28" s="43" t="s">
        <v>163</v>
      </c>
      <c r="B28" s="55" t="s">
        <v>432</v>
      </c>
      <c r="C28" s="55" t="str">
        <f>IFERROR(__xludf.DUMMYFUNCTION("""COMPUTED_VALUE"""),"NSE:AIIL")</f>
        <v>NSE:AIIL</v>
      </c>
    </row>
    <row r="29">
      <c r="A29" s="43" t="s">
        <v>164</v>
      </c>
      <c r="B29" s="55" t="s">
        <v>433</v>
      </c>
      <c r="C29" s="55" t="str">
        <f>IFERROR(__xludf.DUMMYFUNCTION("""COMPUTED_VALUE"""),"NSE:BASF")</f>
        <v>NSE:BASF</v>
      </c>
    </row>
    <row r="30">
      <c r="A30" s="43" t="s">
        <v>166</v>
      </c>
      <c r="B30" s="55" t="s">
        <v>396</v>
      </c>
      <c r="C30" s="55" t="str">
        <f>IFERROR(__xludf.DUMMYFUNCTION("""COMPUTED_VALUE"""),"NSE:BEML")</f>
        <v>NSE:BEML</v>
      </c>
    </row>
    <row r="31">
      <c r="A31" s="43" t="s">
        <v>168</v>
      </c>
      <c r="B31" s="55" t="s">
        <v>434</v>
      </c>
      <c r="C31" s="55" t="str">
        <f>IFERROR(__xludf.DUMMYFUNCTION("""COMPUTED_VALUE"""),"NSE:BLS")</f>
        <v>NSE:BLS</v>
      </c>
    </row>
    <row r="32">
      <c r="A32" s="43" t="s">
        <v>169</v>
      </c>
      <c r="B32" s="55" t="s">
        <v>435</v>
      </c>
      <c r="C32" s="55" t="str">
        <f>IFERROR(__xludf.DUMMYFUNCTION("""COMPUTED_VALUE"""),"NSE:BANDHANBNK")</f>
        <v>NSE:BANDHANBNK</v>
      </c>
    </row>
    <row r="33">
      <c r="A33" s="43" t="s">
        <v>171</v>
      </c>
      <c r="B33" s="55" t="s">
        <v>436</v>
      </c>
      <c r="C33" s="55" t="str">
        <f>IFERROR(__xludf.DUMMYFUNCTION("""COMPUTED_VALUE"""),"NSE:BAYERCROP")</f>
        <v>NSE:BAYERCROP</v>
      </c>
    </row>
    <row r="34">
      <c r="A34" s="43" t="s">
        <v>172</v>
      </c>
      <c r="B34" s="55" t="s">
        <v>339</v>
      </c>
      <c r="C34" s="55" t="str">
        <f>IFERROR(__xludf.DUMMYFUNCTION("""COMPUTED_VALUE"""),"NSE:BIKAJI")</f>
        <v>NSE:BIKAJI</v>
      </c>
    </row>
    <row r="35">
      <c r="A35" s="43" t="s">
        <v>174</v>
      </c>
      <c r="B35" s="55" t="s">
        <v>437</v>
      </c>
      <c r="C35" s="55" t="str">
        <f>IFERROR(__xludf.DUMMYFUNCTION("""COMPUTED_VALUE"""),"NSE:BSOFT")</f>
        <v>NSE:BSOFT</v>
      </c>
    </row>
    <row r="36">
      <c r="A36" s="43" t="s">
        <v>176</v>
      </c>
      <c r="B36" s="55" t="s">
        <v>438</v>
      </c>
      <c r="C36" s="55" t="str">
        <f>IFERROR(__xludf.DUMMYFUNCTION("""COMPUTED_VALUE"""),"NSE:BLUEDART")</f>
        <v>NSE:BLUEDART</v>
      </c>
    </row>
    <row r="37">
      <c r="A37" s="43" t="s">
        <v>177</v>
      </c>
      <c r="B37" s="55" t="s">
        <v>439</v>
      </c>
      <c r="C37" s="55" t="str">
        <f>IFERROR(__xludf.DUMMYFUNCTION("""COMPUTED_VALUE"""),"NSE:BLUEJET")</f>
        <v>NSE:BLUEJET</v>
      </c>
    </row>
    <row r="38">
      <c r="A38" s="43" t="s">
        <v>178</v>
      </c>
      <c r="B38" s="55" t="s">
        <v>440</v>
      </c>
      <c r="C38" s="55" t="str">
        <f>IFERROR(__xludf.DUMMYFUNCTION("""COMPUTED_VALUE"""),"NSE:FIRSTCRY")</f>
        <v>NSE:FIRSTCRY</v>
      </c>
    </row>
    <row r="39">
      <c r="A39" s="43" t="s">
        <v>179</v>
      </c>
      <c r="B39" s="55" t="s">
        <v>441</v>
      </c>
      <c r="C39" s="55" t="str">
        <f>IFERROR(__xludf.DUMMYFUNCTION("""COMPUTED_VALUE"""),"NSE:CESC")</f>
        <v>NSE:CESC</v>
      </c>
    </row>
    <row r="40">
      <c r="A40" s="43" t="s">
        <v>181</v>
      </c>
      <c r="B40" s="55" t="s">
        <v>442</v>
      </c>
      <c r="C40" s="55" t="str">
        <f>IFERROR(__xludf.DUMMYFUNCTION("""COMPUTED_VALUE"""),"NSE:CAMPUS")</f>
        <v>NSE:CAMPUS</v>
      </c>
    </row>
    <row r="41">
      <c r="A41" s="43" t="s">
        <v>183</v>
      </c>
      <c r="B41" s="55" t="s">
        <v>406</v>
      </c>
      <c r="C41" s="55" t="str">
        <f>IFERROR(__xludf.DUMMYFUNCTION("""COMPUTED_VALUE"""),"NSE:CANFINHOME")</f>
        <v>NSE:CANFINHOME</v>
      </c>
    </row>
    <row r="42">
      <c r="A42" s="43" t="s">
        <v>184</v>
      </c>
      <c r="B42" s="55" t="s">
        <v>345</v>
      </c>
      <c r="C42" s="55" t="str">
        <f>IFERROR(__xludf.DUMMYFUNCTION("""COMPUTED_VALUE"""),"NSE:CGCL")</f>
        <v>NSE:CGCL</v>
      </c>
    </row>
    <row r="43">
      <c r="A43" s="43" t="s">
        <v>186</v>
      </c>
      <c r="B43" s="55" t="s">
        <v>247</v>
      </c>
      <c r="C43" s="55" t="str">
        <f>IFERROR(__xludf.DUMMYFUNCTION("""COMPUTED_VALUE"""),"NSE:CARBORUNIV")</f>
        <v>NSE:CARBORUNIV</v>
      </c>
    </row>
    <row r="44">
      <c r="A44" s="43" t="s">
        <v>188</v>
      </c>
      <c r="B44" s="55" t="s">
        <v>443</v>
      </c>
      <c r="C44" s="55" t="str">
        <f>IFERROR(__xludf.DUMMYFUNCTION("""COMPUTED_VALUE"""),"NSE:CASTROLIND")</f>
        <v>NSE:CASTROLIND</v>
      </c>
    </row>
    <row r="45">
      <c r="A45" s="43" t="s">
        <v>189</v>
      </c>
      <c r="B45" s="55" t="s">
        <v>444</v>
      </c>
      <c r="C45" s="55" t="str">
        <f>IFERROR(__xludf.DUMMYFUNCTION("""COMPUTED_VALUE"""),"NSE:CEATLTD")</f>
        <v>NSE:CEATLTD</v>
      </c>
    </row>
    <row r="46">
      <c r="A46" s="43" t="s">
        <v>191</v>
      </c>
      <c r="B46" s="55" t="s">
        <v>416</v>
      </c>
      <c r="C46" s="55" t="str">
        <f>IFERROR(__xludf.DUMMYFUNCTION("""COMPUTED_VALUE"""),"NSE:CENTRALBK")</f>
        <v>NSE:CENTRALBK</v>
      </c>
    </row>
    <row r="47">
      <c r="A47" s="43" t="s">
        <v>193</v>
      </c>
      <c r="B47" s="55" t="s">
        <v>245</v>
      </c>
      <c r="C47" s="55" t="str">
        <f>IFERROR(__xludf.DUMMYFUNCTION("""COMPUTED_VALUE"""),"NSE:CDSL")</f>
        <v>NSE:CDSL</v>
      </c>
    </row>
    <row r="48">
      <c r="A48" s="43" t="s">
        <v>194</v>
      </c>
      <c r="B48" s="55" t="s">
        <v>445</v>
      </c>
      <c r="C48" s="55" t="str">
        <f>IFERROR(__xludf.DUMMYFUNCTION("""COMPUTED_VALUE"""),"NSE:CENTURYPLY")</f>
        <v>NSE:CENTURYPLY</v>
      </c>
    </row>
    <row r="49">
      <c r="A49" s="43" t="s">
        <v>195</v>
      </c>
      <c r="B49" s="55" t="s">
        <v>446</v>
      </c>
      <c r="C49" s="55" t="str">
        <f>IFERROR(__xludf.DUMMYFUNCTION("""COMPUTED_VALUE"""),"NSE:CERA")</f>
        <v>NSE:CERA</v>
      </c>
    </row>
    <row r="50">
      <c r="A50" s="43" t="s">
        <v>196</v>
      </c>
      <c r="B50" s="55" t="s">
        <v>447</v>
      </c>
      <c r="C50" s="55" t="str">
        <f>IFERROR(__xludf.DUMMYFUNCTION("""COMPUTED_VALUE"""),"NSE:CHALET")</f>
        <v>NSE:CHALET</v>
      </c>
    </row>
    <row r="51">
      <c r="A51" s="43" t="s">
        <v>197</v>
      </c>
      <c r="B51" s="55" t="s">
        <v>448</v>
      </c>
      <c r="C51" s="55" t="str">
        <f>IFERROR(__xludf.DUMMYFUNCTION("""COMPUTED_VALUE"""),"NSE:CHAMBLFERT")</f>
        <v>NSE:CHAMBLFERT</v>
      </c>
    </row>
    <row r="52">
      <c r="A52" s="43" t="s">
        <v>199</v>
      </c>
      <c r="B52" s="55" t="s">
        <v>375</v>
      </c>
      <c r="C52" s="55" t="str">
        <f>IFERROR(__xludf.DUMMYFUNCTION("""COMPUTED_VALUE"""),"NSE:CHENNPETRO")</f>
        <v>NSE:CHENNPETRO</v>
      </c>
    </row>
    <row r="53">
      <c r="A53" s="43" t="s">
        <v>200</v>
      </c>
      <c r="B53" s="55" t="s">
        <v>449</v>
      </c>
      <c r="C53" s="55" t="str">
        <f>IFERROR(__xludf.DUMMYFUNCTION("""COMPUTED_VALUE"""),"NSE:CHOLAHLDNG")</f>
        <v>NSE:CHOLAHLDNG</v>
      </c>
    </row>
    <row r="54">
      <c r="A54" s="43" t="s">
        <v>201</v>
      </c>
      <c r="B54" s="55" t="s">
        <v>296</v>
      </c>
      <c r="C54" s="55" t="str">
        <f>IFERROR(__xludf.DUMMYFUNCTION("""COMPUTED_VALUE"""),"NSE:CUB")</f>
        <v>NSE:CUB</v>
      </c>
    </row>
    <row r="55">
      <c r="A55" s="43" t="s">
        <v>202</v>
      </c>
      <c r="B55" s="55" t="s">
        <v>365</v>
      </c>
      <c r="C55" s="55" t="str">
        <f>IFERROR(__xludf.DUMMYFUNCTION("""COMPUTED_VALUE"""),"NSE:COHANCE")</f>
        <v>NSE:COHANCE</v>
      </c>
    </row>
    <row r="56">
      <c r="A56" s="43" t="s">
        <v>203</v>
      </c>
      <c r="B56" s="55" t="s">
        <v>450</v>
      </c>
      <c r="C56" s="55" t="str">
        <f>IFERROR(__xludf.DUMMYFUNCTION("""COMPUTED_VALUE"""),"NSE:CAMS")</f>
        <v>NSE:CAMS</v>
      </c>
    </row>
    <row r="57">
      <c r="A57" s="43" t="s">
        <v>205</v>
      </c>
      <c r="B57" s="55" t="s">
        <v>451</v>
      </c>
      <c r="C57" s="55" t="str">
        <f>IFERROR(__xludf.DUMMYFUNCTION("""COMPUTED_VALUE"""),"NSE:CONCORDBIO")</f>
        <v>NSE:CONCORDBIO</v>
      </c>
    </row>
    <row r="58">
      <c r="A58" s="43" t="s">
        <v>206</v>
      </c>
      <c r="B58" s="55" t="s">
        <v>452</v>
      </c>
      <c r="C58" s="55" t="str">
        <f>IFERROR(__xludf.DUMMYFUNCTION("""COMPUTED_VALUE"""),"NSE:CRAFTSMAN")</f>
        <v>NSE:CRAFTSMAN</v>
      </c>
    </row>
    <row r="59">
      <c r="A59" s="43" t="s">
        <v>207</v>
      </c>
      <c r="B59" s="55" t="s">
        <v>366</v>
      </c>
      <c r="C59" s="55" t="str">
        <f>IFERROR(__xludf.DUMMYFUNCTION("""COMPUTED_VALUE"""),"NSE:CREDITACC")</f>
        <v>NSE:CREDITACC</v>
      </c>
    </row>
    <row r="60">
      <c r="A60" s="43" t="s">
        <v>208</v>
      </c>
      <c r="B60" s="55" t="s">
        <v>368</v>
      </c>
      <c r="C60" s="55" t="str">
        <f>IFERROR(__xludf.DUMMYFUNCTION("""COMPUTED_VALUE"""),"NSE:CROMPTON")</f>
        <v>NSE:CROMPTON</v>
      </c>
    </row>
    <row r="61">
      <c r="A61" s="43" t="s">
        <v>210</v>
      </c>
      <c r="B61" s="55" t="s">
        <v>307</v>
      </c>
      <c r="C61" s="55" t="str">
        <f>IFERROR(__xludf.DUMMYFUNCTION("""COMPUTED_VALUE"""),"NSE:CYIENT")</f>
        <v>NSE:CYIENT</v>
      </c>
    </row>
    <row r="62">
      <c r="A62" s="43" t="s">
        <v>212</v>
      </c>
      <c r="B62" s="55" t="s">
        <v>276</v>
      </c>
      <c r="C62" s="55" t="str">
        <f>IFERROR(__xludf.DUMMYFUNCTION("""COMPUTED_VALUE"""),"NSE:DCMSHRIRAM")</f>
        <v>NSE:DCMSHRIRAM</v>
      </c>
    </row>
    <row r="63">
      <c r="A63" s="43" t="s">
        <v>213</v>
      </c>
      <c r="B63" s="55" t="s">
        <v>203</v>
      </c>
      <c r="C63" s="55" t="str">
        <f>IFERROR(__xludf.DUMMYFUNCTION("""COMPUTED_VALUE"""),"NSE:DEEPAKFERT")</f>
        <v>NSE:DEEPAKFERT</v>
      </c>
    </row>
    <row r="64">
      <c r="A64" s="43" t="s">
        <v>215</v>
      </c>
      <c r="B64" s="55" t="s">
        <v>152</v>
      </c>
      <c r="C64" s="55" t="str">
        <f>IFERROR(__xludf.DUMMYFUNCTION("""COMPUTED_VALUE"""),"NSE:DEVYANI")</f>
        <v>NSE:DEVYANI</v>
      </c>
    </row>
    <row r="65">
      <c r="A65" s="43" t="s">
        <v>216</v>
      </c>
      <c r="B65" s="55" t="s">
        <v>263</v>
      </c>
      <c r="C65" s="55" t="str">
        <f>IFERROR(__xludf.DUMMYFUNCTION("""COMPUTED_VALUE"""),"NSE:AGARWALEYE")</f>
        <v>NSE:AGARWALEYE</v>
      </c>
    </row>
    <row r="66">
      <c r="A66" s="43" t="s">
        <v>217</v>
      </c>
      <c r="B66" s="55" t="s">
        <v>453</v>
      </c>
      <c r="C66" s="55" t="str">
        <f>IFERROR(__xludf.DUMMYFUNCTION("""COMPUTED_VALUE"""),"NSE:LALPATHLAB")</f>
        <v>NSE:LALPATHLAB</v>
      </c>
    </row>
    <row r="67">
      <c r="A67" s="43" t="s">
        <v>218</v>
      </c>
      <c r="B67" s="55" t="s">
        <v>398</v>
      </c>
      <c r="C67" s="55" t="str">
        <f>IFERROR(__xludf.DUMMYFUNCTION("""COMPUTED_VALUE"""),"NSE:EIDPARRY")</f>
        <v>NSE:EIDPARRY</v>
      </c>
    </row>
    <row r="68">
      <c r="A68" s="43" t="s">
        <v>220</v>
      </c>
      <c r="B68" s="55" t="s">
        <v>454</v>
      </c>
      <c r="C68" s="55" t="str">
        <f>IFERROR(__xludf.DUMMYFUNCTION("""COMPUTED_VALUE"""),"NSE:EIHOTEL")</f>
        <v>NSE:EIHOTEL</v>
      </c>
    </row>
    <row r="69">
      <c r="A69" s="43" t="s">
        <v>222</v>
      </c>
      <c r="B69" s="55" t="s">
        <v>184</v>
      </c>
      <c r="C69" s="55" t="str">
        <f>IFERROR(__xludf.DUMMYFUNCTION("""COMPUTED_VALUE"""),"NSE:ELECON")</f>
        <v>NSE:ELECON</v>
      </c>
    </row>
    <row r="70">
      <c r="A70" s="43" t="s">
        <v>223</v>
      </c>
      <c r="B70" s="55" t="s">
        <v>213</v>
      </c>
      <c r="C70" s="55" t="str">
        <f>IFERROR(__xludf.DUMMYFUNCTION("""COMPUTED_VALUE"""),"NSE:ELGIEQUIP")</f>
        <v>NSE:ELGIEQUIP</v>
      </c>
    </row>
    <row r="71">
      <c r="A71" s="43" t="s">
        <v>224</v>
      </c>
      <c r="B71" s="55" t="s">
        <v>395</v>
      </c>
      <c r="C71" s="55" t="str">
        <f>IFERROR(__xludf.DUMMYFUNCTION("""COMPUTED_VALUE"""),"NSE:EMAMILTD")</f>
        <v>NSE:EMAMILTD</v>
      </c>
    </row>
    <row r="72">
      <c r="A72" s="43" t="s">
        <v>226</v>
      </c>
      <c r="B72" s="55" t="s">
        <v>419</v>
      </c>
      <c r="C72" s="55" t="str">
        <f>IFERROR(__xludf.DUMMYFUNCTION("""COMPUTED_VALUE"""),"NSE:EMCURE")</f>
        <v>NSE:EMCURE</v>
      </c>
    </row>
    <row r="73">
      <c r="A73" s="43" t="s">
        <v>227</v>
      </c>
      <c r="B73" s="55" t="s">
        <v>328</v>
      </c>
      <c r="C73" s="55" t="str">
        <f>IFERROR(__xludf.DUMMYFUNCTION("""COMPUTED_VALUE"""),"NSE:ENGINERSIN")</f>
        <v>NSE:ENGINERSIN</v>
      </c>
    </row>
    <row r="74">
      <c r="A74" s="43" t="s">
        <v>228</v>
      </c>
      <c r="B74" s="55" t="s">
        <v>315</v>
      </c>
      <c r="C74" s="55" t="str">
        <f>IFERROR(__xludf.DUMMYFUNCTION("""COMPUTED_VALUE"""),"NSE:ERIS")</f>
        <v>NSE:ERIS</v>
      </c>
    </row>
    <row r="75">
      <c r="A75" s="43" t="s">
        <v>229</v>
      </c>
      <c r="B75" s="55" t="s">
        <v>298</v>
      </c>
      <c r="C75" s="55" t="str">
        <f>IFERROR(__xludf.DUMMYFUNCTION("""COMPUTED_VALUE"""),"NSE:FINCABLES")</f>
        <v>NSE:FINCABLES</v>
      </c>
    </row>
    <row r="76">
      <c r="A76" s="43" t="s">
        <v>231</v>
      </c>
      <c r="B76" s="55" t="s">
        <v>267</v>
      </c>
      <c r="C76" s="55" t="str">
        <f>IFERROR(__xludf.DUMMYFUNCTION("""COMPUTED_VALUE"""),"NSE:FINPIPE")</f>
        <v>NSE:FINPIPE</v>
      </c>
    </row>
    <row r="77">
      <c r="A77" s="43" t="s">
        <v>232</v>
      </c>
      <c r="B77" s="55" t="s">
        <v>455</v>
      </c>
      <c r="C77" s="55" t="str">
        <f>IFERROR(__xludf.DUMMYFUNCTION("""COMPUTED_VALUE"""),"NSE:FSL")</f>
        <v>NSE:FSL</v>
      </c>
    </row>
    <row r="78">
      <c r="A78" s="43" t="s">
        <v>233</v>
      </c>
      <c r="B78" s="55" t="s">
        <v>343</v>
      </c>
      <c r="C78" s="55" t="str">
        <f>IFERROR(__xludf.DUMMYFUNCTION("""COMPUTED_VALUE"""),"NSE:FIVESTAR")</f>
        <v>NSE:FIVESTAR</v>
      </c>
    </row>
    <row r="79">
      <c r="A79" s="43" t="s">
        <v>234</v>
      </c>
      <c r="B79" s="55" t="s">
        <v>456</v>
      </c>
      <c r="C79" s="55" t="str">
        <f>IFERROR(__xludf.DUMMYFUNCTION("""COMPUTED_VALUE"""),"NSE:FORCEMOT")</f>
        <v>NSE:FORCEMOT</v>
      </c>
    </row>
    <row r="80">
      <c r="A80" s="43" t="s">
        <v>235</v>
      </c>
      <c r="B80" s="55" t="s">
        <v>457</v>
      </c>
      <c r="C80" s="55" t="str">
        <f>IFERROR(__xludf.DUMMYFUNCTION("""COMPUTED_VALUE"""),"NSE:GRSE")</f>
        <v>NSE:GRSE</v>
      </c>
    </row>
    <row r="81">
      <c r="A81" s="43" t="s">
        <v>237</v>
      </c>
      <c r="B81" s="55" t="s">
        <v>458</v>
      </c>
      <c r="C81" s="55" t="str">
        <f>IFERROR(__xludf.DUMMYFUNCTION("""COMPUTED_VALUE"""),"NSE:GILLETTE")</f>
        <v>NSE:GILLETTE</v>
      </c>
    </row>
    <row r="82">
      <c r="A82" s="43" t="s">
        <v>238</v>
      </c>
      <c r="B82" s="55" t="s">
        <v>358</v>
      </c>
      <c r="C82" s="55" t="str">
        <f>IFERROR(__xludf.DUMMYFUNCTION("""COMPUTED_VALUE"""),"NSE:GLAND")</f>
        <v>NSE:GLAND</v>
      </c>
    </row>
    <row r="83">
      <c r="A83" s="43" t="s">
        <v>239</v>
      </c>
      <c r="B83" s="55" t="s">
        <v>252</v>
      </c>
      <c r="C83" s="55" t="str">
        <f>IFERROR(__xludf.DUMMYFUNCTION("""COMPUTED_VALUE"""),"NSE:GODIGIT")</f>
        <v>NSE:GODIGIT</v>
      </c>
    </row>
    <row r="84">
      <c r="A84" s="43" t="s">
        <v>240</v>
      </c>
      <c r="B84" s="55" t="s">
        <v>459</v>
      </c>
      <c r="C84" s="55" t="str">
        <f>IFERROR(__xludf.DUMMYFUNCTION("""COMPUTED_VALUE"""),"NSE:GPIL")</f>
        <v>NSE:GPIL</v>
      </c>
    </row>
    <row r="85">
      <c r="A85" s="43" t="s">
        <v>241</v>
      </c>
      <c r="B85" s="55" t="s">
        <v>337</v>
      </c>
      <c r="C85" s="55" t="str">
        <f>IFERROR(__xludf.DUMMYFUNCTION("""COMPUTED_VALUE"""),"NSE:GODREJAGRO")</f>
        <v>NSE:GODREJAGRO</v>
      </c>
    </row>
    <row r="86">
      <c r="A86" s="43" t="s">
        <v>242</v>
      </c>
      <c r="B86" s="55" t="s">
        <v>460</v>
      </c>
      <c r="C86" s="55" t="str">
        <f>IFERROR(__xludf.DUMMYFUNCTION("""COMPUTED_VALUE"""),"NSE:GRAPHITE")</f>
        <v>NSE:GRAPHITE</v>
      </c>
    </row>
    <row r="87">
      <c r="A87" s="43" t="s">
        <v>243</v>
      </c>
      <c r="B87" s="55" t="s">
        <v>334</v>
      </c>
      <c r="C87" s="55" t="str">
        <f>IFERROR(__xludf.DUMMYFUNCTION("""COMPUTED_VALUE"""),"NSE:GRAVITA")</f>
        <v>NSE:GRAVITA</v>
      </c>
    </row>
    <row r="88">
      <c r="A88" s="43" t="s">
        <v>244</v>
      </c>
      <c r="B88" s="55" t="s">
        <v>216</v>
      </c>
      <c r="C88" s="55" t="str">
        <f>IFERROR(__xludf.DUMMYFUNCTION("""COMPUTED_VALUE"""),"NSE:GESHIP")</f>
        <v>NSE:GESHIP</v>
      </c>
    </row>
    <row r="89">
      <c r="A89" s="43" t="s">
        <v>245</v>
      </c>
      <c r="B89" s="55" t="s">
        <v>461</v>
      </c>
      <c r="C89" s="55" t="str">
        <f>IFERROR(__xludf.DUMMYFUNCTION("""COMPUTED_VALUE"""),"NSE:GMDCLTD")</f>
        <v>NSE:GMDCLTD</v>
      </c>
    </row>
    <row r="90">
      <c r="A90" s="43" t="s">
        <v>246</v>
      </c>
      <c r="B90" s="55" t="s">
        <v>462</v>
      </c>
      <c r="C90" s="55" t="str">
        <f>IFERROR(__xludf.DUMMYFUNCTION("""COMPUTED_VALUE"""),"NSE:HEG")</f>
        <v>NSE:HEG</v>
      </c>
    </row>
    <row r="91">
      <c r="A91" s="43" t="s">
        <v>247</v>
      </c>
      <c r="B91" s="55" t="s">
        <v>463</v>
      </c>
      <c r="C91" s="55" t="str">
        <f>IFERROR(__xludf.DUMMYFUNCTION("""COMPUTED_VALUE"""),"NSE:HBLENGINE")</f>
        <v>NSE:HBLENGINE</v>
      </c>
    </row>
    <row r="92">
      <c r="A92" s="43" t="s">
        <v>248</v>
      </c>
      <c r="B92" s="55" t="s">
        <v>464</v>
      </c>
      <c r="C92" s="55" t="str">
        <f>IFERROR(__xludf.DUMMYFUNCTION("""COMPUTED_VALUE"""),"NSE:HFCL")</f>
        <v>NSE:HFCL</v>
      </c>
    </row>
    <row r="93">
      <c r="A93" s="43" t="s">
        <v>249</v>
      </c>
      <c r="B93" s="55" t="s">
        <v>465</v>
      </c>
      <c r="C93" s="55" t="str">
        <f>IFERROR(__xludf.DUMMYFUNCTION("""COMPUTED_VALUE"""),"NSE:HAPPSTMNDS")</f>
        <v>NSE:HAPPSTMNDS</v>
      </c>
    </row>
    <row r="94">
      <c r="A94" s="43" t="s">
        <v>250</v>
      </c>
      <c r="B94" s="55" t="s">
        <v>466</v>
      </c>
      <c r="C94" s="55" t="str">
        <f>IFERROR(__xludf.DUMMYFUNCTION("""COMPUTED_VALUE"""),"NSE:HSCL")</f>
        <v>NSE:HSCL</v>
      </c>
    </row>
    <row r="95">
      <c r="A95" s="43" t="s">
        <v>251</v>
      </c>
      <c r="B95" s="55" t="s">
        <v>467</v>
      </c>
      <c r="C95" s="55" t="str">
        <f>IFERROR(__xludf.DUMMYFUNCTION("""COMPUTED_VALUE"""),"NSE:HINDCOPPER")</f>
        <v>NSE:HINDCOPPER</v>
      </c>
    </row>
    <row r="96">
      <c r="A96" s="43" t="s">
        <v>252</v>
      </c>
      <c r="B96" s="55" t="s">
        <v>468</v>
      </c>
      <c r="C96" s="55" t="str">
        <f>IFERROR(__xludf.DUMMYFUNCTION("""COMPUTED_VALUE"""),"NSE:HONASA")</f>
        <v>NSE:HONASA</v>
      </c>
    </row>
    <row r="97">
      <c r="A97" s="43" t="s">
        <v>253</v>
      </c>
      <c r="B97" s="55" t="s">
        <v>469</v>
      </c>
      <c r="C97" s="55" t="str">
        <f>IFERROR(__xludf.DUMMYFUNCTION("""COMPUTED_VALUE"""),"NSE:IFCI")</f>
        <v>NSE:IFCI</v>
      </c>
    </row>
    <row r="98">
      <c r="A98" s="43" t="s">
        <v>254</v>
      </c>
      <c r="B98" s="55" t="s">
        <v>470</v>
      </c>
      <c r="C98" s="55" t="str">
        <f>IFERROR(__xludf.DUMMYFUNCTION("""COMPUTED_VALUE"""),"NSE:IIFL")</f>
        <v>NSE:IIFL</v>
      </c>
    </row>
    <row r="99">
      <c r="A99" s="43" t="s">
        <v>256</v>
      </c>
      <c r="B99" s="55" t="s">
        <v>471</v>
      </c>
      <c r="C99" s="55" t="str">
        <f>IFERROR(__xludf.DUMMYFUNCTION("""COMPUTED_VALUE"""),"NSE:INOXINDIA")</f>
        <v>NSE:INOXINDIA</v>
      </c>
    </row>
    <row r="100">
      <c r="A100" s="43" t="s">
        <v>257</v>
      </c>
      <c r="B100" s="55" t="s">
        <v>472</v>
      </c>
      <c r="C100" s="55" t="str">
        <f>IFERROR(__xludf.DUMMYFUNCTION("""COMPUTED_VALUE"""),"NSE:IRCON")</f>
        <v>NSE:IRCON</v>
      </c>
    </row>
    <row r="101">
      <c r="A101" s="43" t="s">
        <v>258</v>
      </c>
      <c r="B101" s="55" t="s">
        <v>473</v>
      </c>
      <c r="C101" s="55" t="str">
        <f>IFERROR(__xludf.DUMMYFUNCTION("""COMPUTED_VALUE"""),"NSE:INDGN")</f>
        <v>NSE:INDGN</v>
      </c>
    </row>
    <row r="102">
      <c r="A102" s="43" t="s">
        <v>259</v>
      </c>
      <c r="B102" s="55" t="s">
        <v>474</v>
      </c>
      <c r="C102" s="55" t="str">
        <f>IFERROR(__xludf.DUMMYFUNCTION("""COMPUTED_VALUE"""),"NSE:INDIACEM")</f>
        <v>NSE:INDIACEM</v>
      </c>
    </row>
    <row r="103">
      <c r="A103" s="43" t="s">
        <v>260</v>
      </c>
      <c r="B103" s="55" t="s">
        <v>254</v>
      </c>
      <c r="C103" s="55" t="str">
        <f>IFERROR(__xludf.DUMMYFUNCTION("""COMPUTED_VALUE"""),"NSE:INDIAMART")</f>
        <v>NSE:INDIAMART</v>
      </c>
    </row>
    <row r="104">
      <c r="A104" s="43" t="s">
        <v>261</v>
      </c>
      <c r="B104" s="55" t="s">
        <v>475</v>
      </c>
      <c r="C104" s="55" t="str">
        <f>IFERROR(__xludf.DUMMYFUNCTION("""COMPUTED_VALUE"""),"NSE:IEX")</f>
        <v>NSE:IEX</v>
      </c>
    </row>
    <row r="105">
      <c r="A105" s="43" t="s">
        <v>263</v>
      </c>
      <c r="B105" s="55" t="s">
        <v>394</v>
      </c>
      <c r="C105" s="55" t="str">
        <f>IFERROR(__xludf.DUMMYFUNCTION("""COMPUTED_VALUE"""),"NSE:INTELLECT")</f>
        <v>NSE:INTELLECT</v>
      </c>
    </row>
    <row r="106">
      <c r="A106" s="43" t="s">
        <v>264</v>
      </c>
      <c r="B106" s="55" t="s">
        <v>208</v>
      </c>
      <c r="C106" s="55" t="str">
        <f>IFERROR(__xludf.DUMMYFUNCTION("""COMPUTED_VALUE"""),"NSE:IGIL")</f>
        <v>NSE:IGIL</v>
      </c>
    </row>
    <row r="107">
      <c r="A107" s="43" t="s">
        <v>266</v>
      </c>
      <c r="B107" s="55" t="s">
        <v>125</v>
      </c>
      <c r="C107" s="55" t="str">
        <f>IFERROR(__xludf.DUMMYFUNCTION("""COMPUTED_VALUE"""),"NSE:IKS")</f>
        <v>NSE:IKS</v>
      </c>
    </row>
    <row r="108">
      <c r="A108" s="43" t="s">
        <v>267</v>
      </c>
      <c r="B108" s="55" t="s">
        <v>476</v>
      </c>
      <c r="C108" s="55" t="str">
        <f>IFERROR(__xludf.DUMMYFUNCTION("""COMPUTED_VALUE"""),"NSE:JBCHEPHARM")</f>
        <v>NSE:JBCHEPHARM</v>
      </c>
    </row>
    <row r="109">
      <c r="A109" s="43" t="s">
        <v>268</v>
      </c>
      <c r="B109" s="55" t="s">
        <v>303</v>
      </c>
      <c r="C109" s="55" t="str">
        <f>IFERROR(__xludf.DUMMYFUNCTION("""COMPUTED_VALUE"""),"NSE:JBMA")</f>
        <v>NSE:JBMA</v>
      </c>
    </row>
    <row r="110">
      <c r="A110" s="43" t="s">
        <v>269</v>
      </c>
      <c r="B110" s="55" t="s">
        <v>477</v>
      </c>
      <c r="C110" s="55" t="str">
        <f>IFERROR(__xludf.DUMMYFUNCTION("""COMPUTED_VALUE"""),"NSE:JKTYRE")</f>
        <v>NSE:JKTYRE</v>
      </c>
    </row>
    <row r="111">
      <c r="A111" s="43" t="s">
        <v>270</v>
      </c>
      <c r="B111" s="55" t="s">
        <v>478</v>
      </c>
      <c r="C111" s="55" t="str">
        <f>IFERROR(__xludf.DUMMYFUNCTION("""COMPUTED_VALUE"""),"NSE:JMFINANCIL")</f>
        <v>NSE:JMFINANCIL</v>
      </c>
    </row>
    <row r="112">
      <c r="A112" s="43" t="s">
        <v>272</v>
      </c>
      <c r="B112" s="55" t="s">
        <v>232</v>
      </c>
      <c r="C112" s="55" t="str">
        <f>IFERROR(__xludf.DUMMYFUNCTION("""COMPUTED_VALUE"""),"NSE:JSWCEMENT")</f>
        <v>NSE:JSWCEMENT</v>
      </c>
    </row>
    <row r="113">
      <c r="A113" s="43" t="s">
        <v>273</v>
      </c>
      <c r="B113" s="55" t="s">
        <v>479</v>
      </c>
      <c r="C113" s="55" t="str">
        <f>IFERROR(__xludf.DUMMYFUNCTION("""COMPUTED_VALUE"""),"NSE:J&amp;KBANK")</f>
        <v>NSE:J&amp;KBANK</v>
      </c>
    </row>
    <row r="114">
      <c r="A114" s="43" t="s">
        <v>274</v>
      </c>
      <c r="B114" s="55" t="s">
        <v>480</v>
      </c>
      <c r="C114" s="55" t="str">
        <f>IFERROR(__xludf.DUMMYFUNCTION("""COMPUTED_VALUE"""),"NSE:JINDALSAW")</f>
        <v>NSE:JINDALSAW</v>
      </c>
    </row>
    <row r="115">
      <c r="A115" s="43" t="s">
        <v>275</v>
      </c>
      <c r="B115" s="55" t="s">
        <v>481</v>
      </c>
      <c r="C115" s="55" t="str">
        <f>IFERROR(__xludf.DUMMYFUNCTION("""COMPUTED_VALUE"""),"NSE:JUBLINGREA")</f>
        <v>NSE:JUBLINGREA</v>
      </c>
    </row>
    <row r="116">
      <c r="A116" s="43" t="s">
        <v>276</v>
      </c>
      <c r="B116" s="55" t="s">
        <v>408</v>
      </c>
      <c r="C116" s="55" t="str">
        <f>IFERROR(__xludf.DUMMYFUNCTION("""COMPUTED_VALUE"""),"NSE:JUBLPHARMA")</f>
        <v>NSE:JUBLPHARMA</v>
      </c>
    </row>
    <row r="117">
      <c r="A117" s="43" t="s">
        <v>277</v>
      </c>
      <c r="B117" s="55" t="s">
        <v>482</v>
      </c>
      <c r="C117" s="55" t="str">
        <f>IFERROR(__xludf.DUMMYFUNCTION("""COMPUTED_VALUE"""),"NSE:JWL")</f>
        <v>NSE:JWL</v>
      </c>
    </row>
    <row r="118">
      <c r="A118" s="43" t="s">
        <v>278</v>
      </c>
      <c r="B118" s="55" t="s">
        <v>483</v>
      </c>
      <c r="C118" s="55" t="str">
        <f>IFERROR(__xludf.DUMMYFUNCTION("""COMPUTED_VALUE"""),"NSE:JYOTHYLAB")</f>
        <v>NSE:JYOTHYLAB</v>
      </c>
    </row>
    <row r="119">
      <c r="A119" s="43" t="s">
        <v>279</v>
      </c>
      <c r="B119" s="55" t="s">
        <v>148</v>
      </c>
      <c r="C119" s="55" t="str">
        <f>IFERROR(__xludf.DUMMYFUNCTION("""COMPUTED_VALUE"""),"NSE:JYOTICNC")</f>
        <v>NSE:JYOTICNC</v>
      </c>
    </row>
    <row r="120">
      <c r="A120" s="43" t="s">
        <v>280</v>
      </c>
      <c r="B120" s="55" t="s">
        <v>288</v>
      </c>
      <c r="C120" s="55" t="str">
        <f>IFERROR(__xludf.DUMMYFUNCTION("""COMPUTED_VALUE"""),"NSE:KSB")</f>
        <v>NSE:KSB</v>
      </c>
    </row>
    <row r="121">
      <c r="A121" s="43" t="s">
        <v>281</v>
      </c>
      <c r="B121" s="55" t="s">
        <v>484</v>
      </c>
      <c r="C121" s="55" t="str">
        <f>IFERROR(__xludf.DUMMYFUNCTION("""COMPUTED_VALUE"""),"NSE:KAJARIACER")</f>
        <v>NSE:KAJARIACER</v>
      </c>
    </row>
    <row r="122">
      <c r="A122" s="43" t="s">
        <v>282</v>
      </c>
      <c r="B122" s="55" t="s">
        <v>217</v>
      </c>
      <c r="C122" s="55" t="str">
        <f>IFERROR(__xludf.DUMMYFUNCTION("""COMPUTED_VALUE"""),"NSE:KPIL")</f>
        <v>NSE:KPIL</v>
      </c>
    </row>
    <row r="123">
      <c r="A123" s="43" t="s">
        <v>283</v>
      </c>
      <c r="B123" s="55" t="s">
        <v>485</v>
      </c>
      <c r="C123" s="55" t="str">
        <f>IFERROR(__xludf.DUMMYFUNCTION("""COMPUTED_VALUE"""),"NSE:KARURVYSYA")</f>
        <v>NSE:KARURVYSYA</v>
      </c>
    </row>
    <row r="124">
      <c r="A124" s="43" t="s">
        <v>284</v>
      </c>
      <c r="B124" s="55" t="s">
        <v>324</v>
      </c>
      <c r="C124" s="55" t="str">
        <f>IFERROR(__xludf.DUMMYFUNCTION("""COMPUTED_VALUE"""),"NSE:KAYNES")</f>
        <v>NSE:KAYNES</v>
      </c>
    </row>
    <row r="125">
      <c r="A125" s="43" t="s">
        <v>285</v>
      </c>
      <c r="B125" s="55" t="s">
        <v>126</v>
      </c>
      <c r="C125" s="55" t="str">
        <f>IFERROR(__xludf.DUMMYFUNCTION("""COMPUTED_VALUE"""),"NSE:KEC")</f>
        <v>NSE:KEC</v>
      </c>
    </row>
    <row r="126">
      <c r="A126" s="43" t="s">
        <v>286</v>
      </c>
      <c r="B126" s="55" t="s">
        <v>486</v>
      </c>
      <c r="C126" s="55" t="str">
        <f>IFERROR(__xludf.DUMMYFUNCTION("""COMPUTED_VALUE"""),"NSE:KFINTECH")</f>
        <v>NSE:KFINTECH</v>
      </c>
    </row>
    <row r="127">
      <c r="A127" s="43" t="s">
        <v>287</v>
      </c>
      <c r="B127" s="55" t="s">
        <v>487</v>
      </c>
      <c r="C127" s="55" t="str">
        <f>IFERROR(__xludf.DUMMYFUNCTION("""COMPUTED_VALUE"""),"NSE:KIRLOSBROS")</f>
        <v>NSE:KIRLOSBROS</v>
      </c>
    </row>
    <row r="128">
      <c r="A128" s="43" t="s">
        <v>288</v>
      </c>
      <c r="B128" s="55" t="s">
        <v>341</v>
      </c>
      <c r="C128" s="55" t="str">
        <f>IFERROR(__xludf.DUMMYFUNCTION("""COMPUTED_VALUE"""),"NSE:KIMS")</f>
        <v>NSE:KIMS</v>
      </c>
    </row>
    <row r="129">
      <c r="A129" s="43" t="s">
        <v>289</v>
      </c>
      <c r="B129" s="55" t="s">
        <v>488</v>
      </c>
      <c r="C129" s="55" t="str">
        <f>IFERROR(__xludf.DUMMYFUNCTION("""COMPUTED_VALUE"""),"NSE:LTFOODS")</f>
        <v>NSE:LTFOODS</v>
      </c>
    </row>
    <row r="130">
      <c r="A130" s="43" t="s">
        <v>290</v>
      </c>
      <c r="B130" s="55" t="s">
        <v>489</v>
      </c>
      <c r="C130" s="55" t="str">
        <f>IFERROR(__xludf.DUMMYFUNCTION("""COMPUTED_VALUE"""),"NSE:LATENTVIEW")</f>
        <v>NSE:LATENTVIEW</v>
      </c>
    </row>
    <row r="131">
      <c r="A131" s="43" t="s">
        <v>291</v>
      </c>
      <c r="B131" s="55" t="s">
        <v>390</v>
      </c>
      <c r="C131" s="55" t="str">
        <f>IFERROR(__xludf.DUMMYFUNCTION("""COMPUTED_VALUE"""),"NSE:LAURUSLABS")</f>
        <v>NSE:LAURUSLABS</v>
      </c>
    </row>
    <row r="132">
      <c r="A132" s="43" t="s">
        <v>292</v>
      </c>
      <c r="B132" s="55" t="s">
        <v>490</v>
      </c>
      <c r="C132" s="55" t="str">
        <f>IFERROR(__xludf.DUMMYFUNCTION("""COMPUTED_VALUE"""),"NSE:THELEELA")</f>
        <v>NSE:THELEELA</v>
      </c>
    </row>
    <row r="133">
      <c r="A133" s="43" t="s">
        <v>293</v>
      </c>
      <c r="B133" s="55" t="s">
        <v>491</v>
      </c>
      <c r="C133" s="55" t="str">
        <f>IFERROR(__xludf.DUMMYFUNCTION("""COMPUTED_VALUE"""),"NSE:MGL")</f>
        <v>NSE:MGL</v>
      </c>
    </row>
    <row r="134">
      <c r="A134" s="43" t="s">
        <v>294</v>
      </c>
      <c r="B134" s="55" t="s">
        <v>492</v>
      </c>
      <c r="C134" s="55" t="str">
        <f>IFERROR(__xludf.DUMMYFUNCTION("""COMPUTED_VALUE"""),"NSE:MAHSCOOTER")</f>
        <v>NSE:MAHSCOOTER</v>
      </c>
    </row>
    <row r="135">
      <c r="A135" s="43" t="s">
        <v>296</v>
      </c>
      <c r="B135" s="55" t="s">
        <v>493</v>
      </c>
      <c r="C135" s="55" t="str">
        <f>IFERROR(__xludf.DUMMYFUNCTION("""COMPUTED_VALUE"""),"NSE:MANAPPURAM")</f>
        <v>NSE:MANAPPURAM</v>
      </c>
    </row>
    <row r="136">
      <c r="A136" s="43" t="s">
        <v>297</v>
      </c>
      <c r="B136" s="55" t="s">
        <v>282</v>
      </c>
      <c r="C136" s="55" t="str">
        <f>IFERROR(__xludf.DUMMYFUNCTION("""COMPUTED_VALUE"""),"NSE:METROPOLIS")</f>
        <v>NSE:METROPOLIS</v>
      </c>
    </row>
    <row r="137">
      <c r="A137" s="43" t="s">
        <v>298</v>
      </c>
      <c r="B137" s="55" t="s">
        <v>494</v>
      </c>
      <c r="C137" s="55" t="str">
        <f>IFERROR(__xludf.DUMMYFUNCTION("""COMPUTED_VALUE"""),"NSE:MINDACORP")</f>
        <v>NSE:MINDACORP</v>
      </c>
    </row>
    <row r="138">
      <c r="A138" s="43" t="s">
        <v>299</v>
      </c>
      <c r="B138" s="55" t="s">
        <v>495</v>
      </c>
      <c r="C138" s="55" t="str">
        <f>IFERROR(__xludf.DUMMYFUNCTION("""COMPUTED_VALUE"""),"NSE:MCX")</f>
        <v>NSE:MCX</v>
      </c>
    </row>
    <row r="139">
      <c r="A139" s="43" t="s">
        <v>300</v>
      </c>
      <c r="B139" s="55" t="s">
        <v>270</v>
      </c>
      <c r="C139" s="55" t="str">
        <f>IFERROR(__xludf.DUMMYFUNCTION("""COMPUTED_VALUE"""),"NSE:NATCOPHARM")</f>
        <v>NSE:NATCOPHARM</v>
      </c>
    </row>
    <row r="140">
      <c r="A140" s="43" t="s">
        <v>301</v>
      </c>
      <c r="B140" s="55" t="s">
        <v>163</v>
      </c>
      <c r="C140" s="55" t="str">
        <f>IFERROR(__xludf.DUMMYFUNCTION("""COMPUTED_VALUE"""),"NSE:NCC")</f>
        <v>NSE:NCC</v>
      </c>
    </row>
    <row r="141">
      <c r="A141" s="43" t="s">
        <v>302</v>
      </c>
      <c r="B141" s="55" t="s">
        <v>197</v>
      </c>
      <c r="C141" s="55" t="str">
        <f>IFERROR(__xludf.DUMMYFUNCTION("""COMPUTED_VALUE"""),"NSE:NSLNISP")</f>
        <v>NSE:NSLNISP</v>
      </c>
    </row>
    <row r="142">
      <c r="A142" s="43" t="s">
        <v>303</v>
      </c>
      <c r="B142" s="55" t="s">
        <v>350</v>
      </c>
      <c r="C142" s="55" t="str">
        <f>IFERROR(__xludf.DUMMYFUNCTION("""COMPUTED_VALUE"""),"NSE:NH")</f>
        <v>NSE:NH</v>
      </c>
    </row>
    <row r="143">
      <c r="A143" s="43" t="s">
        <v>304</v>
      </c>
      <c r="B143" s="55" t="s">
        <v>410</v>
      </c>
      <c r="C143" s="55" t="str">
        <f>IFERROR(__xludf.DUMMYFUNCTION("""COMPUTED_VALUE"""),"NSE:NAVA")</f>
        <v>NSE:NAVA</v>
      </c>
    </row>
    <row r="144">
      <c r="A144" s="43" t="s">
        <v>305</v>
      </c>
      <c r="B144" s="55" t="s">
        <v>496</v>
      </c>
      <c r="C144" s="55" t="str">
        <f>IFERROR(__xludf.DUMMYFUNCTION("""COMPUTED_VALUE"""),"NSE:NAVINFLUOR")</f>
        <v>NSE:NAVINFLUOR</v>
      </c>
    </row>
    <row r="145">
      <c r="A145" s="43" t="s">
        <v>306</v>
      </c>
      <c r="B145" s="55" t="s">
        <v>497</v>
      </c>
      <c r="C145" s="55" t="str">
        <f>IFERROR(__xludf.DUMMYFUNCTION("""COMPUTED_VALUE"""),"NSE:NETWEB")</f>
        <v>NSE:NETWEB</v>
      </c>
    </row>
    <row r="146">
      <c r="A146" s="43" t="s">
        <v>307</v>
      </c>
      <c r="B146" s="55" t="s">
        <v>498</v>
      </c>
      <c r="C146" s="55" t="str">
        <f>IFERROR(__xludf.DUMMYFUNCTION("""COMPUTED_VALUE"""),"NSE:NEWGEN")</f>
        <v>NSE:NEWGEN</v>
      </c>
    </row>
    <row r="147">
      <c r="A147" s="43" t="s">
        <v>308</v>
      </c>
      <c r="B147" s="55" t="s">
        <v>499</v>
      </c>
      <c r="C147" s="55" t="str">
        <f>IFERROR(__xludf.DUMMYFUNCTION("""COMPUTED_VALUE"""),"NSE:NIVABUPA")</f>
        <v>NSE:NIVABUPA</v>
      </c>
    </row>
    <row r="148">
      <c r="A148" s="43" t="s">
        <v>310</v>
      </c>
      <c r="B148" s="55" t="s">
        <v>500</v>
      </c>
      <c r="C148" s="55" t="str">
        <f>IFERROR(__xludf.DUMMYFUNCTION("""COMPUTED_VALUE"""),"NSE:NUVAMA")</f>
        <v>NSE:NUVAMA</v>
      </c>
    </row>
    <row r="149">
      <c r="A149" s="43" t="s">
        <v>311</v>
      </c>
      <c r="B149" s="55" t="s">
        <v>320</v>
      </c>
      <c r="C149" s="55" t="str">
        <f>IFERROR(__xludf.DUMMYFUNCTION("""COMPUTED_VALUE"""),"NSE:NUVOCO")</f>
        <v>NSE:NUVOCO</v>
      </c>
    </row>
    <row r="150">
      <c r="A150" s="43" t="s">
        <v>313</v>
      </c>
      <c r="B150" s="55" t="s">
        <v>220</v>
      </c>
      <c r="C150" s="55" t="str">
        <f>IFERROR(__xludf.DUMMYFUNCTION("""COMPUTED_VALUE"""),"NSE:OLAELEC")</f>
        <v>NSE:OLAELEC</v>
      </c>
    </row>
    <row r="151">
      <c r="A151" s="43" t="s">
        <v>314</v>
      </c>
      <c r="B151" s="55" t="s">
        <v>418</v>
      </c>
      <c r="C151" s="55" t="str">
        <f>IFERROR(__xludf.DUMMYFUNCTION("""COMPUTED_VALUE"""),"NSE:ONESOURCE")</f>
        <v>NSE:ONESOURCE</v>
      </c>
    </row>
    <row r="152">
      <c r="A152" s="43" t="s">
        <v>315</v>
      </c>
      <c r="B152" s="55" t="s">
        <v>501</v>
      </c>
      <c r="C152" s="55" t="str">
        <f>IFERROR(__xludf.DUMMYFUNCTION("""COMPUTED_VALUE"""),"NSE:PCBL")</f>
        <v>NSE:PCBL</v>
      </c>
    </row>
    <row r="153">
      <c r="A153" s="43" t="s">
        <v>316</v>
      </c>
      <c r="B153" s="55" t="s">
        <v>306</v>
      </c>
      <c r="C153" s="55" t="str">
        <f>IFERROR(__xludf.DUMMYFUNCTION("""COMPUTED_VALUE"""),"NSE:PGEL")</f>
        <v>NSE:PGEL</v>
      </c>
    </row>
    <row r="154">
      <c r="A154" s="43" t="s">
        <v>317</v>
      </c>
      <c r="B154" s="55" t="s">
        <v>502</v>
      </c>
      <c r="C154" s="55" t="str">
        <f>IFERROR(__xludf.DUMMYFUNCTION("""COMPUTED_VALUE"""),"NSE:PNBHOUSING")</f>
        <v>NSE:PNBHOUSING</v>
      </c>
    </row>
    <row r="155">
      <c r="A155" s="43" t="s">
        <v>318</v>
      </c>
      <c r="B155" s="55" t="s">
        <v>503</v>
      </c>
      <c r="C155" s="55" t="str">
        <f>IFERROR(__xludf.DUMMYFUNCTION("""COMPUTED_VALUE"""),"NSE:PTCIL")</f>
        <v>NSE:PTCIL</v>
      </c>
    </row>
    <row r="156">
      <c r="A156" s="43" t="s">
        <v>319</v>
      </c>
      <c r="B156" s="55" t="s">
        <v>269</v>
      </c>
      <c r="C156" s="55" t="str">
        <f>IFERROR(__xludf.DUMMYFUNCTION("""COMPUTED_VALUE"""),"NSE:PVRINOX")</f>
        <v>NSE:PVRINOX</v>
      </c>
    </row>
    <row r="157">
      <c r="A157" s="43" t="s">
        <v>320</v>
      </c>
      <c r="B157" s="55" t="s">
        <v>257</v>
      </c>
      <c r="C157" s="55" t="str">
        <f>IFERROR(__xludf.DUMMYFUNCTION("""COMPUTED_VALUE"""),"NSE:PFIZER")</f>
        <v>NSE:PFIZER</v>
      </c>
    </row>
    <row r="158">
      <c r="A158" s="43" t="s">
        <v>321</v>
      </c>
      <c r="B158" s="55" t="s">
        <v>504</v>
      </c>
      <c r="C158" s="55" t="str">
        <f>IFERROR(__xludf.DUMMYFUNCTION("""COMPUTED_VALUE"""),"NSE:PPLPHARMA")</f>
        <v>NSE:PPLPHARMA</v>
      </c>
    </row>
    <row r="159">
      <c r="A159" s="43" t="s">
        <v>322</v>
      </c>
      <c r="B159" s="55" t="s">
        <v>505</v>
      </c>
      <c r="C159" s="55" t="str">
        <f>IFERROR(__xludf.DUMMYFUNCTION("""COMPUTED_VALUE"""),"NSE:POONAWALLA")</f>
        <v>NSE:POONAWALLA</v>
      </c>
    </row>
    <row r="160">
      <c r="A160" s="43" t="s">
        <v>323</v>
      </c>
      <c r="B160" s="55" t="s">
        <v>506</v>
      </c>
      <c r="C160" s="55" t="str">
        <f>IFERROR(__xludf.DUMMYFUNCTION("""COMPUTED_VALUE"""),"NSE:PRAJIND")</f>
        <v>NSE:PRAJIND</v>
      </c>
    </row>
    <row r="161">
      <c r="A161" s="43" t="s">
        <v>324</v>
      </c>
      <c r="B161" s="55" t="s">
        <v>275</v>
      </c>
      <c r="C161" s="55" t="str">
        <f>IFERROR(__xludf.DUMMYFUNCTION("""COMPUTED_VALUE"""),"NSE:RRKABEL")</f>
        <v>NSE:RRKABEL</v>
      </c>
    </row>
    <row r="162">
      <c r="A162" s="43" t="s">
        <v>325</v>
      </c>
      <c r="B162" s="55" t="s">
        <v>206</v>
      </c>
      <c r="C162" s="55" t="str">
        <f>IFERROR(__xludf.DUMMYFUNCTION("""COMPUTED_VALUE"""),"NSE:RBLBANK")</f>
        <v>NSE:RBLBANK</v>
      </c>
    </row>
    <row r="163">
      <c r="A163" s="43" t="s">
        <v>326</v>
      </c>
      <c r="B163" s="55" t="s">
        <v>177</v>
      </c>
      <c r="C163" s="55" t="str">
        <f>IFERROR(__xludf.DUMMYFUNCTION("""COMPUTED_VALUE"""),"NSE:RHIM")</f>
        <v>NSE:RHIM</v>
      </c>
    </row>
    <row r="164">
      <c r="A164" s="43" t="s">
        <v>328</v>
      </c>
      <c r="B164" s="55" t="s">
        <v>507</v>
      </c>
      <c r="C164" s="55" t="str">
        <f>IFERROR(__xludf.DUMMYFUNCTION("""COMPUTED_VALUE"""),"NSE:RITES")</f>
        <v>NSE:RITES</v>
      </c>
    </row>
    <row r="165">
      <c r="A165" s="43" t="s">
        <v>329</v>
      </c>
      <c r="B165" s="55" t="s">
        <v>314</v>
      </c>
      <c r="C165" s="55" t="str">
        <f>IFERROR(__xludf.DUMMYFUNCTION("""COMPUTED_VALUE"""),"NSE:RADICO")</f>
        <v>NSE:RADICO</v>
      </c>
    </row>
    <row r="166">
      <c r="A166" s="43" t="s">
        <v>330</v>
      </c>
      <c r="B166" s="55" t="s">
        <v>508</v>
      </c>
      <c r="C166" s="55" t="str">
        <f>IFERROR(__xludf.DUMMYFUNCTION("""COMPUTED_VALUE"""),"NSE:RAILTEL")</f>
        <v>NSE:RAILTEL</v>
      </c>
    </row>
    <row r="167">
      <c r="A167" s="43" t="s">
        <v>332</v>
      </c>
      <c r="B167" s="55" t="s">
        <v>509</v>
      </c>
      <c r="C167" s="55" t="str">
        <f>IFERROR(__xludf.DUMMYFUNCTION("""COMPUTED_VALUE"""),"NSE:RKFORGE")</f>
        <v>NSE:RKFORGE</v>
      </c>
    </row>
    <row r="168">
      <c r="A168" s="43" t="s">
        <v>333</v>
      </c>
      <c r="B168" s="55" t="s">
        <v>258</v>
      </c>
      <c r="C168" s="55" t="str">
        <f>IFERROR(__xludf.DUMMYFUNCTION("""COMPUTED_VALUE"""),"NSE:RCF")</f>
        <v>NSE:RCF</v>
      </c>
    </row>
    <row r="169">
      <c r="A169" s="43" t="s">
        <v>334</v>
      </c>
      <c r="B169" s="55" t="s">
        <v>510</v>
      </c>
      <c r="C169" s="55" t="str">
        <f>IFERROR(__xludf.DUMMYFUNCTION("""COMPUTED_VALUE"""),"NSE:REDINGTON")</f>
        <v>NSE:REDINGTON</v>
      </c>
    </row>
    <row r="170">
      <c r="A170" s="43" t="s">
        <v>335</v>
      </c>
      <c r="B170" s="55" t="s">
        <v>511</v>
      </c>
      <c r="C170" s="55" t="str">
        <f>IFERROR(__xludf.DUMMYFUNCTION("""COMPUTED_VALUE"""),"NSE:RELINFRA")</f>
        <v>NSE:RELINFRA</v>
      </c>
    </row>
    <row r="171">
      <c r="A171" s="43" t="s">
        <v>336</v>
      </c>
      <c r="B171" s="55" t="s">
        <v>512</v>
      </c>
      <c r="C171" s="55" t="str">
        <f>IFERROR(__xludf.DUMMYFUNCTION("""COMPUTED_VALUE"""),"NSE:RPOWER")</f>
        <v>NSE:RPOWER</v>
      </c>
    </row>
    <row r="172">
      <c r="A172" s="43" t="s">
        <v>337</v>
      </c>
      <c r="B172" s="55" t="s">
        <v>250</v>
      </c>
      <c r="C172" s="55" t="str">
        <f>IFERROR(__xludf.DUMMYFUNCTION("""COMPUTED_VALUE"""),"NSE:SBFC")</f>
        <v>NSE:SBFC</v>
      </c>
    </row>
    <row r="173">
      <c r="A173" s="43" t="s">
        <v>338</v>
      </c>
      <c r="B173" s="55" t="s">
        <v>284</v>
      </c>
      <c r="C173" s="55" t="str">
        <f>IFERROR(__xludf.DUMMYFUNCTION("""COMPUTED_VALUE"""),"NSE:SAGILITY")</f>
        <v>NSE:SAGILITY</v>
      </c>
    </row>
    <row r="174">
      <c r="A174" s="43" t="s">
        <v>339</v>
      </c>
      <c r="B174" s="55" t="s">
        <v>237</v>
      </c>
      <c r="C174" s="55" t="str">
        <f>IFERROR(__xludf.DUMMYFUNCTION("""COMPUTED_VALUE"""),"NSE:SAILIFE")</f>
        <v>NSE:SAILIFE</v>
      </c>
    </row>
    <row r="175">
      <c r="A175" s="43" t="s">
        <v>340</v>
      </c>
      <c r="B175" s="55" t="s">
        <v>239</v>
      </c>
      <c r="C175" s="55" t="str">
        <f>IFERROR(__xludf.DUMMYFUNCTION("""COMPUTED_VALUE"""),"NSE:SARDAEN")</f>
        <v>NSE:SARDAEN</v>
      </c>
    </row>
    <row r="176">
      <c r="A176" s="43" t="s">
        <v>341</v>
      </c>
      <c r="B176" s="55" t="s">
        <v>513</v>
      </c>
      <c r="C176" s="55" t="str">
        <f>IFERROR(__xludf.DUMMYFUNCTION("""COMPUTED_VALUE"""),"NSE:SAREGAMA")</f>
        <v>NSE:SAREGAMA</v>
      </c>
    </row>
    <row r="177">
      <c r="A177" s="43" t="s">
        <v>342</v>
      </c>
      <c r="B177" s="55" t="s">
        <v>514</v>
      </c>
      <c r="C177" s="55" t="str">
        <f>IFERROR(__xludf.DUMMYFUNCTION("""COMPUTED_VALUE"""),"NSE:SCI")</f>
        <v>NSE:SCI</v>
      </c>
    </row>
    <row r="178">
      <c r="A178" s="43" t="s">
        <v>343</v>
      </c>
      <c r="B178" s="55" t="s">
        <v>268</v>
      </c>
      <c r="C178" s="55" t="str">
        <f>IFERROR(__xludf.DUMMYFUNCTION("""COMPUTED_VALUE"""),"NSE:SHYAMMETL")</f>
        <v>NSE:SHYAMMETL</v>
      </c>
    </row>
    <row r="179">
      <c r="A179" s="43" t="s">
        <v>344</v>
      </c>
      <c r="B179" s="55" t="s">
        <v>349</v>
      </c>
      <c r="C179" s="55" t="str">
        <f>IFERROR(__xludf.DUMMYFUNCTION("""COMPUTED_VALUE"""),"NSE:SIGNATURE")</f>
        <v>NSE:SIGNATURE</v>
      </c>
    </row>
    <row r="180">
      <c r="A180" s="43" t="s">
        <v>345</v>
      </c>
      <c r="B180" s="55" t="s">
        <v>122</v>
      </c>
      <c r="C180" s="55" t="str">
        <f>IFERROR(__xludf.DUMMYFUNCTION("""COMPUTED_VALUE"""),"NSE:SOBHA")</f>
        <v>NSE:SOBHA</v>
      </c>
    </row>
    <row r="181">
      <c r="A181" s="43" t="s">
        <v>346</v>
      </c>
      <c r="B181" s="55" t="s">
        <v>515</v>
      </c>
      <c r="C181" s="55" t="str">
        <f>IFERROR(__xludf.DUMMYFUNCTION("""COMPUTED_VALUE"""),"NSE:SONATSOFTW")</f>
        <v>NSE:SONATSOFTW</v>
      </c>
    </row>
    <row r="182">
      <c r="A182" s="43" t="s">
        <v>347</v>
      </c>
      <c r="B182" s="55" t="s">
        <v>413</v>
      </c>
      <c r="C182" s="55" t="str">
        <f>IFERROR(__xludf.DUMMYFUNCTION("""COMPUTED_VALUE"""),"NSE:STARHEALTH")</f>
        <v>NSE:STARHEALTH</v>
      </c>
    </row>
    <row r="183">
      <c r="A183" s="43" t="s">
        <v>348</v>
      </c>
      <c r="B183" s="55" t="s">
        <v>248</v>
      </c>
      <c r="C183" s="55" t="str">
        <f>IFERROR(__xludf.DUMMYFUNCTION("""COMPUTED_VALUE"""),"NSE:SUMICHEM")</f>
        <v>NSE:SUMICHEM</v>
      </c>
    </row>
    <row r="184">
      <c r="A184" s="43" t="s">
        <v>349</v>
      </c>
      <c r="B184" s="55" t="s">
        <v>516</v>
      </c>
      <c r="C184" s="55" t="str">
        <f>IFERROR(__xludf.DUMMYFUNCTION("""COMPUTED_VALUE"""),"NSE:SUNTV")</f>
        <v>NSE:SUNTV</v>
      </c>
    </row>
    <row r="185">
      <c r="A185" s="43" t="s">
        <v>350</v>
      </c>
      <c r="B185" s="55" t="s">
        <v>264</v>
      </c>
      <c r="C185" s="55" t="str">
        <f>IFERROR(__xludf.DUMMYFUNCTION("""COMPUTED_VALUE"""),"NSE:SUNDRMFAST")</f>
        <v>NSE:SUNDRMFAST</v>
      </c>
    </row>
    <row r="186">
      <c r="A186" s="43" t="s">
        <v>351</v>
      </c>
      <c r="B186" s="55" t="s">
        <v>279</v>
      </c>
      <c r="C186" s="55" t="str">
        <f>IFERROR(__xludf.DUMMYFUNCTION("""COMPUTED_VALUE"""),"NSE:SWANCORP")</f>
        <v>NSE:SWANCORP</v>
      </c>
    </row>
    <row r="187">
      <c r="A187" s="43" t="s">
        <v>352</v>
      </c>
      <c r="B187" s="55" t="s">
        <v>517</v>
      </c>
      <c r="C187" s="55" t="str">
        <f>IFERROR(__xludf.DUMMYFUNCTION("""COMPUTED_VALUE"""),"NSE:SYRMA")</f>
        <v>NSE:SYRMA</v>
      </c>
    </row>
    <row r="188">
      <c r="A188" s="43" t="s">
        <v>353</v>
      </c>
      <c r="B188" s="55" t="s">
        <v>200</v>
      </c>
      <c r="C188" s="55" t="str">
        <f>IFERROR(__xludf.DUMMYFUNCTION("""COMPUTED_VALUE"""),"NSE:TBOTEK")</f>
        <v>NSE:TBOTEK</v>
      </c>
    </row>
    <row r="189">
      <c r="A189" s="43" t="s">
        <v>355</v>
      </c>
      <c r="B189" s="55" t="s">
        <v>164</v>
      </c>
      <c r="C189" s="55" t="str">
        <f>IFERROR(__xludf.DUMMYFUNCTION("""COMPUTED_VALUE"""),"NSE:TATACHEM")</f>
        <v>NSE:TATACHEM</v>
      </c>
    </row>
    <row r="190">
      <c r="A190" s="43" t="s">
        <v>356</v>
      </c>
      <c r="B190" s="55" t="s">
        <v>272</v>
      </c>
      <c r="C190" s="55" t="str">
        <f>IFERROR(__xludf.DUMMYFUNCTION("""COMPUTED_VALUE"""),"NSE:TTML")</f>
        <v>NSE:TTML</v>
      </c>
    </row>
    <row r="191">
      <c r="A191" s="43" t="s">
        <v>357</v>
      </c>
      <c r="B191" s="55" t="s">
        <v>318</v>
      </c>
      <c r="C191" s="55" t="str">
        <f>IFERROR(__xludf.DUMMYFUNCTION("""COMPUTED_VALUE"""),"NSE:TEJASNET")</f>
        <v>NSE:TEJASNET</v>
      </c>
    </row>
    <row r="192">
      <c r="A192" s="43" t="s">
        <v>358</v>
      </c>
      <c r="B192" s="55" t="s">
        <v>299</v>
      </c>
      <c r="C192" s="55" t="str">
        <f>IFERROR(__xludf.DUMMYFUNCTION("""COMPUTED_VALUE"""),"NSE:TIMKEN")</f>
        <v>NSE:TIMKEN</v>
      </c>
    </row>
    <row r="193">
      <c r="A193" s="43" t="s">
        <v>359</v>
      </c>
      <c r="B193" s="55" t="s">
        <v>359</v>
      </c>
      <c r="C193" s="55" t="str">
        <f>IFERROR(__xludf.DUMMYFUNCTION("""COMPUTED_VALUE"""),"NSE:TITAGARH")</f>
        <v>NSE:TITAGARH</v>
      </c>
    </row>
    <row r="194">
      <c r="A194" s="43" t="s">
        <v>360</v>
      </c>
      <c r="B194" s="55" t="s">
        <v>256</v>
      </c>
      <c r="C194" s="55" t="str">
        <f>IFERROR(__xludf.DUMMYFUNCTION("""COMPUTED_VALUE"""),"NSE:TRIDENT")</f>
        <v>NSE:TRIDENT</v>
      </c>
    </row>
    <row r="195">
      <c r="A195" s="43" t="s">
        <v>362</v>
      </c>
      <c r="B195" s="55" t="s">
        <v>518</v>
      </c>
      <c r="C195" s="55" t="str">
        <f>IFERROR(__xludf.DUMMYFUNCTION("""COMPUTED_VALUE"""),"NSE:TRIVENI")</f>
        <v>NSE:TRIVENI</v>
      </c>
    </row>
    <row r="196">
      <c r="A196" s="43" t="s">
        <v>363</v>
      </c>
      <c r="B196" s="55" t="s">
        <v>519</v>
      </c>
      <c r="C196" s="55" t="str">
        <f>IFERROR(__xludf.DUMMYFUNCTION("""COMPUTED_VALUE"""),"NSE:TRITURBINE")</f>
        <v>NSE:TRITURBINE</v>
      </c>
    </row>
    <row r="197">
      <c r="A197" s="43" t="s">
        <v>364</v>
      </c>
      <c r="B197" s="55" t="s">
        <v>520</v>
      </c>
      <c r="C197" s="55" t="str">
        <f>IFERROR(__xludf.DUMMYFUNCTION("""COMPUTED_VALUE"""),"NSE:UTIAMC")</f>
        <v>NSE:UTIAMC</v>
      </c>
    </row>
    <row r="198">
      <c r="A198" s="43" t="s">
        <v>365</v>
      </c>
      <c r="B198" s="55" t="s">
        <v>280</v>
      </c>
      <c r="C198" s="55" t="str">
        <f>IFERROR(__xludf.DUMMYFUNCTION("""COMPUTED_VALUE"""),"NSE:VGUARD")</f>
        <v>NSE:VGUARD</v>
      </c>
    </row>
    <row r="199">
      <c r="A199" s="43" t="s">
        <v>366</v>
      </c>
      <c r="B199" s="55" t="s">
        <v>521</v>
      </c>
      <c r="C199" s="55" t="str">
        <f>IFERROR(__xludf.DUMMYFUNCTION("""COMPUTED_VALUE"""),"NSE:MANYAVAR")</f>
        <v>NSE:MANYAVAR</v>
      </c>
    </row>
    <row r="200">
      <c r="A200" s="43" t="s">
        <v>367</v>
      </c>
      <c r="B200" s="55" t="s">
        <v>154</v>
      </c>
      <c r="C200" s="55" t="str">
        <f>IFERROR(__xludf.DUMMYFUNCTION("""COMPUTED_VALUE"""),"NSE:VENTIVE")</f>
        <v>NSE:VENTIVE</v>
      </c>
    </row>
    <row r="201">
      <c r="A201" s="43" t="s">
        <v>368</v>
      </c>
      <c r="B201" s="55" t="s">
        <v>522</v>
      </c>
      <c r="C201" s="55" t="str">
        <f>IFERROR(__xludf.DUMMYFUNCTION("""COMPUTED_VALUE"""),"NSE:VIJAYA")</f>
        <v>NSE:VIJAYA</v>
      </c>
    </row>
    <row r="202">
      <c r="A202" s="43" t="s">
        <v>369</v>
      </c>
      <c r="B202" s="55" t="s">
        <v>523</v>
      </c>
      <c r="C202" s="55" t="str">
        <f>IFERROR(__xludf.DUMMYFUNCTION("""COMPUTED_VALUE"""),"NSE:WELCORP")</f>
        <v>NSE:WELCORP</v>
      </c>
    </row>
    <row r="203">
      <c r="A203" s="43" t="s">
        <v>370</v>
      </c>
      <c r="B203" s="55" t="s">
        <v>524</v>
      </c>
      <c r="C203" s="55" t="str">
        <f>IFERROR(__xludf.DUMMYFUNCTION("""COMPUTED_VALUE"""),"NSE:WELSPUNLIV")</f>
        <v>NSE:WELSPUNLIV</v>
      </c>
    </row>
    <row r="204">
      <c r="A204" s="43" t="s">
        <v>371</v>
      </c>
      <c r="B204" s="55" t="s">
        <v>409</v>
      </c>
      <c r="C204" s="55" t="str">
        <f>IFERROR(__xludf.DUMMYFUNCTION("""COMPUTED_VALUE"""),"NSE:WHIRLPOOL")</f>
        <v>NSE:WHIRLPOOL</v>
      </c>
    </row>
    <row r="205">
      <c r="A205" s="43" t="s">
        <v>372</v>
      </c>
      <c r="B205" s="55" t="s">
        <v>525</v>
      </c>
      <c r="C205" s="55" t="str">
        <f>IFERROR(__xludf.DUMMYFUNCTION("""COMPUTED_VALUE"""),"NSE:ZFCVINDIA")</f>
        <v>NSE:ZFCVINDIA</v>
      </c>
    </row>
    <row r="206">
      <c r="A206" s="43" t="s">
        <v>373</v>
      </c>
      <c r="B206" s="55" t="s">
        <v>202</v>
      </c>
      <c r="C206" s="55" t="str">
        <f>IFERROR(__xludf.DUMMYFUNCTION("""COMPUTED_VALUE"""),"NSE:ZENTEC")</f>
        <v>NSE:ZENTEC</v>
      </c>
    </row>
    <row r="207">
      <c r="A207" s="43" t="s">
        <v>374</v>
      </c>
      <c r="B207" s="55" t="s">
        <v>348</v>
      </c>
      <c r="C207" s="55" t="str">
        <f>IFERROR(__xludf.DUMMYFUNCTION("""COMPUTED_VALUE"""),"NSE:ACMESOLAR")</f>
        <v>NSE:ACMESOLAR</v>
      </c>
    </row>
    <row r="208">
      <c r="A208" s="43" t="s">
        <v>375</v>
      </c>
      <c r="B208" s="55" t="s">
        <v>246</v>
      </c>
      <c r="C208" s="55" t="str">
        <f>IFERROR(__xludf.DUMMYFUNCTION("""COMPUTED_VALUE"""),"NSE:AADHARHFC")</f>
        <v>NSE:AADHARHFC</v>
      </c>
    </row>
    <row r="209">
      <c r="A209" s="43" t="s">
        <v>376</v>
      </c>
      <c r="B209" s="55" t="s">
        <v>150</v>
      </c>
      <c r="C209" s="55" t="str">
        <f>IFERROR(__xludf.DUMMYFUNCTION("""COMPUTED_VALUE"""),"NSE:ABLBL")</f>
        <v>NSE:ABLBL</v>
      </c>
    </row>
    <row r="210">
      <c r="A210" s="43" t="s">
        <v>377</v>
      </c>
      <c r="B210" s="55" t="s">
        <v>169</v>
      </c>
      <c r="C210" s="55" t="str">
        <f>IFERROR(__xludf.DUMMYFUNCTION("""COMPUTED_VALUE"""),"NSE:AFCONS")</f>
        <v>NSE:AFCONS</v>
      </c>
    </row>
    <row r="211">
      <c r="A211" s="43" t="s">
        <v>378</v>
      </c>
      <c r="B211" s="55" t="s">
        <v>159</v>
      </c>
      <c r="C211" s="55" t="str">
        <f>IFERROR(__xludf.DUMMYFUNCTION("""COMPUTED_VALUE"""),"NSE:ANANDRATHI")</f>
        <v>NSE:ANANDRATHI</v>
      </c>
    </row>
    <row r="212">
      <c r="A212" s="43" t="s">
        <v>379</v>
      </c>
      <c r="B212" s="55" t="s">
        <v>168</v>
      </c>
      <c r="C212" s="55" t="str">
        <f>IFERROR(__xludf.DUMMYFUNCTION("""COMPUTED_VALUE"""),"NSE:BALRAMCHIN")</f>
        <v>NSE:BALRAMCHIN</v>
      </c>
    </row>
    <row r="213">
      <c r="A213" s="43" t="s">
        <v>380</v>
      </c>
      <c r="B213" s="55" t="s">
        <v>391</v>
      </c>
      <c r="C213" s="55" t="str">
        <f>IFERROR(__xludf.DUMMYFUNCTION("""COMPUTED_VALUE"""),"NSE:BATAINDIA")</f>
        <v>NSE:BATAINDIA</v>
      </c>
    </row>
    <row r="214">
      <c r="A214" s="43" t="s">
        <v>381</v>
      </c>
      <c r="B214" s="55" t="s">
        <v>135</v>
      </c>
      <c r="C214" s="55" t="str">
        <f>IFERROR(__xludf.DUMMYFUNCTION("""COMPUTED_VALUE"""),"NSE:BBTC")</f>
        <v>NSE:BBTC</v>
      </c>
    </row>
    <row r="215">
      <c r="A215" s="43" t="s">
        <v>382</v>
      </c>
      <c r="B215" s="55" t="s">
        <v>526</v>
      </c>
      <c r="C215" s="55" t="str">
        <f>IFERROR(__xludf.DUMMYFUNCTION("""COMPUTED_VALUE"""),"NSE:BRIGADE")</f>
        <v>NSE:BRIGADE</v>
      </c>
    </row>
    <row r="216">
      <c r="A216" s="43" t="s">
        <v>383</v>
      </c>
      <c r="B216" s="55" t="s">
        <v>140</v>
      </c>
      <c r="C216" s="55" t="str">
        <f>IFERROR(__xludf.DUMMYFUNCTION("""COMPUTED_VALUE"""),"NSE:MAPMYINDIA")</f>
        <v>NSE:MAPMYINDIA</v>
      </c>
    </row>
    <row r="217">
      <c r="A217" s="43" t="s">
        <v>384</v>
      </c>
      <c r="B217" s="55" t="s">
        <v>527</v>
      </c>
      <c r="C217" s="55" t="str">
        <f>IFERROR(__xludf.DUMMYFUNCTION("""COMPUTED_VALUE"""),"NSE:CCL")</f>
        <v>NSE:CCL</v>
      </c>
    </row>
    <row r="218">
      <c r="A218" s="43" t="s">
        <v>385</v>
      </c>
      <c r="B218" s="55" t="s">
        <v>528</v>
      </c>
      <c r="C218" s="55" t="str">
        <f>IFERROR(__xludf.DUMMYFUNCTION("""COMPUTED_VALUE"""),"NSE:CAPLIPOINT")</f>
        <v>NSE:CAPLIPOINT</v>
      </c>
    </row>
    <row r="219">
      <c r="A219" s="43" t="s">
        <v>386</v>
      </c>
      <c r="B219" s="55" t="s">
        <v>347</v>
      </c>
      <c r="C219" s="55" t="str">
        <f>IFERROR(__xludf.DUMMYFUNCTION("""COMPUTED_VALUE"""),"NSE:CHOICEIN")</f>
        <v>NSE:CHOICEIN</v>
      </c>
    </row>
    <row r="220">
      <c r="A220" s="43" t="s">
        <v>387</v>
      </c>
      <c r="B220" s="55" t="s">
        <v>529</v>
      </c>
      <c r="C220" s="55" t="str">
        <f>IFERROR(__xludf.DUMMYFUNCTION("""COMPUTED_VALUE"""),"NSE:CLEAN")</f>
        <v>NSE:CLEAN</v>
      </c>
    </row>
    <row r="221">
      <c r="A221" s="43" t="s">
        <v>388</v>
      </c>
      <c r="B221" s="55" t="s">
        <v>228</v>
      </c>
      <c r="C221" s="55" t="str">
        <f>IFERROR(__xludf.DUMMYFUNCTION("""COMPUTED_VALUE"""),"NSE:DOMS")</f>
        <v>NSE:DOMS</v>
      </c>
    </row>
    <row r="222">
      <c r="A222" s="43" t="s">
        <v>389</v>
      </c>
      <c r="B222" s="55" t="s">
        <v>530</v>
      </c>
      <c r="C222" s="55" t="str">
        <f>IFERROR(__xludf.DUMMYFUNCTION("""COMPUTED_VALUE"""),"NSE:DELHIVERY")</f>
        <v>NSE:DELHIVERY</v>
      </c>
    </row>
    <row r="223">
      <c r="A223" s="43" t="s">
        <v>390</v>
      </c>
      <c r="B223" s="55" t="s">
        <v>531</v>
      </c>
      <c r="C223" s="55" t="str">
        <f>IFERROR(__xludf.DUMMYFUNCTION("""COMPUTED_VALUE"""),"NSE:GRANULES")</f>
        <v>NSE:GRANULES</v>
      </c>
    </row>
    <row r="224">
      <c r="A224" s="43" t="s">
        <v>391</v>
      </c>
      <c r="B224" s="55" t="s">
        <v>532</v>
      </c>
      <c r="C224" s="55" t="str">
        <f>IFERROR(__xludf.DUMMYFUNCTION("""COMPUTED_VALUE"""),"NSE:GSPL")</f>
        <v>NSE:GSPL</v>
      </c>
    </row>
    <row r="225">
      <c r="A225" s="43" t="s">
        <v>393</v>
      </c>
      <c r="B225" s="55" t="s">
        <v>533</v>
      </c>
      <c r="C225" s="55" t="str">
        <f>IFERROR(__xludf.DUMMYFUNCTION("""COMPUTED_VALUE"""),"NSE:HOMEFIRST")</f>
        <v>NSE:HOMEFIRST</v>
      </c>
    </row>
    <row r="226">
      <c r="A226" s="43" t="s">
        <v>394</v>
      </c>
      <c r="B226" s="55" t="s">
        <v>294</v>
      </c>
      <c r="C226" s="55" t="str">
        <f>IFERROR(__xludf.DUMMYFUNCTION("""COMPUTED_VALUE"""),"NSE:ITI")</f>
        <v>NSE:ITI</v>
      </c>
    </row>
    <row r="227">
      <c r="A227" s="43" t="s">
        <v>395</v>
      </c>
      <c r="B227" s="55" t="s">
        <v>261</v>
      </c>
      <c r="C227" s="55" t="str">
        <f>IFERROR(__xludf.DUMMYFUNCTION("""COMPUTED_VALUE"""),"NSE:INOXWIND")</f>
        <v>NSE:INOXWIND</v>
      </c>
    </row>
    <row r="228">
      <c r="A228" s="43" t="s">
        <v>396</v>
      </c>
      <c r="B228" s="55" t="s">
        <v>370</v>
      </c>
      <c r="C228" s="55" t="str">
        <f>IFERROR(__xludf.DUMMYFUNCTION("""COMPUTED_VALUE"""),"NSE:JPPOWER")</f>
        <v>NSE:JPPOWER</v>
      </c>
    </row>
    <row r="229">
      <c r="A229" s="43" t="s">
        <v>397</v>
      </c>
      <c r="B229" s="55" t="s">
        <v>534</v>
      </c>
      <c r="C229" s="55" t="str">
        <f>IFERROR(__xludf.DUMMYFUNCTION("""COMPUTED_VALUE"""),"NSE:LEMONTREE")</f>
        <v>NSE:LEMONTREE</v>
      </c>
    </row>
    <row r="230">
      <c r="A230" s="43" t="s">
        <v>398</v>
      </c>
      <c r="B230" s="55" t="s">
        <v>535</v>
      </c>
      <c r="C230" s="55" t="str">
        <f>IFERROR(__xludf.DUMMYFUNCTION("""COMPUTED_VALUE"""),"NSE:MMTC")</f>
        <v>NSE:MMTC</v>
      </c>
    </row>
    <row r="231">
      <c r="A231" s="43" t="s">
        <v>399</v>
      </c>
      <c r="B231" s="55" t="s">
        <v>311</v>
      </c>
      <c r="C231" s="55" t="str">
        <f>IFERROR(__xludf.DUMMYFUNCTION("""COMPUTED_VALUE"""),"NSE:MAHSEAMLES")</f>
        <v>NSE:MAHSEAMLES</v>
      </c>
    </row>
    <row r="232">
      <c r="A232" s="43" t="s">
        <v>400</v>
      </c>
      <c r="B232" s="55" t="s">
        <v>385</v>
      </c>
      <c r="C232" s="55" t="str">
        <f>IFERROR(__xludf.DUMMYFUNCTION("""COMPUTED_VALUE"""),"NSE:MSUMI")</f>
        <v>NSE:MSUMI</v>
      </c>
    </row>
    <row r="233">
      <c r="A233" s="43" t="s">
        <v>401</v>
      </c>
      <c r="B233" s="55" t="s">
        <v>158</v>
      </c>
      <c r="C233" s="55" t="str">
        <f>IFERROR(__xludf.DUMMYFUNCTION("""COMPUTED_VALUE"""),"NSE:NBCC")</f>
        <v>NSE:NBCC</v>
      </c>
    </row>
    <row r="234">
      <c r="A234" s="43" t="s">
        <v>402</v>
      </c>
      <c r="B234" s="55" t="s">
        <v>536</v>
      </c>
      <c r="C234" s="55" t="str">
        <f>IFERROR(__xludf.DUMMYFUNCTION("""COMPUTED_VALUE"""),"NSE:NEULANDLAB")</f>
        <v>NSE:NEULANDLAB</v>
      </c>
    </row>
    <row r="235">
      <c r="A235" s="43" t="s">
        <v>403</v>
      </c>
      <c r="B235" s="55" t="s">
        <v>537</v>
      </c>
      <c r="C235" s="55" t="str">
        <f>IFERROR(__xludf.DUMMYFUNCTION("""COMPUTED_VALUE"""),"NSE:OLECTRA")</f>
        <v>NSE:OLECTRA</v>
      </c>
    </row>
    <row r="236">
      <c r="A236" s="43" t="s">
        <v>405</v>
      </c>
      <c r="B236" s="55" t="s">
        <v>538</v>
      </c>
      <c r="C236" s="55" t="str">
        <f>IFERROR(__xludf.DUMMYFUNCTION("""COMPUTED_VALUE"""),"NSE:POLYMED")</f>
        <v>NSE:POLYMED</v>
      </c>
    </row>
    <row r="237">
      <c r="A237" s="43" t="s">
        <v>406</v>
      </c>
      <c r="B237" s="55" t="s">
        <v>539</v>
      </c>
      <c r="C237" s="55" t="str">
        <f>IFERROR(__xludf.DUMMYFUNCTION("""COMPUTED_VALUE"""),"NSE:RAINBOW")</f>
        <v>NSE:RAINBOW</v>
      </c>
    </row>
    <row r="238">
      <c r="A238" s="43" t="s">
        <v>407</v>
      </c>
      <c r="B238" s="55" t="s">
        <v>540</v>
      </c>
      <c r="C238" s="55" t="str">
        <f>IFERROR(__xludf.DUMMYFUNCTION("""COMPUTED_VALUE"""),"NSE:SAMMAANCAP")</f>
        <v>NSE:SAMMAANCAP</v>
      </c>
    </row>
    <row r="239">
      <c r="A239" s="43" t="s">
        <v>408</v>
      </c>
      <c r="B239" s="55" t="s">
        <v>176</v>
      </c>
      <c r="C239" s="55" t="str">
        <f>IFERROR(__xludf.DUMMYFUNCTION("""COMPUTED_VALUE"""),"NSE:SAPPHIRE")</f>
        <v>NSE:SAPPHIRE</v>
      </c>
    </row>
    <row r="240">
      <c r="A240" s="43" t="s">
        <v>409</v>
      </c>
      <c r="B240" s="55" t="s">
        <v>405</v>
      </c>
      <c r="C240" s="55" t="str">
        <f>IFERROR(__xludf.DUMMYFUNCTION("""COMPUTED_VALUE"""),"NSE:SCHNEIDER")</f>
        <v>NSE:SCHNEIDER</v>
      </c>
    </row>
    <row r="241">
      <c r="A241" s="43" t="s">
        <v>410</v>
      </c>
      <c r="B241" s="55" t="s">
        <v>541</v>
      </c>
      <c r="C241" s="55" t="str">
        <f>IFERROR(__xludf.DUMMYFUNCTION("""COMPUTED_VALUE"""),"NSE:TECHNOE")</f>
        <v>NSE:TECHNOE</v>
      </c>
    </row>
    <row r="242">
      <c r="A242" s="43" t="s">
        <v>411</v>
      </c>
      <c r="B242" s="55" t="s">
        <v>542</v>
      </c>
      <c r="C242" s="55" t="str">
        <f>IFERROR(__xludf.DUMMYFUNCTION("""COMPUTED_VALUE"""),"NSE:RAMCOCEM")</f>
        <v>NSE:RAMCOCEM</v>
      </c>
    </row>
    <row r="243">
      <c r="A243" s="43" t="s">
        <v>412</v>
      </c>
      <c r="B243" s="55" t="s">
        <v>543</v>
      </c>
      <c r="C243" s="55" t="str">
        <f>IFERROR(__xludf.DUMMYFUNCTION("""COMPUTED_VALUE"""),"NSE:TARIL")</f>
        <v>NSE:TARIL</v>
      </c>
    </row>
    <row r="244">
      <c r="A244" s="43" t="s">
        <v>413</v>
      </c>
      <c r="B244" s="55" t="s">
        <v>156</v>
      </c>
      <c r="C244" s="55" t="str">
        <f>IFERROR(__xludf.DUMMYFUNCTION("""COMPUTED_VALUE"""),"NSE:USHAMART")</f>
        <v>NSE:USHAMART</v>
      </c>
    </row>
    <row r="245">
      <c r="A245" s="43" t="s">
        <v>415</v>
      </c>
      <c r="B245" s="55" t="s">
        <v>544</v>
      </c>
      <c r="C245" s="55" t="str">
        <f>IFERROR(__xludf.DUMMYFUNCTION("""COMPUTED_VALUE"""),"NSE:DBREALTY")</f>
        <v>NSE:DBREALTY</v>
      </c>
    </row>
    <row r="246">
      <c r="A246" s="43" t="s">
        <v>416</v>
      </c>
      <c r="B246" s="55" t="s">
        <v>545</v>
      </c>
      <c r="C246" s="55" t="str">
        <f>IFERROR(__xludf.DUMMYFUNCTION("""COMPUTED_VALUE"""),"NSE:VTL")</f>
        <v>NSE:VTL</v>
      </c>
    </row>
    <row r="247">
      <c r="A247" s="43" t="s">
        <v>417</v>
      </c>
      <c r="B247" s="55" t="s">
        <v>546</v>
      </c>
      <c r="C247" s="55" t="str">
        <f>IFERROR(__xludf.DUMMYFUNCTION("""COMPUTED_VALUE"""),"NSE:WOCKPHARMA")</f>
        <v>NSE:WOCKPHARMA</v>
      </c>
    </row>
    <row r="248">
      <c r="A248" s="43" t="s">
        <v>418</v>
      </c>
      <c r="B248" s="55" t="s">
        <v>547</v>
      </c>
      <c r="C248" s="55" t="str">
        <f>IFERROR(__xludf.DUMMYFUNCTION("""COMPUTED_VALUE"""),"NSE:ZEEL")</f>
        <v>NSE:ZEEL</v>
      </c>
    </row>
    <row r="249">
      <c r="A249" s="43" t="s">
        <v>419</v>
      </c>
      <c r="B249" s="55" t="s">
        <v>548</v>
      </c>
      <c r="C249" s="55" t="str">
        <f>IFERROR(__xludf.DUMMYFUNCTION("""COMPUTED_VALUE"""),"NSE:ZENSARTECH")</f>
        <v>NSE:ZENSARTECH</v>
      </c>
    </row>
    <row r="250">
      <c r="A250" s="43" t="s">
        <v>420</v>
      </c>
      <c r="B250" s="55" t="s">
        <v>293</v>
      </c>
      <c r="C250" s="55"/>
    </row>
    <row r="251">
      <c r="A251" s="43" t="s">
        <v>421</v>
      </c>
      <c r="B251" s="55" t="s">
        <v>549</v>
      </c>
      <c r="C251" s="55"/>
    </row>
    <row r="252">
      <c r="B252" s="55" t="s">
        <v>356</v>
      </c>
      <c r="C252" s="55"/>
    </row>
    <row r="253">
      <c r="B253" s="55" t="s">
        <v>138</v>
      </c>
      <c r="C253" s="55"/>
    </row>
    <row r="254">
      <c r="B254" s="55" t="s">
        <v>550</v>
      </c>
      <c r="C254" s="55"/>
    </row>
    <row r="255">
      <c r="B255" s="55" t="s">
        <v>332</v>
      </c>
      <c r="C255" s="55"/>
    </row>
    <row r="256">
      <c r="B256" s="55" t="s">
        <v>551</v>
      </c>
      <c r="C256" s="55"/>
    </row>
    <row r="257">
      <c r="B257" s="55" t="s">
        <v>552</v>
      </c>
      <c r="C257" s="55"/>
    </row>
    <row r="258">
      <c r="B258" s="55" t="s">
        <v>553</v>
      </c>
      <c r="C258" s="55"/>
    </row>
    <row r="259">
      <c r="B259" s="55" t="s">
        <v>278</v>
      </c>
      <c r="C259" s="55"/>
    </row>
    <row r="260">
      <c r="B260" s="55" t="s">
        <v>353</v>
      </c>
      <c r="C260" s="55"/>
    </row>
    <row r="261">
      <c r="B261" s="55" t="s">
        <v>244</v>
      </c>
      <c r="C261" s="55"/>
    </row>
    <row r="262">
      <c r="B262" s="55" t="s">
        <v>133</v>
      </c>
      <c r="C262" s="55"/>
    </row>
    <row r="263">
      <c r="B263" s="55" t="s">
        <v>283</v>
      </c>
      <c r="C263" s="55"/>
    </row>
    <row r="264">
      <c r="B264" s="55" t="s">
        <v>554</v>
      </c>
      <c r="C264" s="55"/>
    </row>
    <row r="265">
      <c r="B265" s="55" t="s">
        <v>555</v>
      </c>
      <c r="C265" s="55"/>
    </row>
    <row r="266">
      <c r="B266" s="55" t="s">
        <v>397</v>
      </c>
      <c r="C266" s="55"/>
    </row>
    <row r="267">
      <c r="B267" s="55" t="s">
        <v>556</v>
      </c>
      <c r="C267" s="55"/>
    </row>
    <row r="268">
      <c r="B268" s="55" t="s">
        <v>277</v>
      </c>
      <c r="C268" s="55"/>
    </row>
    <row r="269">
      <c r="B269" s="55" t="s">
        <v>373</v>
      </c>
      <c r="C269" s="55"/>
    </row>
    <row r="270">
      <c r="B270" s="55" t="s">
        <v>286</v>
      </c>
      <c r="C270" s="55"/>
    </row>
    <row r="271">
      <c r="B271" s="55" t="s">
        <v>342</v>
      </c>
      <c r="C271" s="55"/>
    </row>
    <row r="272">
      <c r="B272" s="55" t="s">
        <v>273</v>
      </c>
      <c r="C272" s="55"/>
    </row>
    <row r="273">
      <c r="B273" s="55" t="s">
        <v>557</v>
      </c>
      <c r="C273" s="55"/>
    </row>
    <row r="274">
      <c r="B274" s="55" t="s">
        <v>558</v>
      </c>
      <c r="C274" s="55"/>
    </row>
    <row r="275">
      <c r="B275" s="55" t="s">
        <v>172</v>
      </c>
      <c r="C275" s="55"/>
    </row>
    <row r="276">
      <c r="B276" s="55" t="s">
        <v>188</v>
      </c>
      <c r="C276" s="55"/>
    </row>
    <row r="277">
      <c r="B277" s="55" t="s">
        <v>559</v>
      </c>
      <c r="C277" s="55"/>
    </row>
    <row r="278">
      <c r="B278" s="55" t="s">
        <v>336</v>
      </c>
      <c r="C278" s="55"/>
    </row>
    <row r="279">
      <c r="B279" s="55" t="s">
        <v>560</v>
      </c>
      <c r="C279" s="55"/>
    </row>
    <row r="280">
      <c r="B280" s="55" t="s">
        <v>561</v>
      </c>
      <c r="C280" s="55"/>
    </row>
    <row r="281">
      <c r="B281" s="55" t="s">
        <v>260</v>
      </c>
      <c r="C281" s="55"/>
    </row>
    <row r="282">
      <c r="B282" s="55" t="s">
        <v>325</v>
      </c>
      <c r="C282" s="55"/>
    </row>
    <row r="283">
      <c r="B283" s="55" t="s">
        <v>360</v>
      </c>
      <c r="C283" s="55"/>
    </row>
    <row r="284">
      <c r="B284" s="55" t="s">
        <v>562</v>
      </c>
      <c r="C284" s="55"/>
    </row>
    <row r="285">
      <c r="B285" s="55" t="s">
        <v>231</v>
      </c>
      <c r="C285" s="55"/>
    </row>
    <row r="286">
      <c r="B286" s="55" t="s">
        <v>389</v>
      </c>
      <c r="C286" s="55"/>
    </row>
    <row r="287">
      <c r="B287" s="55" t="s">
        <v>563</v>
      </c>
      <c r="C287" s="55"/>
    </row>
    <row r="288">
      <c r="B288" s="55" t="s">
        <v>564</v>
      </c>
      <c r="C288" s="55"/>
    </row>
    <row r="289">
      <c r="B289" s="55" t="s">
        <v>565</v>
      </c>
      <c r="C289" s="55"/>
    </row>
    <row r="290">
      <c r="B290" s="55" t="s">
        <v>335</v>
      </c>
      <c r="C290" s="55"/>
    </row>
    <row r="291">
      <c r="B291" s="55" t="s">
        <v>566</v>
      </c>
      <c r="C291" s="55"/>
    </row>
    <row r="292">
      <c r="B292" s="55" t="s">
        <v>567</v>
      </c>
      <c r="C292" s="55"/>
    </row>
    <row r="293">
      <c r="B293" s="55" t="s">
        <v>321</v>
      </c>
      <c r="C293" s="55"/>
    </row>
    <row r="294">
      <c r="B294" s="55" t="s">
        <v>568</v>
      </c>
      <c r="C294" s="55"/>
    </row>
    <row r="295">
      <c r="B295" s="55" t="s">
        <v>569</v>
      </c>
      <c r="C295" s="55"/>
    </row>
    <row r="296">
      <c r="B296" s="55" t="s">
        <v>570</v>
      </c>
      <c r="C296" s="55"/>
    </row>
    <row r="297">
      <c r="B297" s="55" t="s">
        <v>388</v>
      </c>
      <c r="C297" s="55"/>
    </row>
    <row r="298">
      <c r="B298" s="55" t="s">
        <v>383</v>
      </c>
      <c r="C298" s="55"/>
    </row>
    <row r="299">
      <c r="B299" s="55" t="s">
        <v>571</v>
      </c>
      <c r="C299" s="55"/>
    </row>
    <row r="300">
      <c r="B300" s="55" t="s">
        <v>572</v>
      </c>
      <c r="C300" s="55"/>
    </row>
    <row r="301">
      <c r="B301" s="55" t="s">
        <v>193</v>
      </c>
      <c r="C301" s="55"/>
    </row>
    <row r="302">
      <c r="B302" s="55" t="s">
        <v>186</v>
      </c>
      <c r="C302" s="55"/>
    </row>
    <row r="303">
      <c r="B303" s="55" t="s">
        <v>573</v>
      </c>
      <c r="C303" s="55"/>
    </row>
    <row r="304">
      <c r="B304" s="55" t="s">
        <v>574</v>
      </c>
      <c r="C304" s="55"/>
    </row>
    <row r="305">
      <c r="B305" s="55" t="s">
        <v>210</v>
      </c>
      <c r="C305" s="55"/>
    </row>
    <row r="306">
      <c r="B306" s="55" t="s">
        <v>575</v>
      </c>
      <c r="C306" s="55"/>
    </row>
    <row r="307">
      <c r="B307" s="55" t="s">
        <v>576</v>
      </c>
      <c r="C307" s="55"/>
    </row>
    <row r="308">
      <c r="B308" s="55" t="s">
        <v>577</v>
      </c>
      <c r="C308" s="55"/>
    </row>
    <row r="309">
      <c r="B309" s="55" t="s">
        <v>233</v>
      </c>
      <c r="C309" s="55"/>
    </row>
    <row r="310">
      <c r="B310" s="55" t="s">
        <v>212</v>
      </c>
      <c r="C310" s="55"/>
    </row>
    <row r="311">
      <c r="B311" s="55" t="s">
        <v>319</v>
      </c>
      <c r="C311" s="55"/>
    </row>
    <row r="312">
      <c r="B312" s="55" t="s">
        <v>578</v>
      </c>
      <c r="C312" s="55"/>
    </row>
    <row r="313">
      <c r="B313" s="55" t="s">
        <v>302</v>
      </c>
      <c r="C313" s="55"/>
    </row>
    <row r="314">
      <c r="B314" s="55" t="s">
        <v>287</v>
      </c>
      <c r="C314" s="55"/>
    </row>
    <row r="315">
      <c r="B315" s="55" t="s">
        <v>579</v>
      </c>
      <c r="C315" s="55"/>
    </row>
    <row r="316">
      <c r="B316" s="55" t="s">
        <v>403</v>
      </c>
      <c r="C316" s="55"/>
    </row>
    <row r="317">
      <c r="B317" s="55" t="s">
        <v>580</v>
      </c>
      <c r="C317" s="55"/>
    </row>
    <row r="318">
      <c r="B318" s="55" t="s">
        <v>323</v>
      </c>
      <c r="C318" s="55"/>
    </row>
    <row r="319">
      <c r="B319" s="55" t="s">
        <v>344</v>
      </c>
      <c r="C319" s="55"/>
    </row>
    <row r="320">
      <c r="B320" s="55" t="s">
        <v>581</v>
      </c>
      <c r="C320" s="55"/>
    </row>
    <row r="321">
      <c r="B321" s="55" t="s">
        <v>139</v>
      </c>
      <c r="C321" s="55"/>
    </row>
    <row r="322">
      <c r="B322" s="55" t="s">
        <v>195</v>
      </c>
      <c r="C322" s="55"/>
    </row>
    <row r="323">
      <c r="B323" s="55" t="s">
        <v>199</v>
      </c>
      <c r="C323" s="55"/>
    </row>
    <row r="324">
      <c r="B324" s="55" t="s">
        <v>329</v>
      </c>
      <c r="C324" s="55"/>
    </row>
    <row r="325">
      <c r="B325" s="55" t="s">
        <v>582</v>
      </c>
      <c r="C325" s="55"/>
    </row>
    <row r="326">
      <c r="B326" s="55" t="s">
        <v>583</v>
      </c>
      <c r="C326" s="55"/>
    </row>
    <row r="327">
      <c r="B327" s="55" t="s">
        <v>584</v>
      </c>
      <c r="C327" s="55"/>
    </row>
    <row r="328">
      <c r="B328" s="55" t="s">
        <v>585</v>
      </c>
      <c r="C328" s="55"/>
    </row>
    <row r="329">
      <c r="B329" s="55" t="s">
        <v>586</v>
      </c>
      <c r="C329" s="55"/>
    </row>
    <row r="330">
      <c r="B330" s="55" t="s">
        <v>587</v>
      </c>
      <c r="C330" s="55"/>
    </row>
    <row r="331">
      <c r="B331" s="55" t="s">
        <v>588</v>
      </c>
      <c r="C331" s="55"/>
    </row>
    <row r="332">
      <c r="B332" s="55" t="s">
        <v>589</v>
      </c>
      <c r="C332" s="55"/>
    </row>
    <row r="333">
      <c r="B333" s="55" t="s">
        <v>590</v>
      </c>
      <c r="C333" s="55"/>
    </row>
    <row r="334">
      <c r="B334" s="55" t="s">
        <v>317</v>
      </c>
      <c r="C334" s="55"/>
    </row>
    <row r="335">
      <c r="B335" s="55" t="s">
        <v>591</v>
      </c>
      <c r="C335" s="55"/>
    </row>
    <row r="336">
      <c r="B336" s="55" t="s">
        <v>592</v>
      </c>
      <c r="C336" s="55"/>
    </row>
    <row r="337">
      <c r="B337" s="55" t="s">
        <v>593</v>
      </c>
      <c r="C337" s="55"/>
    </row>
    <row r="338">
      <c r="B338" s="55" t="s">
        <v>201</v>
      </c>
      <c r="C338" s="55"/>
    </row>
    <row r="339">
      <c r="B339" s="55" t="s">
        <v>333</v>
      </c>
      <c r="C339" s="55"/>
    </row>
    <row r="340">
      <c r="B340" s="55" t="s">
        <v>242</v>
      </c>
      <c r="C340" s="55"/>
    </row>
    <row r="341">
      <c r="B341" s="55" t="s">
        <v>594</v>
      </c>
      <c r="C341" s="55"/>
    </row>
    <row r="342">
      <c r="B342" s="55" t="s">
        <v>595</v>
      </c>
      <c r="C342" s="55"/>
    </row>
    <row r="343">
      <c r="B343" s="55" t="s">
        <v>378</v>
      </c>
      <c r="C343" s="55"/>
    </row>
    <row r="344">
      <c r="B344" s="55" t="s">
        <v>596</v>
      </c>
      <c r="C344" s="55"/>
    </row>
    <row r="345">
      <c r="B345" s="55" t="s">
        <v>597</v>
      </c>
      <c r="C345" s="55"/>
    </row>
    <row r="346">
      <c r="B346" s="55" t="s">
        <v>362</v>
      </c>
      <c r="C346" s="55"/>
    </row>
    <row r="347">
      <c r="B347" s="55" t="s">
        <v>598</v>
      </c>
      <c r="C347" s="55"/>
    </row>
    <row r="348">
      <c r="B348" s="55" t="s">
        <v>215</v>
      </c>
      <c r="C348" s="55"/>
    </row>
    <row r="349">
      <c r="B349" s="55" t="s">
        <v>415</v>
      </c>
      <c r="C349" s="55"/>
    </row>
    <row r="350">
      <c r="B350" s="55" t="s">
        <v>599</v>
      </c>
      <c r="C350" s="55"/>
    </row>
    <row r="351">
      <c r="B351" s="55" t="s">
        <v>301</v>
      </c>
      <c r="C351" s="55"/>
    </row>
    <row r="352">
      <c r="B352" s="55" t="s">
        <v>338</v>
      </c>
      <c r="C352" s="55"/>
    </row>
    <row r="353">
      <c r="B353" s="55" t="s">
        <v>600</v>
      </c>
      <c r="C353" s="55"/>
    </row>
    <row r="354">
      <c r="B354" s="55" t="s">
        <v>601</v>
      </c>
      <c r="C354" s="55"/>
    </row>
    <row r="355">
      <c r="B355" s="55" t="s">
        <v>352</v>
      </c>
      <c r="C355" s="55"/>
    </row>
    <row r="356">
      <c r="B356" s="55" t="s">
        <v>602</v>
      </c>
      <c r="C356" s="55"/>
    </row>
    <row r="357">
      <c r="B357" s="55" t="s">
        <v>603</v>
      </c>
      <c r="C357" s="55"/>
    </row>
    <row r="358">
      <c r="B358" s="55" t="s">
        <v>377</v>
      </c>
      <c r="C358" s="55"/>
    </row>
    <row r="359">
      <c r="B359" s="55" t="s">
        <v>604</v>
      </c>
      <c r="C359" s="55"/>
    </row>
    <row r="360">
      <c r="B360" s="55" t="s">
        <v>367</v>
      </c>
      <c r="C360" s="55"/>
    </row>
    <row r="361">
      <c r="B361" s="55" t="s">
        <v>605</v>
      </c>
      <c r="C361" s="55"/>
    </row>
    <row r="362">
      <c r="B362" s="55" t="s">
        <v>606</v>
      </c>
      <c r="C362" s="55"/>
    </row>
    <row r="363">
      <c r="B363" s="55" t="s">
        <v>308</v>
      </c>
      <c r="C363" s="55"/>
    </row>
    <row r="364">
      <c r="B364" s="55" t="s">
        <v>607</v>
      </c>
      <c r="C364" s="55"/>
    </row>
    <row r="365">
      <c r="B365" s="55" t="s">
        <v>161</v>
      </c>
      <c r="C365" s="55"/>
    </row>
    <row r="366">
      <c r="B366" s="55" t="s">
        <v>123</v>
      </c>
      <c r="C366" s="55"/>
    </row>
    <row r="367">
      <c r="B367" s="55" t="s">
        <v>608</v>
      </c>
      <c r="C367" s="55"/>
    </row>
    <row r="368">
      <c r="B368" s="55" t="s">
        <v>609</v>
      </c>
      <c r="C368" s="55"/>
    </row>
    <row r="369">
      <c r="B369" s="55" t="s">
        <v>379</v>
      </c>
      <c r="C369" s="55"/>
    </row>
    <row r="370">
      <c r="B370" s="55" t="s">
        <v>610</v>
      </c>
      <c r="C370" s="55"/>
    </row>
    <row r="371">
      <c r="B371" s="55" t="s">
        <v>229</v>
      </c>
      <c r="C371" s="55"/>
    </row>
    <row r="372">
      <c r="B372" s="55" t="s">
        <v>196</v>
      </c>
      <c r="C372" s="55"/>
    </row>
    <row r="373">
      <c r="B373" s="55" t="s">
        <v>316</v>
      </c>
      <c r="C373" s="55"/>
    </row>
    <row r="374">
      <c r="B374" s="55" t="s">
        <v>149</v>
      </c>
      <c r="C374" s="55"/>
    </row>
    <row r="375">
      <c r="B375" s="55" t="s">
        <v>243</v>
      </c>
      <c r="C375" s="55"/>
    </row>
    <row r="376">
      <c r="B376" s="55" t="s">
        <v>218</v>
      </c>
      <c r="C376" s="55"/>
    </row>
    <row r="377">
      <c r="B377" s="55" t="s">
        <v>310</v>
      </c>
      <c r="C377" s="55"/>
    </row>
    <row r="378">
      <c r="B378" s="55" t="s">
        <v>387</v>
      </c>
      <c r="C378" s="55"/>
    </row>
    <row r="379">
      <c r="B379" s="55" t="s">
        <v>205</v>
      </c>
      <c r="C379" s="55"/>
    </row>
    <row r="380">
      <c r="B380" s="55" t="s">
        <v>611</v>
      </c>
      <c r="C380" s="55"/>
    </row>
    <row r="381">
      <c r="B381" s="55" t="s">
        <v>234</v>
      </c>
      <c r="C381" s="55"/>
    </row>
    <row r="382">
      <c r="B382" s="55" t="s">
        <v>612</v>
      </c>
      <c r="C382" s="55"/>
    </row>
    <row r="383">
      <c r="B383" s="55" t="s">
        <v>304</v>
      </c>
      <c r="C383" s="55"/>
    </row>
    <row r="384">
      <c r="B384" s="55" t="s">
        <v>613</v>
      </c>
      <c r="C384" s="55"/>
    </row>
    <row r="385">
      <c r="B385" s="55" t="s">
        <v>614</v>
      </c>
      <c r="C385" s="55"/>
    </row>
    <row r="386">
      <c r="B386" s="55" t="s">
        <v>393</v>
      </c>
      <c r="C386" s="55"/>
    </row>
    <row r="387">
      <c r="B387" s="55" t="s">
        <v>407</v>
      </c>
      <c r="C387" s="55"/>
    </row>
    <row r="388">
      <c r="B388" s="55" t="s">
        <v>363</v>
      </c>
      <c r="C388" s="55"/>
    </row>
    <row r="389">
      <c r="B389" s="55" t="s">
        <v>144</v>
      </c>
      <c r="C389" s="55"/>
    </row>
    <row r="390">
      <c r="B390" s="55" t="s">
        <v>615</v>
      </c>
      <c r="C390" s="55"/>
    </row>
    <row r="391">
      <c r="B391" s="55" t="s">
        <v>616</v>
      </c>
      <c r="C391" s="55"/>
    </row>
    <row r="392">
      <c r="B392" s="55" t="s">
        <v>617</v>
      </c>
      <c r="C392" s="55"/>
    </row>
    <row r="393">
      <c r="B393" s="55" t="s">
        <v>235</v>
      </c>
      <c r="C393" s="55"/>
    </row>
    <row r="394">
      <c r="B394" s="55" t="s">
        <v>259</v>
      </c>
      <c r="C394" s="55"/>
    </row>
    <row r="395">
      <c r="B395" s="55" t="s">
        <v>249</v>
      </c>
      <c r="C395" s="55"/>
    </row>
    <row r="396">
      <c r="B396" s="55" t="s">
        <v>618</v>
      </c>
      <c r="C396" s="55"/>
    </row>
    <row r="397">
      <c r="B397" s="55" t="s">
        <v>300</v>
      </c>
      <c r="C397" s="55"/>
    </row>
    <row r="398">
      <c r="B398" s="55" t="s">
        <v>412</v>
      </c>
      <c r="C398" s="55"/>
    </row>
    <row r="399">
      <c r="B399" s="55" t="s">
        <v>322</v>
      </c>
      <c r="C399" s="55"/>
    </row>
    <row r="400">
      <c r="B400" s="55" t="s">
        <v>619</v>
      </c>
      <c r="C400" s="55"/>
    </row>
    <row r="401">
      <c r="B401" s="55" t="s">
        <v>290</v>
      </c>
      <c r="C401" s="55"/>
    </row>
    <row r="402">
      <c r="B402" s="55" t="s">
        <v>620</v>
      </c>
      <c r="C402" s="55"/>
    </row>
    <row r="403">
      <c r="B403" s="55" t="s">
        <v>420</v>
      </c>
      <c r="C403" s="55"/>
    </row>
    <row r="404">
      <c r="B404" s="55" t="s">
        <v>621</v>
      </c>
      <c r="C404" s="55"/>
    </row>
    <row r="405">
      <c r="B405" s="55" t="s">
        <v>622</v>
      </c>
      <c r="C405" s="55"/>
    </row>
    <row r="406">
      <c r="B406" s="55" t="s">
        <v>183</v>
      </c>
      <c r="C406" s="55"/>
    </row>
    <row r="407">
      <c r="B407" s="55" t="s">
        <v>386</v>
      </c>
      <c r="C407" s="55"/>
    </row>
    <row r="408">
      <c r="B408" s="55" t="s">
        <v>364</v>
      </c>
      <c r="C408" s="55"/>
    </row>
    <row r="409">
      <c r="B409" s="55" t="s">
        <v>207</v>
      </c>
      <c r="C409" s="55"/>
    </row>
    <row r="410">
      <c r="B410" s="55" t="s">
        <v>623</v>
      </c>
      <c r="C410" s="55"/>
    </row>
    <row r="411">
      <c r="B411" s="55" t="s">
        <v>624</v>
      </c>
      <c r="C411" s="55"/>
    </row>
    <row r="412">
      <c r="B412" s="55" t="s">
        <v>625</v>
      </c>
      <c r="C412" s="55"/>
    </row>
    <row r="413">
      <c r="B413" s="55" t="s">
        <v>178</v>
      </c>
      <c r="C413" s="55"/>
    </row>
    <row r="414">
      <c r="B414" s="55" t="s">
        <v>289</v>
      </c>
      <c r="C414" s="55"/>
    </row>
    <row r="415">
      <c r="B415" s="55" t="s">
        <v>626</v>
      </c>
      <c r="C415" s="55"/>
    </row>
    <row r="416">
      <c r="B416" s="55" t="s">
        <v>627</v>
      </c>
      <c r="C416" s="55"/>
    </row>
    <row r="417">
      <c r="B417" s="55" t="s">
        <v>191</v>
      </c>
      <c r="C417" s="55"/>
    </row>
    <row r="418">
      <c r="B418" s="55" t="s">
        <v>628</v>
      </c>
      <c r="C418" s="55"/>
    </row>
    <row r="419">
      <c r="B419" s="55" t="s">
        <v>629</v>
      </c>
      <c r="C419" s="55"/>
    </row>
    <row r="420">
      <c r="B420" s="55" t="s">
        <v>330</v>
      </c>
      <c r="C420" s="55"/>
    </row>
    <row r="421">
      <c r="B421" s="55" t="s">
        <v>630</v>
      </c>
      <c r="C421" s="55"/>
    </row>
    <row r="422">
      <c r="B422" s="55" t="s">
        <v>631</v>
      </c>
      <c r="C422" s="55"/>
    </row>
    <row r="423">
      <c r="B423" s="55" t="s">
        <v>194</v>
      </c>
      <c r="C423" s="55"/>
    </row>
    <row r="424">
      <c r="B424" s="55" t="s">
        <v>632</v>
      </c>
      <c r="C424" s="55"/>
    </row>
    <row r="425">
      <c r="B425" s="55" t="s">
        <v>633</v>
      </c>
      <c r="C425" s="55"/>
    </row>
    <row r="426">
      <c r="B426" s="55" t="s">
        <v>372</v>
      </c>
      <c r="C426" s="55"/>
    </row>
    <row r="427">
      <c r="B427" s="55" t="s">
        <v>399</v>
      </c>
      <c r="C427" s="55"/>
    </row>
    <row r="428">
      <c r="B428" s="55" t="s">
        <v>634</v>
      </c>
      <c r="C428" s="55"/>
    </row>
    <row r="429">
      <c r="B429" s="55" t="s">
        <v>635</v>
      </c>
      <c r="C429" s="55"/>
    </row>
    <row r="430">
      <c r="B430" s="55" t="s">
        <v>636</v>
      </c>
      <c r="C430" s="55"/>
    </row>
    <row r="431">
      <c r="B431" s="55" t="s">
        <v>637</v>
      </c>
      <c r="C431" s="55"/>
    </row>
    <row r="432">
      <c r="B432" s="55" t="s">
        <v>638</v>
      </c>
      <c r="C432" s="55"/>
    </row>
    <row r="433">
      <c r="B433" s="55" t="s">
        <v>376</v>
      </c>
      <c r="C433" s="55"/>
    </row>
    <row r="434">
      <c r="B434" s="55" t="s">
        <v>639</v>
      </c>
      <c r="C434" s="55"/>
    </row>
    <row r="435">
      <c r="B435" s="55" t="s">
        <v>640</v>
      </c>
      <c r="C435" s="55"/>
    </row>
    <row r="436">
      <c r="B436" s="55" t="s">
        <v>305</v>
      </c>
      <c r="C436" s="55"/>
    </row>
    <row r="437">
      <c r="B437" s="55" t="s">
        <v>641</v>
      </c>
      <c r="C437" s="55"/>
    </row>
    <row r="438">
      <c r="B438" s="55" t="s">
        <v>240</v>
      </c>
      <c r="C438" s="55"/>
    </row>
    <row r="439">
      <c r="B439" s="55" t="s">
        <v>642</v>
      </c>
      <c r="C439" s="55"/>
    </row>
    <row r="440">
      <c r="B440" s="55" t="s">
        <v>226</v>
      </c>
      <c r="C440" s="55"/>
    </row>
    <row r="441">
      <c r="B441" s="55" t="s">
        <v>643</v>
      </c>
      <c r="C441" s="55"/>
    </row>
    <row r="442">
      <c r="B442" s="55" t="s">
        <v>136</v>
      </c>
      <c r="C442" s="55"/>
    </row>
    <row r="443">
      <c r="B443" s="55" t="s">
        <v>326</v>
      </c>
      <c r="C443" s="55"/>
    </row>
    <row r="444">
      <c r="B444" s="55" t="s">
        <v>380</v>
      </c>
      <c r="C444" s="55"/>
    </row>
    <row r="445">
      <c r="B445" s="55" t="s">
        <v>130</v>
      </c>
      <c r="C445" s="55"/>
    </row>
    <row r="446">
      <c r="B446" s="55" t="s">
        <v>644</v>
      </c>
      <c r="C446" s="55"/>
    </row>
    <row r="447">
      <c r="B447" s="55" t="s">
        <v>266</v>
      </c>
      <c r="C447" s="55"/>
    </row>
    <row r="448">
      <c r="B448" s="55" t="s">
        <v>645</v>
      </c>
      <c r="C448" s="55"/>
    </row>
    <row r="449">
      <c r="B449" s="55" t="s">
        <v>400</v>
      </c>
      <c r="C449" s="55"/>
    </row>
    <row r="450">
      <c r="B450" s="55" t="s">
        <v>417</v>
      </c>
      <c r="C450" s="55"/>
    </row>
    <row r="451">
      <c r="B451" s="55" t="s">
        <v>646</v>
      </c>
      <c r="C451" s="55"/>
    </row>
    <row r="452">
      <c r="B452" s="55" t="s">
        <v>281</v>
      </c>
      <c r="C452" s="55"/>
    </row>
    <row r="453">
      <c r="B453" s="55" t="s">
        <v>171</v>
      </c>
      <c r="C453" s="55"/>
    </row>
    <row r="454">
      <c r="B454" s="55" t="s">
        <v>647</v>
      </c>
      <c r="C454" s="55"/>
    </row>
    <row r="455">
      <c r="B455" s="55" t="s">
        <v>371</v>
      </c>
      <c r="C455" s="55"/>
    </row>
    <row r="456">
      <c r="B456" s="55" t="s">
        <v>222</v>
      </c>
      <c r="C456" s="55"/>
    </row>
    <row r="457">
      <c r="B457" s="55" t="s">
        <v>648</v>
      </c>
      <c r="C457" s="55"/>
    </row>
    <row r="458">
      <c r="B458" s="55" t="s">
        <v>649</v>
      </c>
      <c r="C458" s="55"/>
    </row>
    <row r="459">
      <c r="B459" s="55" t="s">
        <v>181</v>
      </c>
      <c r="C459" s="55"/>
    </row>
    <row r="460">
      <c r="B460" s="55" t="s">
        <v>120</v>
      </c>
      <c r="C460" s="55"/>
    </row>
    <row r="461">
      <c r="B461" s="55" t="s">
        <v>251</v>
      </c>
      <c r="C461" s="55"/>
    </row>
    <row r="462">
      <c r="B462" s="55" t="s">
        <v>174</v>
      </c>
      <c r="C462" s="55"/>
    </row>
    <row r="463">
      <c r="B463" s="55" t="s">
        <v>650</v>
      </c>
      <c r="C463" s="55"/>
    </row>
    <row r="464">
      <c r="B464" s="55" t="s">
        <v>651</v>
      </c>
      <c r="C464" s="55"/>
    </row>
    <row r="465">
      <c r="B465" s="55" t="s">
        <v>652</v>
      </c>
      <c r="C465" s="55"/>
    </row>
    <row r="466">
      <c r="B466" s="55" t="s">
        <v>291</v>
      </c>
      <c r="C466" s="55"/>
    </row>
    <row r="467">
      <c r="B467" s="55" t="s">
        <v>227</v>
      </c>
      <c r="C467" s="55"/>
    </row>
    <row r="468">
      <c r="B468" s="55" t="s">
        <v>653</v>
      </c>
      <c r="C468" s="55"/>
    </row>
    <row r="469">
      <c r="B469" s="55" t="s">
        <v>654</v>
      </c>
      <c r="C469" s="55"/>
    </row>
    <row r="470">
      <c r="B470" s="55" t="s">
        <v>421</v>
      </c>
      <c r="C470" s="55"/>
    </row>
    <row r="471">
      <c r="B471" s="55" t="s">
        <v>655</v>
      </c>
      <c r="C471" s="55"/>
    </row>
    <row r="472">
      <c r="B472" s="55" t="s">
        <v>238</v>
      </c>
      <c r="C472" s="55"/>
    </row>
    <row r="473">
      <c r="B473" s="55" t="s">
        <v>656</v>
      </c>
      <c r="C473" s="55"/>
    </row>
    <row r="474">
      <c r="B474" s="55" t="s">
        <v>253</v>
      </c>
      <c r="C474" s="55"/>
    </row>
    <row r="475">
      <c r="B475" s="55" t="s">
        <v>142</v>
      </c>
      <c r="C475" s="55"/>
    </row>
    <row r="476">
      <c r="B476" s="55" t="s">
        <v>657</v>
      </c>
      <c r="C476" s="55"/>
    </row>
    <row r="477">
      <c r="B477" s="55" t="s">
        <v>241</v>
      </c>
      <c r="C477" s="55"/>
    </row>
    <row r="478">
      <c r="B478" s="55" t="s">
        <v>189</v>
      </c>
      <c r="C478" s="55"/>
    </row>
    <row r="479">
      <c r="B479" s="55" t="s">
        <v>658</v>
      </c>
      <c r="C479" s="55"/>
    </row>
    <row r="480">
      <c r="B480" s="55" t="s">
        <v>179</v>
      </c>
      <c r="C480" s="55"/>
    </row>
    <row r="481">
      <c r="B481" s="55" t="s">
        <v>659</v>
      </c>
      <c r="C481" s="55"/>
    </row>
    <row r="482">
      <c r="B482" s="55" t="s">
        <v>660</v>
      </c>
      <c r="C482" s="55"/>
    </row>
    <row r="483">
      <c r="B483" s="55" t="s">
        <v>661</v>
      </c>
      <c r="C483" s="55"/>
    </row>
    <row r="484">
      <c r="B484" s="55" t="s">
        <v>357</v>
      </c>
      <c r="C484" s="55"/>
    </row>
    <row r="485">
      <c r="B485" s="55" t="s">
        <v>411</v>
      </c>
      <c r="C485" s="55"/>
    </row>
    <row r="486">
      <c r="B486" s="55" t="s">
        <v>369</v>
      </c>
      <c r="C486" s="55"/>
    </row>
    <row r="487">
      <c r="B487" s="55" t="s">
        <v>128</v>
      </c>
      <c r="C487" s="55"/>
    </row>
    <row r="488">
      <c r="B488" s="55" t="s">
        <v>662</v>
      </c>
      <c r="C488" s="55"/>
    </row>
    <row r="489">
      <c r="B489" s="55" t="s">
        <v>146</v>
      </c>
      <c r="C489" s="55"/>
    </row>
    <row r="490">
      <c r="B490" s="55" t="s">
        <v>663</v>
      </c>
      <c r="C490" s="55"/>
    </row>
    <row r="491">
      <c r="B491" s="55" t="s">
        <v>664</v>
      </c>
      <c r="C491" s="55"/>
    </row>
    <row r="492">
      <c r="B492" s="55" t="s">
        <v>285</v>
      </c>
      <c r="C492" s="55"/>
    </row>
    <row r="493">
      <c r="B493" s="55" t="s">
        <v>313</v>
      </c>
      <c r="C493" s="55"/>
    </row>
    <row r="494">
      <c r="B494" s="55" t="s">
        <v>665</v>
      </c>
      <c r="C494" s="55"/>
    </row>
    <row r="495">
      <c r="B495" s="55" t="s">
        <v>666</v>
      </c>
      <c r="C495" s="55"/>
    </row>
    <row r="496">
      <c r="B496" s="55" t="s">
        <v>667</v>
      </c>
      <c r="C496" s="55"/>
    </row>
    <row r="497">
      <c r="B497" s="55" t="s">
        <v>668</v>
      </c>
      <c r="C497" s="55"/>
    </row>
    <row r="498">
      <c r="B498" s="55" t="s">
        <v>669</v>
      </c>
      <c r="C498" s="55"/>
    </row>
    <row r="499">
      <c r="B499" s="55" t="s">
        <v>670</v>
      </c>
      <c r="C499" s="55"/>
    </row>
    <row r="500">
      <c r="C500" s="55"/>
    </row>
    <row r="501">
      <c r="C501" s="55"/>
    </row>
    <row r="502">
      <c r="C502" s="55"/>
    </row>
    <row r="503">
      <c r="C503" s="55"/>
    </row>
    <row r="504">
      <c r="C504" s="55"/>
    </row>
    <row r="505">
      <c r="C505" s="55"/>
    </row>
    <row r="506">
      <c r="C506" s="55"/>
    </row>
    <row r="507">
      <c r="C507" s="55"/>
    </row>
    <row r="508">
      <c r="C508" s="55"/>
    </row>
    <row r="509">
      <c r="C509" s="55"/>
    </row>
    <row r="510">
      <c r="C510" s="55"/>
    </row>
    <row r="511">
      <c r="C511" s="55"/>
    </row>
    <row r="512">
      <c r="C512" s="55"/>
    </row>
    <row r="513">
      <c r="C513" s="55"/>
    </row>
    <row r="514">
      <c r="C514" s="55"/>
    </row>
    <row r="515">
      <c r="C515" s="55"/>
    </row>
    <row r="516">
      <c r="C516" s="55"/>
    </row>
    <row r="517">
      <c r="C517" s="55"/>
    </row>
    <row r="518">
      <c r="C518" s="55"/>
    </row>
    <row r="519">
      <c r="C519" s="55"/>
    </row>
    <row r="520">
      <c r="C520" s="55"/>
    </row>
    <row r="521">
      <c r="C521" s="55"/>
    </row>
    <row r="522">
      <c r="C522" s="55"/>
    </row>
    <row r="523">
      <c r="C523" s="55"/>
    </row>
    <row r="524">
      <c r="C524" s="55"/>
    </row>
    <row r="525">
      <c r="C525" s="55"/>
    </row>
    <row r="526">
      <c r="C526" s="55"/>
    </row>
    <row r="527">
      <c r="C527" s="55"/>
    </row>
    <row r="528">
      <c r="C528" s="55"/>
    </row>
    <row r="529">
      <c r="C529" s="55"/>
    </row>
    <row r="530">
      <c r="C530" s="55"/>
    </row>
    <row r="531">
      <c r="C531" s="55"/>
    </row>
    <row r="532">
      <c r="C532" s="55"/>
    </row>
    <row r="533">
      <c r="C533" s="55"/>
    </row>
    <row r="534">
      <c r="C534" s="55"/>
    </row>
    <row r="535">
      <c r="C535" s="55"/>
    </row>
    <row r="536">
      <c r="C536" s="55"/>
    </row>
    <row r="537">
      <c r="C537" s="55"/>
    </row>
    <row r="538">
      <c r="C538" s="55"/>
    </row>
    <row r="539">
      <c r="C539" s="55"/>
    </row>
    <row r="540">
      <c r="C540" s="55"/>
    </row>
    <row r="541">
      <c r="C541" s="55"/>
    </row>
    <row r="542">
      <c r="C542" s="55"/>
    </row>
    <row r="543">
      <c r="C543" s="55"/>
    </row>
    <row r="544">
      <c r="C544" s="55"/>
    </row>
    <row r="545">
      <c r="C545" s="55"/>
    </row>
    <row r="546">
      <c r="C546" s="55"/>
    </row>
    <row r="547">
      <c r="C547" s="55"/>
    </row>
    <row r="548">
      <c r="C548" s="55"/>
    </row>
    <row r="549">
      <c r="C549" s="55"/>
    </row>
    <row r="550">
      <c r="C550" s="55"/>
    </row>
    <row r="551">
      <c r="C551" s="55"/>
    </row>
    <row r="552">
      <c r="C552" s="55"/>
    </row>
    <row r="553">
      <c r="C553" s="55"/>
    </row>
    <row r="554">
      <c r="C554" s="55"/>
    </row>
    <row r="555">
      <c r="C555" s="55"/>
    </row>
    <row r="556">
      <c r="C556" s="55"/>
    </row>
    <row r="557">
      <c r="C557" s="55"/>
    </row>
    <row r="558">
      <c r="C558" s="55"/>
    </row>
    <row r="559">
      <c r="C559" s="55"/>
    </row>
    <row r="560">
      <c r="C560" s="55"/>
    </row>
    <row r="561">
      <c r="C561" s="55"/>
    </row>
    <row r="562">
      <c r="C562" s="55"/>
    </row>
    <row r="563">
      <c r="C563" s="55"/>
    </row>
    <row r="564">
      <c r="C564" s="55"/>
    </row>
    <row r="565">
      <c r="C565" s="55"/>
    </row>
    <row r="566">
      <c r="C566" s="55"/>
    </row>
    <row r="567">
      <c r="C567" s="55"/>
    </row>
    <row r="568">
      <c r="C568" s="55"/>
    </row>
    <row r="569">
      <c r="C569" s="55"/>
    </row>
    <row r="570">
      <c r="C570" s="55"/>
    </row>
    <row r="571">
      <c r="C571" s="55"/>
    </row>
    <row r="572">
      <c r="C572" s="55"/>
    </row>
    <row r="573">
      <c r="C573" s="55"/>
    </row>
    <row r="574">
      <c r="C574" s="55"/>
    </row>
    <row r="575">
      <c r="C575" s="55"/>
    </row>
    <row r="576">
      <c r="C576" s="55"/>
    </row>
    <row r="577">
      <c r="C577" s="55"/>
    </row>
    <row r="578">
      <c r="C578" s="55"/>
    </row>
    <row r="579">
      <c r="C579" s="55"/>
    </row>
    <row r="580">
      <c r="C580" s="55"/>
    </row>
    <row r="581">
      <c r="C581" s="55"/>
    </row>
    <row r="582">
      <c r="C582" s="55"/>
    </row>
    <row r="583">
      <c r="C583" s="55"/>
    </row>
    <row r="584">
      <c r="C584" s="55"/>
    </row>
    <row r="585">
      <c r="C585" s="55"/>
    </row>
    <row r="586">
      <c r="C586" s="55"/>
    </row>
    <row r="587">
      <c r="C587" s="55"/>
    </row>
    <row r="588">
      <c r="C588" s="55"/>
    </row>
    <row r="589">
      <c r="C589" s="55"/>
    </row>
    <row r="590">
      <c r="C590" s="55"/>
    </row>
    <row r="591">
      <c r="C591" s="55"/>
    </row>
    <row r="592">
      <c r="C592" s="55"/>
    </row>
    <row r="593">
      <c r="C593" s="55"/>
    </row>
    <row r="594">
      <c r="C594" s="55"/>
    </row>
    <row r="595">
      <c r="C595" s="55"/>
    </row>
    <row r="596">
      <c r="C596" s="55"/>
    </row>
    <row r="597">
      <c r="C597" s="55"/>
    </row>
    <row r="598">
      <c r="C598" s="55"/>
    </row>
    <row r="599">
      <c r="C599" s="55"/>
    </row>
    <row r="600">
      <c r="C600" s="55"/>
    </row>
    <row r="601">
      <c r="C601" s="55"/>
    </row>
    <row r="602">
      <c r="C602" s="55"/>
    </row>
    <row r="603">
      <c r="C603" s="55"/>
    </row>
    <row r="604">
      <c r="C604" s="55"/>
    </row>
    <row r="605">
      <c r="C605" s="55"/>
    </row>
    <row r="606">
      <c r="C606" s="55"/>
    </row>
    <row r="607">
      <c r="C607" s="55"/>
    </row>
    <row r="608">
      <c r="C608" s="55"/>
    </row>
    <row r="609">
      <c r="C609" s="55"/>
    </row>
    <row r="610">
      <c r="C610" s="55"/>
    </row>
    <row r="611">
      <c r="C611" s="55"/>
    </row>
    <row r="612">
      <c r="C612" s="55"/>
    </row>
    <row r="613">
      <c r="C613" s="55"/>
    </row>
    <row r="614">
      <c r="C614" s="55"/>
    </row>
    <row r="615">
      <c r="C615" s="55"/>
    </row>
    <row r="616">
      <c r="C616" s="55"/>
    </row>
    <row r="617">
      <c r="C617" s="55"/>
    </row>
    <row r="618">
      <c r="C618" s="55"/>
    </row>
    <row r="619">
      <c r="C619" s="55"/>
    </row>
    <row r="620">
      <c r="C620" s="55"/>
    </row>
    <row r="621">
      <c r="C621" s="55"/>
    </row>
    <row r="622">
      <c r="C622" s="55"/>
    </row>
    <row r="623">
      <c r="C623" s="55"/>
    </row>
    <row r="624">
      <c r="C624" s="55"/>
    </row>
    <row r="625">
      <c r="C625" s="55"/>
    </row>
    <row r="626">
      <c r="C626" s="55"/>
    </row>
    <row r="627">
      <c r="C627" s="55"/>
    </row>
    <row r="628">
      <c r="C628" s="55"/>
    </row>
    <row r="629">
      <c r="C629" s="55"/>
    </row>
    <row r="630">
      <c r="C630" s="55"/>
    </row>
    <row r="631">
      <c r="C631" s="55"/>
    </row>
    <row r="632">
      <c r="C632" s="55"/>
    </row>
    <row r="633">
      <c r="C633" s="55"/>
    </row>
    <row r="634">
      <c r="C634" s="55"/>
    </row>
    <row r="635">
      <c r="C635" s="55"/>
    </row>
    <row r="636">
      <c r="C636" s="55"/>
    </row>
    <row r="637">
      <c r="C637" s="55"/>
    </row>
    <row r="638">
      <c r="C638" s="55"/>
    </row>
    <row r="639">
      <c r="C639" s="55"/>
    </row>
    <row r="640">
      <c r="C640" s="55"/>
    </row>
    <row r="641">
      <c r="C641" s="55"/>
    </row>
    <row r="642">
      <c r="C642" s="55"/>
    </row>
    <row r="643">
      <c r="C643" s="55"/>
    </row>
    <row r="644">
      <c r="C644" s="55"/>
    </row>
    <row r="645">
      <c r="C645" s="55"/>
    </row>
    <row r="646">
      <c r="C646" s="55"/>
    </row>
    <row r="647">
      <c r="C647" s="55"/>
    </row>
    <row r="648">
      <c r="C648" s="55"/>
    </row>
    <row r="649">
      <c r="C649" s="55"/>
    </row>
    <row r="650">
      <c r="C650" s="55"/>
    </row>
    <row r="651">
      <c r="C651" s="55"/>
    </row>
    <row r="652">
      <c r="C652" s="55"/>
    </row>
    <row r="653">
      <c r="C653" s="55"/>
    </row>
    <row r="654">
      <c r="C654" s="55"/>
    </row>
    <row r="655">
      <c r="C655" s="55"/>
    </row>
    <row r="656">
      <c r="C656" s="55"/>
    </row>
    <row r="657">
      <c r="C657" s="55"/>
    </row>
    <row r="658">
      <c r="C658" s="55"/>
    </row>
    <row r="659">
      <c r="C659" s="55"/>
    </row>
    <row r="660">
      <c r="C660" s="55"/>
    </row>
    <row r="661">
      <c r="C661" s="55"/>
    </row>
    <row r="662">
      <c r="C662" s="55"/>
    </row>
    <row r="663">
      <c r="C663" s="55"/>
    </row>
    <row r="664">
      <c r="C664" s="55"/>
    </row>
    <row r="665">
      <c r="C665" s="55"/>
    </row>
    <row r="666">
      <c r="C666" s="55"/>
    </row>
    <row r="667">
      <c r="C667" s="55"/>
    </row>
    <row r="668">
      <c r="C668" s="55"/>
    </row>
    <row r="669">
      <c r="C669" s="55"/>
    </row>
    <row r="670">
      <c r="C670" s="55"/>
    </row>
    <row r="671">
      <c r="C671" s="55"/>
    </row>
    <row r="672">
      <c r="C672" s="55"/>
    </row>
    <row r="673">
      <c r="C673" s="55"/>
    </row>
    <row r="674">
      <c r="C674" s="55"/>
    </row>
    <row r="675">
      <c r="C675" s="55"/>
    </row>
    <row r="676">
      <c r="C676" s="55"/>
    </row>
    <row r="677">
      <c r="C677" s="55"/>
    </row>
    <row r="678">
      <c r="C678" s="55"/>
    </row>
    <row r="679">
      <c r="C679" s="55"/>
    </row>
    <row r="680">
      <c r="C680" s="55"/>
    </row>
    <row r="681">
      <c r="C681" s="55"/>
    </row>
    <row r="682">
      <c r="C682" s="55"/>
    </row>
    <row r="683">
      <c r="C683" s="55"/>
    </row>
    <row r="684">
      <c r="C684" s="55"/>
    </row>
    <row r="685">
      <c r="C685" s="55"/>
    </row>
    <row r="686">
      <c r="C686" s="55"/>
    </row>
    <row r="687">
      <c r="C687" s="55"/>
    </row>
    <row r="688">
      <c r="C688" s="55"/>
    </row>
    <row r="689">
      <c r="C689" s="55"/>
    </row>
    <row r="690">
      <c r="C690" s="55"/>
    </row>
    <row r="691">
      <c r="C691" s="55"/>
    </row>
    <row r="692">
      <c r="C692" s="55"/>
    </row>
    <row r="693">
      <c r="C693" s="55"/>
    </row>
    <row r="694">
      <c r="C694" s="55"/>
    </row>
    <row r="695">
      <c r="C695" s="55"/>
    </row>
    <row r="696">
      <c r="C696" s="55"/>
    </row>
    <row r="697">
      <c r="C697" s="55"/>
    </row>
    <row r="698">
      <c r="C698" s="55"/>
    </row>
    <row r="699">
      <c r="C699" s="55"/>
    </row>
    <row r="700">
      <c r="C700" s="55"/>
    </row>
    <row r="701">
      <c r="C701" s="55"/>
    </row>
    <row r="702">
      <c r="C702" s="55"/>
    </row>
    <row r="703">
      <c r="C703" s="55"/>
    </row>
    <row r="704">
      <c r="C704" s="55"/>
    </row>
    <row r="705">
      <c r="C705" s="55"/>
    </row>
    <row r="706">
      <c r="C706" s="55"/>
    </row>
    <row r="707">
      <c r="C707" s="55"/>
    </row>
    <row r="708">
      <c r="C708" s="55"/>
    </row>
    <row r="709">
      <c r="C709" s="55"/>
    </row>
    <row r="710">
      <c r="C710" s="55"/>
    </row>
    <row r="711">
      <c r="C711" s="55"/>
    </row>
    <row r="712">
      <c r="C712" s="55"/>
    </row>
    <row r="713">
      <c r="C713" s="55"/>
    </row>
    <row r="714">
      <c r="C714" s="55"/>
    </row>
    <row r="715">
      <c r="C715" s="55"/>
    </row>
    <row r="716">
      <c r="C716" s="55"/>
    </row>
    <row r="717">
      <c r="C717" s="55"/>
    </row>
    <row r="718">
      <c r="C718" s="55"/>
    </row>
    <row r="719">
      <c r="C719" s="55"/>
    </row>
    <row r="720">
      <c r="C720" s="55"/>
    </row>
    <row r="721">
      <c r="C721" s="55"/>
    </row>
    <row r="722">
      <c r="C722" s="55"/>
    </row>
    <row r="723">
      <c r="C723" s="55"/>
    </row>
    <row r="724">
      <c r="C724" s="55"/>
    </row>
    <row r="725">
      <c r="C725" s="55"/>
    </row>
    <row r="726">
      <c r="C726" s="55"/>
    </row>
    <row r="727">
      <c r="C727" s="55"/>
    </row>
    <row r="728">
      <c r="C728" s="55"/>
    </row>
    <row r="729">
      <c r="C729" s="55"/>
    </row>
    <row r="730">
      <c r="C730" s="55"/>
    </row>
    <row r="731">
      <c r="C731" s="55"/>
    </row>
    <row r="732">
      <c r="C732" s="55"/>
    </row>
    <row r="733">
      <c r="C733" s="55"/>
    </row>
    <row r="734">
      <c r="C734" s="55"/>
    </row>
    <row r="735">
      <c r="C735" s="55"/>
    </row>
    <row r="736">
      <c r="C736" s="55"/>
    </row>
    <row r="737">
      <c r="C737" s="55"/>
    </row>
    <row r="738">
      <c r="C738" s="55"/>
    </row>
    <row r="739">
      <c r="C739" s="55"/>
    </row>
    <row r="740">
      <c r="C740" s="55"/>
    </row>
    <row r="741">
      <c r="C741" s="55"/>
    </row>
    <row r="742">
      <c r="C742" s="55"/>
    </row>
    <row r="743">
      <c r="C743" s="55"/>
    </row>
    <row r="744">
      <c r="C744" s="55"/>
    </row>
    <row r="745">
      <c r="C745" s="55"/>
    </row>
    <row r="746">
      <c r="C746" s="55"/>
    </row>
    <row r="747">
      <c r="C747" s="55"/>
    </row>
    <row r="748">
      <c r="C748" s="55"/>
    </row>
    <row r="749">
      <c r="C749" s="55"/>
    </row>
    <row r="750">
      <c r="C750" s="5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5" t="str">
        <f>IFERROR(__xludf.DUMMYFUNCTION("GOOGLEFINANCE(""NIFTY_50"",""close"",TODAY()-100,TODAY())"),"Date")</f>
        <v>Date</v>
      </c>
      <c r="B1" s="55" t="str">
        <f>IFERROR(__xludf.DUMMYFUNCTION("""COMPUTED_VALUE"""),"Close")</f>
        <v>Close</v>
      </c>
    </row>
    <row r="2">
      <c r="A2" s="56">
        <f>IFERROR(__xludf.DUMMYFUNCTION("""COMPUTED_VALUE"""),46013.64583333333)</f>
        <v>46013.64583</v>
      </c>
      <c r="B2" s="55">
        <f>IFERROR(__xludf.DUMMYFUNCTION("""COMPUTED_VALUE"""),26172.4)</f>
        <v>26172.4</v>
      </c>
    </row>
    <row r="3">
      <c r="A3" s="56">
        <f>IFERROR(__xludf.DUMMYFUNCTION("""COMPUTED_VALUE"""),46014.64583333333)</f>
        <v>46014.64583</v>
      </c>
      <c r="B3" s="55">
        <f>IFERROR(__xludf.DUMMYFUNCTION("""COMPUTED_VALUE"""),26177.15)</f>
        <v>26177.15</v>
      </c>
    </row>
    <row r="4">
      <c r="A4" s="56">
        <f>IFERROR(__xludf.DUMMYFUNCTION("""COMPUTED_VALUE"""),46015.64583333333)</f>
        <v>46015.64583</v>
      </c>
      <c r="B4" s="55">
        <f>IFERROR(__xludf.DUMMYFUNCTION("""COMPUTED_VALUE"""),26142.1)</f>
        <v>26142.1</v>
      </c>
    </row>
    <row r="5">
      <c r="A5" s="56">
        <f>IFERROR(__xludf.DUMMYFUNCTION("""COMPUTED_VALUE"""),46017.64583333333)</f>
        <v>46017.64583</v>
      </c>
      <c r="B5" s="55">
        <f>IFERROR(__xludf.DUMMYFUNCTION("""COMPUTED_VALUE"""),26042.3)</f>
        <v>26042.3</v>
      </c>
    </row>
    <row r="6">
      <c r="A6" s="56">
        <f>IFERROR(__xludf.DUMMYFUNCTION("""COMPUTED_VALUE"""),46020.64583333333)</f>
        <v>46020.64583</v>
      </c>
      <c r="B6" s="55">
        <f>IFERROR(__xludf.DUMMYFUNCTION("""COMPUTED_VALUE"""),25942.1)</f>
        <v>25942.1</v>
      </c>
    </row>
    <row r="7">
      <c r="A7" s="56">
        <f>IFERROR(__xludf.DUMMYFUNCTION("""COMPUTED_VALUE"""),46021.64583333333)</f>
        <v>46021.64583</v>
      </c>
      <c r="B7" s="55">
        <f>IFERROR(__xludf.DUMMYFUNCTION("""COMPUTED_VALUE"""),25938.85)</f>
        <v>25938.85</v>
      </c>
    </row>
    <row r="8">
      <c r="A8" s="56">
        <f>IFERROR(__xludf.DUMMYFUNCTION("""COMPUTED_VALUE"""),46022.64583333333)</f>
        <v>46022.64583</v>
      </c>
      <c r="B8" s="55">
        <f>IFERROR(__xludf.DUMMYFUNCTION("""COMPUTED_VALUE"""),26129.6)</f>
        <v>26129.6</v>
      </c>
    </row>
    <row r="9">
      <c r="A9" s="56">
        <f>IFERROR(__xludf.DUMMYFUNCTION("""COMPUTED_VALUE"""),46023.64583333333)</f>
        <v>46023.64583</v>
      </c>
      <c r="B9" s="55">
        <f>IFERROR(__xludf.DUMMYFUNCTION("""COMPUTED_VALUE"""),26146.55)</f>
        <v>26146.55</v>
      </c>
    </row>
    <row r="10">
      <c r="A10" s="56">
        <f>IFERROR(__xludf.DUMMYFUNCTION("""COMPUTED_VALUE"""),46024.64583333333)</f>
        <v>46024.64583</v>
      </c>
      <c r="B10" s="55">
        <f>IFERROR(__xludf.DUMMYFUNCTION("""COMPUTED_VALUE"""),26328.55)</f>
        <v>26328.55</v>
      </c>
    </row>
    <row r="11">
      <c r="A11" s="56">
        <f>IFERROR(__xludf.DUMMYFUNCTION("""COMPUTED_VALUE"""),46027.64583333333)</f>
        <v>46027.64583</v>
      </c>
      <c r="B11" s="55">
        <f>IFERROR(__xludf.DUMMYFUNCTION("""COMPUTED_VALUE"""),26250.3)</f>
        <v>26250.3</v>
      </c>
    </row>
    <row r="12">
      <c r="A12" s="56">
        <f>IFERROR(__xludf.DUMMYFUNCTION("""COMPUTED_VALUE"""),46028.64583333333)</f>
        <v>46028.64583</v>
      </c>
      <c r="B12" s="55">
        <f>IFERROR(__xludf.DUMMYFUNCTION("""COMPUTED_VALUE"""),26178.7)</f>
        <v>26178.7</v>
      </c>
    </row>
    <row r="13">
      <c r="A13" s="56">
        <f>IFERROR(__xludf.DUMMYFUNCTION("""COMPUTED_VALUE"""),46029.64583333333)</f>
        <v>46029.64583</v>
      </c>
      <c r="B13" s="55">
        <f>IFERROR(__xludf.DUMMYFUNCTION("""COMPUTED_VALUE"""),26140.75)</f>
        <v>26140.75</v>
      </c>
    </row>
    <row r="14">
      <c r="A14" s="56">
        <f>IFERROR(__xludf.DUMMYFUNCTION("""COMPUTED_VALUE"""),46030.64583333333)</f>
        <v>46030.64583</v>
      </c>
      <c r="B14" s="55">
        <f>IFERROR(__xludf.DUMMYFUNCTION("""COMPUTED_VALUE"""),25876.85)</f>
        <v>25876.85</v>
      </c>
    </row>
    <row r="15">
      <c r="A15" s="56">
        <f>IFERROR(__xludf.DUMMYFUNCTION("""COMPUTED_VALUE"""),46031.64583333333)</f>
        <v>46031.64583</v>
      </c>
      <c r="B15" s="55">
        <f>IFERROR(__xludf.DUMMYFUNCTION("""COMPUTED_VALUE"""),25683.3)</f>
        <v>25683.3</v>
      </c>
    </row>
    <row r="16">
      <c r="A16" s="56">
        <f>IFERROR(__xludf.DUMMYFUNCTION("""COMPUTED_VALUE"""),46034.64583333333)</f>
        <v>46034.64583</v>
      </c>
      <c r="B16" s="55">
        <f>IFERROR(__xludf.DUMMYFUNCTION("""COMPUTED_VALUE"""),25790.25)</f>
        <v>25790.25</v>
      </c>
    </row>
    <row r="17">
      <c r="A17" s="56">
        <f>IFERROR(__xludf.DUMMYFUNCTION("""COMPUTED_VALUE"""),46035.64583333333)</f>
        <v>46035.64583</v>
      </c>
      <c r="B17" s="55">
        <f>IFERROR(__xludf.DUMMYFUNCTION("""COMPUTED_VALUE"""),25732.3)</f>
        <v>25732.3</v>
      </c>
    </row>
    <row r="18">
      <c r="A18" s="56">
        <f>IFERROR(__xludf.DUMMYFUNCTION("""COMPUTED_VALUE"""),46036.64583333333)</f>
        <v>46036.64583</v>
      </c>
      <c r="B18" s="55">
        <f>IFERROR(__xludf.DUMMYFUNCTION("""COMPUTED_VALUE"""),25665.6)</f>
        <v>25665.6</v>
      </c>
    </row>
    <row r="19">
      <c r="A19" s="56">
        <f>IFERROR(__xludf.DUMMYFUNCTION("""COMPUTED_VALUE"""),46038.64583333333)</f>
        <v>46038.64583</v>
      </c>
      <c r="B19" s="55">
        <f>IFERROR(__xludf.DUMMYFUNCTION("""COMPUTED_VALUE"""),25694.35)</f>
        <v>25694.35</v>
      </c>
    </row>
    <row r="20">
      <c r="A20" s="56">
        <f>IFERROR(__xludf.DUMMYFUNCTION("""COMPUTED_VALUE"""),46041.64583333333)</f>
        <v>46041.64583</v>
      </c>
      <c r="B20" s="55">
        <f>IFERROR(__xludf.DUMMYFUNCTION("""COMPUTED_VALUE"""),25585.5)</f>
        <v>25585.5</v>
      </c>
    </row>
    <row r="21">
      <c r="A21" s="56">
        <f>IFERROR(__xludf.DUMMYFUNCTION("""COMPUTED_VALUE"""),46042.64583333333)</f>
        <v>46042.64583</v>
      </c>
      <c r="B21" s="55">
        <f>IFERROR(__xludf.DUMMYFUNCTION("""COMPUTED_VALUE"""),25232.5)</f>
        <v>25232.5</v>
      </c>
    </row>
    <row r="22">
      <c r="A22" s="56">
        <f>IFERROR(__xludf.DUMMYFUNCTION("""COMPUTED_VALUE"""),46043.64583333333)</f>
        <v>46043.64583</v>
      </c>
      <c r="B22" s="55">
        <f>IFERROR(__xludf.DUMMYFUNCTION("""COMPUTED_VALUE"""),25157.5)</f>
        <v>25157.5</v>
      </c>
    </row>
    <row r="23">
      <c r="A23" s="56">
        <f>IFERROR(__xludf.DUMMYFUNCTION("""COMPUTED_VALUE"""),46044.64583333333)</f>
        <v>46044.64583</v>
      </c>
      <c r="B23" s="55">
        <f>IFERROR(__xludf.DUMMYFUNCTION("""COMPUTED_VALUE"""),25289.9)</f>
        <v>25289.9</v>
      </c>
    </row>
    <row r="24">
      <c r="A24" s="56">
        <f>IFERROR(__xludf.DUMMYFUNCTION("""COMPUTED_VALUE"""),46045.64583333333)</f>
        <v>46045.64583</v>
      </c>
      <c r="B24" s="55">
        <f>IFERROR(__xludf.DUMMYFUNCTION("""COMPUTED_VALUE"""),25048.65)</f>
        <v>25048.65</v>
      </c>
    </row>
    <row r="25">
      <c r="A25" s="56">
        <f>IFERROR(__xludf.DUMMYFUNCTION("""COMPUTED_VALUE"""),46049.64583333333)</f>
        <v>46049.64583</v>
      </c>
      <c r="B25" s="55">
        <f>IFERROR(__xludf.DUMMYFUNCTION("""COMPUTED_VALUE"""),25175.4)</f>
        <v>25175.4</v>
      </c>
    </row>
    <row r="26">
      <c r="A26" s="56">
        <f>IFERROR(__xludf.DUMMYFUNCTION("""COMPUTED_VALUE"""),46050.64583333333)</f>
        <v>46050.64583</v>
      </c>
      <c r="B26" s="55">
        <f>IFERROR(__xludf.DUMMYFUNCTION("""COMPUTED_VALUE"""),25342.75)</f>
        <v>25342.75</v>
      </c>
    </row>
    <row r="27">
      <c r="A27" s="56">
        <f>IFERROR(__xludf.DUMMYFUNCTION("""COMPUTED_VALUE"""),46051.64583333333)</f>
        <v>46051.64583</v>
      </c>
      <c r="B27" s="55">
        <f>IFERROR(__xludf.DUMMYFUNCTION("""COMPUTED_VALUE"""),25418.9)</f>
        <v>25418.9</v>
      </c>
    </row>
    <row r="28">
      <c r="A28" s="56">
        <f>IFERROR(__xludf.DUMMYFUNCTION("""COMPUTED_VALUE"""),46052.64583333333)</f>
        <v>46052.64583</v>
      </c>
      <c r="B28" s="55">
        <f>IFERROR(__xludf.DUMMYFUNCTION("""COMPUTED_VALUE"""),25320.65)</f>
        <v>25320.65</v>
      </c>
    </row>
    <row r="29">
      <c r="A29" s="56">
        <f>IFERROR(__xludf.DUMMYFUNCTION("""COMPUTED_VALUE"""),46055.64583333333)</f>
        <v>46055.64583</v>
      </c>
      <c r="B29" s="55">
        <f>IFERROR(__xludf.DUMMYFUNCTION("""COMPUTED_VALUE"""),25088.4)</f>
        <v>25088.4</v>
      </c>
    </row>
    <row r="30">
      <c r="A30" s="56">
        <f>IFERROR(__xludf.DUMMYFUNCTION("""COMPUTED_VALUE"""),46056.64583333333)</f>
        <v>46056.64583</v>
      </c>
      <c r="B30" s="55">
        <f>IFERROR(__xludf.DUMMYFUNCTION("""COMPUTED_VALUE"""),25727.55)</f>
        <v>25727.55</v>
      </c>
    </row>
    <row r="31">
      <c r="A31" s="56">
        <f>IFERROR(__xludf.DUMMYFUNCTION("""COMPUTED_VALUE"""),46057.64583333333)</f>
        <v>46057.64583</v>
      </c>
      <c r="B31" s="55">
        <f>IFERROR(__xludf.DUMMYFUNCTION("""COMPUTED_VALUE"""),25776.0)</f>
        <v>25776</v>
      </c>
    </row>
    <row r="32">
      <c r="A32" s="56">
        <f>IFERROR(__xludf.DUMMYFUNCTION("""COMPUTED_VALUE"""),46058.64583333333)</f>
        <v>46058.64583</v>
      </c>
      <c r="B32" s="55">
        <f>IFERROR(__xludf.DUMMYFUNCTION("""COMPUTED_VALUE"""),25642.8)</f>
        <v>25642.8</v>
      </c>
    </row>
    <row r="33">
      <c r="A33" s="56">
        <f>IFERROR(__xludf.DUMMYFUNCTION("""COMPUTED_VALUE"""),46059.64583333333)</f>
        <v>46059.64583</v>
      </c>
      <c r="B33" s="55">
        <f>IFERROR(__xludf.DUMMYFUNCTION("""COMPUTED_VALUE"""),25693.7)</f>
        <v>25693.7</v>
      </c>
    </row>
    <row r="34">
      <c r="A34" s="56">
        <f>IFERROR(__xludf.DUMMYFUNCTION("""COMPUTED_VALUE"""),46062.64583333333)</f>
        <v>46062.64583</v>
      </c>
      <c r="B34" s="55">
        <f>IFERROR(__xludf.DUMMYFUNCTION("""COMPUTED_VALUE"""),25867.3)</f>
        <v>25867.3</v>
      </c>
    </row>
    <row r="35">
      <c r="A35" s="56">
        <f>IFERROR(__xludf.DUMMYFUNCTION("""COMPUTED_VALUE"""),46063.64583333333)</f>
        <v>46063.64583</v>
      </c>
      <c r="B35" s="55">
        <f>IFERROR(__xludf.DUMMYFUNCTION("""COMPUTED_VALUE"""),25935.15)</f>
        <v>25935.15</v>
      </c>
    </row>
    <row r="36">
      <c r="A36" s="56">
        <f>IFERROR(__xludf.DUMMYFUNCTION("""COMPUTED_VALUE"""),46064.64583333333)</f>
        <v>46064.64583</v>
      </c>
      <c r="B36" s="55">
        <f>IFERROR(__xludf.DUMMYFUNCTION("""COMPUTED_VALUE"""),25953.85)</f>
        <v>25953.85</v>
      </c>
    </row>
    <row r="37">
      <c r="A37" s="56">
        <f>IFERROR(__xludf.DUMMYFUNCTION("""COMPUTED_VALUE"""),46065.64583333333)</f>
        <v>46065.64583</v>
      </c>
      <c r="B37" s="55">
        <f>IFERROR(__xludf.DUMMYFUNCTION("""COMPUTED_VALUE"""),25807.2)</f>
        <v>25807.2</v>
      </c>
    </row>
    <row r="38">
      <c r="A38" s="56">
        <f>IFERROR(__xludf.DUMMYFUNCTION("""COMPUTED_VALUE"""),46066.64583333333)</f>
        <v>46066.64583</v>
      </c>
      <c r="B38" s="55">
        <f>IFERROR(__xludf.DUMMYFUNCTION("""COMPUTED_VALUE"""),25471.1)</f>
        <v>25471.1</v>
      </c>
    </row>
    <row r="39">
      <c r="A39" s="56">
        <f>IFERROR(__xludf.DUMMYFUNCTION("""COMPUTED_VALUE"""),46069.64583333333)</f>
        <v>46069.64583</v>
      </c>
      <c r="B39" s="55">
        <f>IFERROR(__xludf.DUMMYFUNCTION("""COMPUTED_VALUE"""),25682.75)</f>
        <v>25682.75</v>
      </c>
    </row>
    <row r="40">
      <c r="A40" s="56">
        <f>IFERROR(__xludf.DUMMYFUNCTION("""COMPUTED_VALUE"""),46070.64583333333)</f>
        <v>46070.64583</v>
      </c>
      <c r="B40" s="55">
        <f>IFERROR(__xludf.DUMMYFUNCTION("""COMPUTED_VALUE"""),25725.4)</f>
        <v>25725.4</v>
      </c>
    </row>
    <row r="41">
      <c r="A41" s="56">
        <f>IFERROR(__xludf.DUMMYFUNCTION("""COMPUTED_VALUE"""),46071.64583333333)</f>
        <v>46071.64583</v>
      </c>
      <c r="B41" s="55">
        <f>IFERROR(__xludf.DUMMYFUNCTION("""COMPUTED_VALUE"""),25819.35)</f>
        <v>25819.35</v>
      </c>
    </row>
    <row r="42">
      <c r="A42" s="56">
        <f>IFERROR(__xludf.DUMMYFUNCTION("""COMPUTED_VALUE"""),46072.64583333333)</f>
        <v>46072.64583</v>
      </c>
      <c r="B42" s="55">
        <f>IFERROR(__xludf.DUMMYFUNCTION("""COMPUTED_VALUE"""),25454.35)</f>
        <v>25454.35</v>
      </c>
    </row>
    <row r="43">
      <c r="A43" s="56">
        <f>IFERROR(__xludf.DUMMYFUNCTION("""COMPUTED_VALUE"""),46073.64583333333)</f>
        <v>46073.64583</v>
      </c>
      <c r="B43" s="55">
        <f>IFERROR(__xludf.DUMMYFUNCTION("""COMPUTED_VALUE"""),25571.25)</f>
        <v>25571.25</v>
      </c>
    </row>
    <row r="44">
      <c r="A44" s="56">
        <f>IFERROR(__xludf.DUMMYFUNCTION("""COMPUTED_VALUE"""),46076.64583333333)</f>
        <v>46076.64583</v>
      </c>
      <c r="B44" s="55">
        <f>IFERROR(__xludf.DUMMYFUNCTION("""COMPUTED_VALUE"""),25713.0)</f>
        <v>25713</v>
      </c>
    </row>
    <row r="45">
      <c r="A45" s="56">
        <f>IFERROR(__xludf.DUMMYFUNCTION("""COMPUTED_VALUE"""),46077.64583333333)</f>
        <v>46077.64583</v>
      </c>
      <c r="B45" s="55">
        <f>IFERROR(__xludf.DUMMYFUNCTION("""COMPUTED_VALUE"""),25424.65)</f>
        <v>25424.65</v>
      </c>
    </row>
    <row r="46">
      <c r="A46" s="56">
        <f>IFERROR(__xludf.DUMMYFUNCTION("""COMPUTED_VALUE"""),46078.64583333333)</f>
        <v>46078.64583</v>
      </c>
      <c r="B46" s="55">
        <f>IFERROR(__xludf.DUMMYFUNCTION("""COMPUTED_VALUE"""),25482.5)</f>
        <v>25482.5</v>
      </c>
    </row>
    <row r="47">
      <c r="A47" s="56">
        <f>IFERROR(__xludf.DUMMYFUNCTION("""COMPUTED_VALUE"""),46079.64583333333)</f>
        <v>46079.64583</v>
      </c>
      <c r="B47" s="55">
        <f>IFERROR(__xludf.DUMMYFUNCTION("""COMPUTED_VALUE"""),25496.55)</f>
        <v>25496.55</v>
      </c>
    </row>
    <row r="48">
      <c r="A48" s="56">
        <f>IFERROR(__xludf.DUMMYFUNCTION("""COMPUTED_VALUE"""),46080.64583333333)</f>
        <v>46080.64583</v>
      </c>
      <c r="B48" s="55">
        <f>IFERROR(__xludf.DUMMYFUNCTION("""COMPUTED_VALUE"""),25178.65)</f>
        <v>25178.65</v>
      </c>
    </row>
    <row r="49">
      <c r="A49" s="56">
        <f>IFERROR(__xludf.DUMMYFUNCTION("""COMPUTED_VALUE"""),46083.64583333333)</f>
        <v>46083.64583</v>
      </c>
      <c r="B49" s="55">
        <f>IFERROR(__xludf.DUMMYFUNCTION("""COMPUTED_VALUE"""),24865.7)</f>
        <v>24865.7</v>
      </c>
    </row>
    <row r="50">
      <c r="A50" s="56">
        <f>IFERROR(__xludf.DUMMYFUNCTION("""COMPUTED_VALUE"""),46085.64583333333)</f>
        <v>46085.64583</v>
      </c>
      <c r="B50" s="55">
        <f>IFERROR(__xludf.DUMMYFUNCTION("""COMPUTED_VALUE"""),24480.5)</f>
        <v>24480.5</v>
      </c>
    </row>
    <row r="51">
      <c r="A51" s="56">
        <f>IFERROR(__xludf.DUMMYFUNCTION("""COMPUTED_VALUE"""),46086.64583333333)</f>
        <v>46086.64583</v>
      </c>
      <c r="B51" s="55">
        <f>IFERROR(__xludf.DUMMYFUNCTION("""COMPUTED_VALUE"""),24765.9)</f>
        <v>24765.9</v>
      </c>
    </row>
    <row r="52">
      <c r="A52" s="56">
        <f>IFERROR(__xludf.DUMMYFUNCTION("""COMPUTED_VALUE"""),46087.64583333333)</f>
        <v>46087.64583</v>
      </c>
      <c r="B52" s="55">
        <f>IFERROR(__xludf.DUMMYFUNCTION("""COMPUTED_VALUE"""),24450.45)</f>
        <v>24450.45</v>
      </c>
    </row>
    <row r="53">
      <c r="A53" s="56">
        <f>IFERROR(__xludf.DUMMYFUNCTION("""COMPUTED_VALUE"""),46090.64583333333)</f>
        <v>46090.64583</v>
      </c>
      <c r="B53" s="55">
        <f>IFERROR(__xludf.DUMMYFUNCTION("""COMPUTED_VALUE"""),24028.05)</f>
        <v>24028.05</v>
      </c>
    </row>
    <row r="54">
      <c r="A54" s="56">
        <f>IFERROR(__xludf.DUMMYFUNCTION("""COMPUTED_VALUE"""),46091.64583333333)</f>
        <v>46091.64583</v>
      </c>
      <c r="B54" s="55">
        <f>IFERROR(__xludf.DUMMYFUNCTION("""COMPUTED_VALUE"""),24261.6)</f>
        <v>24261.6</v>
      </c>
    </row>
    <row r="55">
      <c r="A55" s="56">
        <f>IFERROR(__xludf.DUMMYFUNCTION("""COMPUTED_VALUE"""),46092.64583333333)</f>
        <v>46092.64583</v>
      </c>
      <c r="B55" s="55">
        <f>IFERROR(__xludf.DUMMYFUNCTION("""COMPUTED_VALUE"""),23866.85)</f>
        <v>23866.85</v>
      </c>
    </row>
    <row r="56">
      <c r="A56" s="56">
        <f>IFERROR(__xludf.DUMMYFUNCTION("""COMPUTED_VALUE"""),46093.64583333333)</f>
        <v>46093.64583</v>
      </c>
      <c r="B56" s="55">
        <f>IFERROR(__xludf.DUMMYFUNCTION("""COMPUTED_VALUE"""),23639.15)</f>
        <v>23639.15</v>
      </c>
    </row>
    <row r="57">
      <c r="A57" s="56">
        <f>IFERROR(__xludf.DUMMYFUNCTION("""COMPUTED_VALUE"""),46094.64583333333)</f>
        <v>46094.64583</v>
      </c>
      <c r="B57" s="55">
        <f>IFERROR(__xludf.DUMMYFUNCTION("""COMPUTED_VALUE"""),23151.1)</f>
        <v>23151.1</v>
      </c>
    </row>
    <row r="58">
      <c r="A58" s="56">
        <f>IFERROR(__xludf.DUMMYFUNCTION("""COMPUTED_VALUE"""),46097.64583333333)</f>
        <v>46097.64583</v>
      </c>
      <c r="B58" s="55">
        <f>IFERROR(__xludf.DUMMYFUNCTION("""COMPUTED_VALUE"""),23408.8)</f>
        <v>23408.8</v>
      </c>
    </row>
    <row r="59">
      <c r="A59" s="56">
        <f>IFERROR(__xludf.DUMMYFUNCTION("""COMPUTED_VALUE"""),46098.64583333333)</f>
        <v>46098.64583</v>
      </c>
      <c r="B59" s="55">
        <f>IFERROR(__xludf.DUMMYFUNCTION("""COMPUTED_VALUE"""),23581.15)</f>
        <v>23581.15</v>
      </c>
    </row>
    <row r="60">
      <c r="A60" s="56">
        <f>IFERROR(__xludf.DUMMYFUNCTION("""COMPUTED_VALUE"""),46099.64583333333)</f>
        <v>46099.64583</v>
      </c>
      <c r="B60" s="55">
        <f>IFERROR(__xludf.DUMMYFUNCTION("""COMPUTED_VALUE"""),23777.8)</f>
        <v>23777.8</v>
      </c>
    </row>
    <row r="61">
      <c r="A61" s="56">
        <f>IFERROR(__xludf.DUMMYFUNCTION("""COMPUTED_VALUE"""),46100.64583333333)</f>
        <v>46100.64583</v>
      </c>
      <c r="B61" s="55">
        <f>IFERROR(__xludf.DUMMYFUNCTION("""COMPUTED_VALUE"""),23002.15)</f>
        <v>23002.15</v>
      </c>
    </row>
    <row r="62">
      <c r="A62" s="56">
        <f>IFERROR(__xludf.DUMMYFUNCTION("""COMPUTED_VALUE"""),46101.64583333333)</f>
        <v>46101.64583</v>
      </c>
      <c r="B62" s="55">
        <f>IFERROR(__xludf.DUMMYFUNCTION("""COMPUTED_VALUE"""),23114.5)</f>
        <v>23114.5</v>
      </c>
    </row>
    <row r="63">
      <c r="A63" s="56">
        <f>IFERROR(__xludf.DUMMYFUNCTION("""COMPUTED_VALUE"""),46104.64583333333)</f>
        <v>46104.64583</v>
      </c>
      <c r="B63" s="55">
        <f>IFERROR(__xludf.DUMMYFUNCTION("""COMPUTED_VALUE"""),22512.65)</f>
        <v>22512.65</v>
      </c>
    </row>
    <row r="64">
      <c r="A64" s="56">
        <f>IFERROR(__xludf.DUMMYFUNCTION("""COMPUTED_VALUE"""),46105.64583333333)</f>
        <v>46105.64583</v>
      </c>
      <c r="B64" s="55">
        <f>IFERROR(__xludf.DUMMYFUNCTION("""COMPUTED_VALUE"""),22912.4)</f>
        <v>22912.4</v>
      </c>
    </row>
    <row r="65">
      <c r="A65" s="56">
        <f>IFERROR(__xludf.DUMMYFUNCTION("""COMPUTED_VALUE"""),46106.64583333333)</f>
        <v>46106.64583</v>
      </c>
      <c r="B65" s="55">
        <f>IFERROR(__xludf.DUMMYFUNCTION("""COMPUTED_VALUE"""),23306.45)</f>
        <v>23306.45</v>
      </c>
    </row>
    <row r="66">
      <c r="A66" s="56">
        <f>IFERROR(__xludf.DUMMYFUNCTION("""COMPUTED_VALUE"""),46108.64583333333)</f>
        <v>46108.64583</v>
      </c>
      <c r="B66" s="55">
        <f>IFERROR(__xludf.DUMMYFUNCTION("""COMPUTED_VALUE"""),22819.6)</f>
        <v>22819.6</v>
      </c>
    </row>
    <row r="67">
      <c r="A67" s="56">
        <f>IFERROR(__xludf.DUMMYFUNCTION("""COMPUTED_VALUE"""),46111.64583333333)</f>
        <v>46111.64583</v>
      </c>
      <c r="B67" s="55">
        <f>IFERROR(__xludf.DUMMYFUNCTION("""COMPUTED_VALUE"""),22331.4)</f>
        <v>22331.4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950B"/>
    <pageSetUpPr/>
  </sheetPr>
  <sheetViews>
    <sheetView showGridLines="0" workbookViewId="0"/>
  </sheetViews>
  <sheetFormatPr customHeight="1" defaultColWidth="12.63" defaultRowHeight="15.0"/>
  <cols>
    <col customWidth="1" min="1" max="1" width="15.75"/>
    <col customWidth="1" min="2" max="3" width="10.5"/>
    <col customWidth="1" min="4" max="4" width="12.25"/>
    <col customWidth="1" min="5" max="5" width="13.13"/>
    <col customWidth="1" min="6" max="7" width="15.75"/>
    <col customWidth="1" min="8" max="8" width="10.5"/>
    <col customWidth="1" min="9" max="9" width="12.25"/>
    <col customWidth="1" min="10" max="10" width="21.88"/>
    <col customWidth="1" min="11" max="11" width="13.13"/>
  </cols>
  <sheetData>
    <row r="1" ht="15.0" customHeight="1">
      <c r="A1" s="57" t="s">
        <v>672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7.75" customHeight="1">
      <c r="A2" s="58" t="s">
        <v>67</v>
      </c>
      <c r="B2" s="58" t="s">
        <v>68</v>
      </c>
      <c r="C2" s="58" t="s">
        <v>71</v>
      </c>
      <c r="D2" s="58" t="s">
        <v>73</v>
      </c>
      <c r="E2" s="58" t="s">
        <v>72</v>
      </c>
      <c r="F2" s="58" t="s">
        <v>77</v>
      </c>
      <c r="G2" s="58" t="s">
        <v>81</v>
      </c>
      <c r="H2" s="58" t="s">
        <v>673</v>
      </c>
      <c r="I2" s="58" t="s">
        <v>674</v>
      </c>
      <c r="J2" s="58" t="s">
        <v>675</v>
      </c>
      <c r="K2" s="58" t="s">
        <v>676</v>
      </c>
    </row>
    <row r="3" ht="15.0" customHeight="1">
      <c r="A3" s="59" t="s">
        <v>351</v>
      </c>
      <c r="B3" s="60">
        <f>IFERROR(__xludf.DUMMYFUNCTION("GOOGLEFINANCE(A3,""price"")"),30000.0)</f>
        <v>30000</v>
      </c>
      <c r="C3" s="60">
        <f>IFERROR(__xludf.DUMMYFUNCTION("AVERAGE(QUERY(SORT(GOOGLEFINANCE(A3,""price"",TODAY()-500,TODAY()),1,0),""select Col2 limit 200""))"),32397.725)</f>
        <v>32397.725</v>
      </c>
      <c r="D3" s="61">
        <v>-0.02</v>
      </c>
      <c r="E3" s="62" t="s">
        <v>677</v>
      </c>
      <c r="F3" s="62" t="s">
        <v>678</v>
      </c>
      <c r="G3" s="63" t="s">
        <v>175</v>
      </c>
      <c r="H3" s="64" t="s">
        <v>679</v>
      </c>
      <c r="I3" s="65">
        <v>32360.0</v>
      </c>
      <c r="J3" s="63" t="s">
        <v>680</v>
      </c>
      <c r="K3" s="4"/>
    </row>
    <row r="4" ht="21.75" customHeight="1">
      <c r="A4" s="59" t="s">
        <v>349</v>
      </c>
      <c r="B4" s="60">
        <f>IFERROR(__xludf.DUMMYFUNCTION("GOOGLEFINANCE(A4,""price"")"),5060.0)</f>
        <v>5060</v>
      </c>
      <c r="C4" s="60">
        <f>IFERROR(__xludf.DUMMYFUNCTION("AVERAGE(QUERY(SORT(GOOGLEFINANCE(A4,""price"",TODAY()-500,TODAY()),1,0),""select Col2 limit 200""))"),5292.940499999998)</f>
        <v>5292.9405</v>
      </c>
      <c r="D4" s="61">
        <v>-0.12</v>
      </c>
      <c r="E4" s="62" t="s">
        <v>677</v>
      </c>
      <c r="F4" s="62" t="s">
        <v>678</v>
      </c>
      <c r="G4" s="63" t="s">
        <v>271</v>
      </c>
      <c r="H4" s="64" t="s">
        <v>679</v>
      </c>
      <c r="I4" s="65">
        <v>5270.0</v>
      </c>
      <c r="J4" s="63" t="s">
        <v>681</v>
      </c>
      <c r="K4" s="4"/>
    </row>
    <row r="5" ht="15.0" customHeight="1">
      <c r="A5" s="66" t="s">
        <v>350</v>
      </c>
      <c r="B5" s="60">
        <f>IFERROR(__xludf.DUMMYFUNCTION("GOOGLEFINANCE(A5,""price"")"),236.8)</f>
        <v>236.8</v>
      </c>
      <c r="C5" s="60">
        <f>IFERROR(__xludf.DUMMYFUNCTION("AVERAGE(QUERY(SORT(GOOGLEFINANCE(A5,""price"",TODAY()-500,TODAY()),1,0),""select Col2 limit 200""))"),241.21689999999995)</f>
        <v>241.2169</v>
      </c>
      <c r="D5" s="67">
        <v>-0.16</v>
      </c>
      <c r="E5" s="49" t="s">
        <v>677</v>
      </c>
      <c r="F5" s="49" t="s">
        <v>678</v>
      </c>
      <c r="G5" s="68" t="s">
        <v>145</v>
      </c>
      <c r="H5" s="69" t="s">
        <v>682</v>
      </c>
      <c r="I5" s="70">
        <v>240.2</v>
      </c>
      <c r="J5" s="68" t="s">
        <v>683</v>
      </c>
      <c r="K5" s="4"/>
    </row>
    <row r="6" ht="15.0" customHeight="1">
      <c r="A6" s="66" t="s">
        <v>333</v>
      </c>
      <c r="B6" s="60">
        <f>IFERROR(__xludf.DUMMYFUNCTION("GOOGLEFINANCE(A6,""price"")"),1780.0)</f>
        <v>1780</v>
      </c>
      <c r="C6" s="60">
        <f>IFERROR(__xludf.DUMMYFUNCTION("AVERAGE(QUERY(SORT(GOOGLEFINANCE(A6,""price"",TODAY()-500,TODAY()),1,0),""select Col2 limit 200""))"),1916.081499999999)</f>
        <v>1916.0815</v>
      </c>
      <c r="D6" s="67">
        <v>-1.3</v>
      </c>
      <c r="E6" s="49" t="s">
        <v>677</v>
      </c>
      <c r="F6" s="49" t="s">
        <v>678</v>
      </c>
      <c r="G6" s="68" t="s">
        <v>147</v>
      </c>
      <c r="H6" s="69" t="s">
        <v>682</v>
      </c>
      <c r="I6" s="70">
        <v>1915.0</v>
      </c>
      <c r="J6" s="68" t="s">
        <v>684</v>
      </c>
      <c r="K6" s="4"/>
    </row>
    <row r="7" ht="15.0" customHeight="1">
      <c r="A7" s="66" t="s">
        <v>317</v>
      </c>
      <c r="B7" s="60">
        <f>IFERROR(__xludf.DUMMYFUNCTION("GOOGLEFINANCE(A7,""price"")"),1348.3)</f>
        <v>1348.3</v>
      </c>
      <c r="C7" s="60">
        <f>IFERROR(__xludf.DUMMYFUNCTION("AVERAGE(QUERY(SORT(GOOGLEFINANCE(A7,""price"",TODAY()-500,TODAY()),1,0),""select Col2 limit 200""))"),1447.5104999999996)</f>
        <v>1447.5105</v>
      </c>
      <c r="D7" s="67">
        <v>-2.42</v>
      </c>
      <c r="E7" s="49" t="s">
        <v>677</v>
      </c>
      <c r="F7" s="49" t="s">
        <v>678</v>
      </c>
      <c r="G7" s="68" t="s">
        <v>225</v>
      </c>
      <c r="H7" s="69" t="s">
        <v>682</v>
      </c>
      <c r="I7" s="70">
        <v>1449.0</v>
      </c>
      <c r="J7" s="68" t="s">
        <v>685</v>
      </c>
      <c r="K7" s="4"/>
    </row>
    <row r="8" ht="15.0" customHeight="1">
      <c r="A8" s="66" t="s">
        <v>294</v>
      </c>
      <c r="B8" s="60">
        <f>IFERROR(__xludf.DUMMYFUNCTION("GOOGLEFINANCE(A8,""price"")"),472.0)</f>
        <v>472</v>
      </c>
      <c r="C8" s="60">
        <f>IFERROR(__xludf.DUMMYFUNCTION("AVERAGE(QUERY(SORT(GOOGLEFINANCE(A8,""price"",TODAY()-500,TODAY()),1,0),""select Col2 limit 200""))"),507.0122500000002)</f>
        <v>507.01225</v>
      </c>
      <c r="D8" s="67">
        <v>-0.32</v>
      </c>
      <c r="E8" s="49" t="s">
        <v>4</v>
      </c>
      <c r="F8" s="49" t="s">
        <v>678</v>
      </c>
      <c r="G8" s="68" t="s">
        <v>295</v>
      </c>
      <c r="H8" s="69" t="s">
        <v>682</v>
      </c>
      <c r="I8" s="70">
        <v>508.0</v>
      </c>
      <c r="J8" s="68" t="s">
        <v>686</v>
      </c>
      <c r="K8" s="4"/>
    </row>
    <row r="9" ht="15.0" customHeight="1">
      <c r="A9" s="71" t="s">
        <v>334</v>
      </c>
      <c r="B9" s="60">
        <f>IFERROR(__xludf.DUMMYFUNCTION("GOOGLEFINANCE(A9,""price"")"),654.0)</f>
        <v>654</v>
      </c>
      <c r="C9" s="60">
        <f>IFERROR(__xludf.DUMMYFUNCTION("AVERAGE(QUERY(SORT(GOOGLEFINANCE(A9,""price"",TODAY()-500,TODAY()),1,0),""select Col2 limit 200""))"),690.0640000000004)</f>
        <v>690.064</v>
      </c>
      <c r="D9" s="72">
        <v>-1.38</v>
      </c>
      <c r="E9" s="73" t="s">
        <v>4</v>
      </c>
      <c r="F9" s="73" t="s">
        <v>678</v>
      </c>
      <c r="G9" s="51" t="s">
        <v>175</v>
      </c>
      <c r="H9" s="74" t="s">
        <v>687</v>
      </c>
      <c r="I9" s="75">
        <v>691.0</v>
      </c>
      <c r="J9" s="51" t="s">
        <v>688</v>
      </c>
      <c r="K9" s="4"/>
    </row>
    <row r="10" ht="15.0" customHeight="1">
      <c r="A10" s="71" t="s">
        <v>308</v>
      </c>
      <c r="B10" s="60">
        <f>IFERROR(__xludf.DUMMYFUNCTION("GOOGLEFINANCE(A10,""price"")"),3740.0)</f>
        <v>3740</v>
      </c>
      <c r="C10" s="60">
        <f>IFERROR(__xludf.DUMMYFUNCTION("AVERAGE(QUERY(SORT(GOOGLEFINANCE(A10,""price"",TODAY()-500,TODAY()),1,0),""select Col2 limit 200""))"),3972.6815)</f>
        <v>3972.6815</v>
      </c>
      <c r="D10" s="72">
        <v>-4.08</v>
      </c>
      <c r="E10" s="73" t="s">
        <v>4</v>
      </c>
      <c r="F10" s="73" t="s">
        <v>678</v>
      </c>
      <c r="G10" s="51" t="s">
        <v>309</v>
      </c>
      <c r="H10" s="74" t="s">
        <v>687</v>
      </c>
      <c r="I10" s="75">
        <v>3987.0</v>
      </c>
      <c r="J10" s="51" t="s">
        <v>689</v>
      </c>
      <c r="K10" s="4"/>
    </row>
    <row r="11" ht="15.0" customHeight="1">
      <c r="A11" s="71" t="s">
        <v>326</v>
      </c>
      <c r="B11" s="60">
        <f>IFERROR(__xludf.DUMMYFUNCTION("GOOGLEFINANCE(A11,""price"")"),84.16)</f>
        <v>84.16</v>
      </c>
      <c r="C11" s="60">
        <f>IFERROR(__xludf.DUMMYFUNCTION("AVERAGE(QUERY(SORT(GOOGLEFINANCE(A11,""price"",TODAY()-500,TODAY()),1,0),""select Col2 limit 200""))"),93.73845000000001)</f>
        <v>93.73845</v>
      </c>
      <c r="D11" s="72">
        <v>-2.9</v>
      </c>
      <c r="E11" s="73" t="s">
        <v>677</v>
      </c>
      <c r="F11" s="73" t="s">
        <v>678</v>
      </c>
      <c r="G11" s="51" t="s">
        <v>690</v>
      </c>
      <c r="H11" s="74" t="s">
        <v>691</v>
      </c>
      <c r="I11" s="75">
        <v>93.7</v>
      </c>
      <c r="J11" s="51" t="s">
        <v>692</v>
      </c>
      <c r="K11" s="4"/>
    </row>
    <row r="12" ht="15.0" customHeight="1">
      <c r="A12" s="71" t="s">
        <v>365</v>
      </c>
      <c r="B12" s="60">
        <f>IFERROR(__xludf.DUMMYFUNCTION("GOOGLEFINANCE(A12,""price"")"),1168.4)</f>
        <v>1168.4</v>
      </c>
      <c r="C12" s="60">
        <f>IFERROR(__xludf.DUMMYFUNCTION("AVERAGE(QUERY(SORT(GOOGLEFINANCE(A12,""price"",TODAY()-500,TODAY()),1,0),""select Col2 limit 200""))"),1212.8074999999997)</f>
        <v>1212.8075</v>
      </c>
      <c r="D12" s="72">
        <v>-0.58</v>
      </c>
      <c r="E12" s="73" t="s">
        <v>677</v>
      </c>
      <c r="F12" s="73" t="s">
        <v>678</v>
      </c>
      <c r="G12" s="51" t="s">
        <v>236</v>
      </c>
      <c r="H12" s="74" t="s">
        <v>691</v>
      </c>
      <c r="I12" s="75">
        <v>1213.0</v>
      </c>
      <c r="J12" s="51" t="s">
        <v>693</v>
      </c>
      <c r="K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15.0" customHeight="1">
      <c r="A14" s="76" t="s">
        <v>694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14:K1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449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7.0"/>
    <col customWidth="1" min="2" max="2" width="7.88"/>
    <col customWidth="1" min="3" max="4" width="11.38"/>
    <col customWidth="1" min="5" max="5" width="10.5"/>
    <col customWidth="1" min="6" max="6" width="9.63"/>
    <col customWidth="1" min="7" max="7" width="12.25"/>
    <col customWidth="1" min="8" max="10" width="10.5"/>
    <col customWidth="1" min="11" max="11" width="11.38"/>
    <col customWidth="1" min="12" max="15" width="10.5"/>
    <col customWidth="1" min="16" max="17" width="12.25"/>
    <col customWidth="1" min="18" max="18" width="8.75"/>
    <col customWidth="1" min="19" max="19" width="11.38"/>
    <col customWidth="1" min="20" max="21" width="13.13"/>
    <col customWidth="1" min="22" max="22" width="11.38"/>
    <col customWidth="1" min="23" max="23" width="12.25"/>
    <col customWidth="1" min="24" max="24" width="10.5"/>
    <col customWidth="1" min="25" max="25" width="24.5"/>
  </cols>
  <sheetData>
    <row r="1" ht="15.0" customHeight="1">
      <c r="A1" s="36" t="s">
        <v>695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1.5" customHeight="1">
      <c r="A2" s="37" t="s">
        <v>696</v>
      </c>
      <c r="B2" s="37" t="s">
        <v>697</v>
      </c>
      <c r="C2" s="37" t="s">
        <v>698</v>
      </c>
      <c r="D2" s="37" t="s">
        <v>699</v>
      </c>
      <c r="E2" s="37" t="s">
        <v>700</v>
      </c>
      <c r="F2" s="37" t="s">
        <v>701</v>
      </c>
      <c r="G2" s="37" t="s">
        <v>702</v>
      </c>
      <c r="H2" s="37" t="s">
        <v>703</v>
      </c>
      <c r="I2" s="37" t="s">
        <v>704</v>
      </c>
      <c r="J2" s="37" t="s">
        <v>705</v>
      </c>
      <c r="K2" s="37" t="s">
        <v>706</v>
      </c>
      <c r="L2" s="37" t="s">
        <v>707</v>
      </c>
      <c r="M2" s="77" t="s">
        <v>708</v>
      </c>
      <c r="N2" s="77" t="s">
        <v>709</v>
      </c>
      <c r="O2" s="37" t="s">
        <v>710</v>
      </c>
      <c r="P2" s="37" t="s">
        <v>711</v>
      </c>
      <c r="Q2" s="37" t="s">
        <v>712</v>
      </c>
      <c r="R2" s="37" t="s">
        <v>713</v>
      </c>
      <c r="S2" s="37" t="s">
        <v>714</v>
      </c>
      <c r="T2" s="37" t="s">
        <v>715</v>
      </c>
      <c r="U2" s="37" t="s">
        <v>716</v>
      </c>
      <c r="V2" s="37" t="s">
        <v>717</v>
      </c>
      <c r="W2" s="37" t="s">
        <v>718</v>
      </c>
      <c r="X2" s="37" t="s">
        <v>719</v>
      </c>
      <c r="Y2" s="37" t="s">
        <v>675</v>
      </c>
    </row>
    <row r="3" ht="15.75" customHeight="1">
      <c r="A3" s="39" t="s">
        <v>720</v>
      </c>
      <c r="B3" s="39" t="s">
        <v>720</v>
      </c>
      <c r="C3" s="39" t="s">
        <v>721</v>
      </c>
      <c r="D3" s="39" t="s">
        <v>722</v>
      </c>
      <c r="E3" s="78">
        <v>46099.0</v>
      </c>
      <c r="F3" s="39" t="s">
        <v>723</v>
      </c>
      <c r="G3" s="39" t="s">
        <v>720</v>
      </c>
      <c r="H3" s="39" t="s">
        <v>724</v>
      </c>
      <c r="I3" s="39" t="s">
        <v>725</v>
      </c>
      <c r="J3" s="39" t="s">
        <v>726</v>
      </c>
      <c r="K3" s="39" t="s">
        <v>727</v>
      </c>
      <c r="L3" s="39" t="s">
        <v>728</v>
      </c>
      <c r="M3" s="39" t="s">
        <v>728</v>
      </c>
      <c r="N3" s="39" t="s">
        <v>728</v>
      </c>
      <c r="O3" s="39" t="s">
        <v>729</v>
      </c>
      <c r="P3" s="39" t="s">
        <v>730</v>
      </c>
      <c r="Q3" s="39" t="s">
        <v>731</v>
      </c>
      <c r="R3" s="39" t="s">
        <v>732</v>
      </c>
      <c r="S3" s="39" t="s">
        <v>733</v>
      </c>
      <c r="T3" s="39" t="s">
        <v>734</v>
      </c>
      <c r="U3" s="39" t="s">
        <v>734</v>
      </c>
      <c r="V3" s="39" t="s">
        <v>735</v>
      </c>
      <c r="W3" s="39" t="s">
        <v>736</v>
      </c>
      <c r="X3" s="39" t="s">
        <v>737</v>
      </c>
      <c r="Y3" s="39" t="s">
        <v>720</v>
      </c>
    </row>
    <row r="4" ht="21.75" customHeight="1">
      <c r="A4" s="79">
        <v>1.0</v>
      </c>
      <c r="B4" s="73">
        <v>1.0</v>
      </c>
      <c r="C4" s="80">
        <v>15000.0</v>
      </c>
      <c r="D4" s="81">
        <f t="shared" ref="D4:D15" si="1">C4*1.0628</f>
        <v>15942</v>
      </c>
      <c r="E4" s="78">
        <v>46099.0</v>
      </c>
      <c r="F4" s="82" t="str">
        <f t="shared" ref="F4:F15" si="2">TEXT(E4,"DDD")</f>
        <v>Wed</v>
      </c>
      <c r="G4" s="83" t="s">
        <v>738</v>
      </c>
      <c r="H4" s="44">
        <v>293.3</v>
      </c>
      <c r="I4" s="81">
        <f t="shared" ref="I4:I15" si="3">IF(H4&gt;0,H4*1.0628,"")</f>
        <v>311.71924</v>
      </c>
      <c r="J4" s="81">
        <f t="shared" ref="J4:J16" si="4">ROUND(C4*0.5,2)</f>
        <v>7500</v>
      </c>
      <c r="K4" s="84"/>
      <c r="L4" s="78"/>
      <c r="M4" s="45"/>
      <c r="N4" s="45"/>
      <c r="O4" s="44">
        <v>297.65</v>
      </c>
      <c r="P4" s="85">
        <f t="shared" ref="P4:P17" si="5">IF(AND(O4&gt;0,I4&gt;0),(O4/I4-1)*100,"")</f>
        <v>-4.513433306</v>
      </c>
      <c r="Q4" s="85">
        <f t="shared" ref="Q4:Q17" si="6">IF(AND(O4&gt;0,H4&gt;0),(O4/H4-1)*100,"")</f>
        <v>1.483123082</v>
      </c>
      <c r="R4" s="82">
        <f t="shared" ref="R4:R17" si="7">IF(K4&lt;&gt;"",K4-E4,TODAY()-E4)</f>
        <v>12</v>
      </c>
      <c r="S4" s="86">
        <f t="shared" ref="S4:S17" si="8">E4+30</f>
        <v>46129</v>
      </c>
      <c r="T4" s="49" t="s">
        <v>739</v>
      </c>
      <c r="U4" s="49" t="s">
        <v>678</v>
      </c>
      <c r="V4" s="87">
        <v>5.0</v>
      </c>
      <c r="W4" s="46" t="str">
        <f t="shared" ref="W4:W17" si="9">IF(K4&lt;&gt;"","CLOSED ✅",IF(R4&gt;30,"REVIEW ⚠",IF(AND(O4&gt;0,I4&gt;0,O4&gt;=I4),"TARGET HIT! ★","OPEN ⏳")))</f>
        <v>OPEN ⏳</v>
      </c>
      <c r="X4" s="81" t="str">
        <f t="shared" ref="X4:X17" si="10">IF(AND(K4&lt;&gt;"",H4&gt;0),(C4*0.0628-C4*0.0628*0.00247)*0.2,"")</f>
        <v/>
      </c>
      <c r="Y4" s="51" t="s">
        <v>740</v>
      </c>
    </row>
    <row r="5" ht="21.75" customHeight="1">
      <c r="A5" s="79">
        <v>1.0</v>
      </c>
      <c r="B5" s="73">
        <v>6.0</v>
      </c>
      <c r="C5" s="80">
        <v>16879.31</v>
      </c>
      <c r="D5" s="81">
        <f t="shared" si="1"/>
        <v>17939.33067</v>
      </c>
      <c r="E5" s="78">
        <v>46099.0</v>
      </c>
      <c r="F5" s="82" t="str">
        <f t="shared" si="2"/>
        <v>Wed</v>
      </c>
      <c r="G5" s="83" t="s">
        <v>741</v>
      </c>
      <c r="H5" s="44">
        <v>100.72</v>
      </c>
      <c r="I5" s="81">
        <f t="shared" si="3"/>
        <v>107.045216</v>
      </c>
      <c r="J5" s="81">
        <f t="shared" si="4"/>
        <v>8439.66</v>
      </c>
      <c r="K5" s="78"/>
      <c r="L5" s="78">
        <v>46100.0</v>
      </c>
      <c r="M5" s="88">
        <v>46105.0</v>
      </c>
      <c r="N5" s="45"/>
      <c r="O5" s="44">
        <v>98.9</v>
      </c>
      <c r="P5" s="85">
        <f t="shared" si="5"/>
        <v>-7.609135937</v>
      </c>
      <c r="Q5" s="85">
        <f t="shared" si="6"/>
        <v>-1.806989674</v>
      </c>
      <c r="R5" s="82">
        <f t="shared" si="7"/>
        <v>12</v>
      </c>
      <c r="S5" s="86">
        <f t="shared" si="8"/>
        <v>46129</v>
      </c>
      <c r="T5" s="49" t="s">
        <v>677</v>
      </c>
      <c r="U5" s="49" t="s">
        <v>678</v>
      </c>
      <c r="V5" s="87">
        <v>5.0</v>
      </c>
      <c r="W5" s="46" t="str">
        <f t="shared" si="9"/>
        <v>OPEN ⏳</v>
      </c>
      <c r="X5" s="81" t="str">
        <f t="shared" si="10"/>
        <v/>
      </c>
      <c r="Y5" s="51" t="s">
        <v>742</v>
      </c>
    </row>
    <row r="6" ht="21.75" customHeight="1">
      <c r="A6" s="79">
        <v>1.0</v>
      </c>
      <c r="B6" s="73">
        <v>11.0</v>
      </c>
      <c r="C6" s="80">
        <v>18994.07</v>
      </c>
      <c r="D6" s="81">
        <f t="shared" si="1"/>
        <v>20186.8976</v>
      </c>
      <c r="E6" s="78">
        <v>46099.0</v>
      </c>
      <c r="F6" s="82" t="str">
        <f t="shared" si="2"/>
        <v>Wed</v>
      </c>
      <c r="G6" s="83" t="s">
        <v>743</v>
      </c>
      <c r="H6" s="44">
        <v>264.6</v>
      </c>
      <c r="I6" s="81">
        <f t="shared" si="3"/>
        <v>281.21688</v>
      </c>
      <c r="J6" s="81">
        <f t="shared" si="4"/>
        <v>9497.04</v>
      </c>
      <c r="K6" s="78"/>
      <c r="L6" s="78"/>
      <c r="M6" s="45"/>
      <c r="N6" s="45"/>
      <c r="O6" s="44">
        <v>267.45</v>
      </c>
      <c r="P6" s="85">
        <f t="shared" si="5"/>
        <v>-4.895467157</v>
      </c>
      <c r="Q6" s="85">
        <f t="shared" si="6"/>
        <v>1.077097506</v>
      </c>
      <c r="R6" s="82">
        <f t="shared" si="7"/>
        <v>12</v>
      </c>
      <c r="S6" s="86">
        <f t="shared" si="8"/>
        <v>46129</v>
      </c>
      <c r="T6" s="49" t="s">
        <v>739</v>
      </c>
      <c r="U6" s="49" t="s">
        <v>678</v>
      </c>
      <c r="V6" s="87">
        <v>5.0</v>
      </c>
      <c r="W6" s="46" t="str">
        <f t="shared" si="9"/>
        <v>OPEN ⏳</v>
      </c>
      <c r="X6" s="81" t="str">
        <f t="shared" si="10"/>
        <v/>
      </c>
      <c r="Y6" s="51" t="s">
        <v>744</v>
      </c>
    </row>
    <row r="7" ht="21.75" customHeight="1">
      <c r="A7" s="89">
        <v>1.0</v>
      </c>
      <c r="B7" s="90">
        <v>16.0</v>
      </c>
      <c r="C7" s="91">
        <v>21373.79</v>
      </c>
      <c r="D7" s="81">
        <f t="shared" si="1"/>
        <v>22716.06401</v>
      </c>
      <c r="E7" s="78">
        <v>46099.0</v>
      </c>
      <c r="F7" s="82" t="str">
        <f t="shared" si="2"/>
        <v>Wed</v>
      </c>
      <c r="G7" s="92" t="s">
        <v>745</v>
      </c>
      <c r="H7" s="45"/>
      <c r="I7" s="81" t="str">
        <f t="shared" si="3"/>
        <v/>
      </c>
      <c r="J7" s="81">
        <f t="shared" si="4"/>
        <v>10686.9</v>
      </c>
      <c r="K7" s="93">
        <v>46092.0</v>
      </c>
      <c r="L7" s="93"/>
      <c r="M7" s="45"/>
      <c r="N7" s="45"/>
      <c r="O7" s="45"/>
      <c r="P7" s="85" t="str">
        <f t="shared" si="5"/>
        <v/>
      </c>
      <c r="Q7" s="85" t="str">
        <f t="shared" si="6"/>
        <v/>
      </c>
      <c r="R7" s="82">
        <f t="shared" si="7"/>
        <v>-7</v>
      </c>
      <c r="S7" s="86">
        <f t="shared" si="8"/>
        <v>46129</v>
      </c>
      <c r="T7" s="49" t="s">
        <v>746</v>
      </c>
      <c r="U7" s="49" t="s">
        <v>746</v>
      </c>
      <c r="V7" s="94">
        <v>7.0</v>
      </c>
      <c r="W7" s="46" t="str">
        <f t="shared" si="9"/>
        <v>CLOSED ✅</v>
      </c>
      <c r="X7" s="81" t="str">
        <f t="shared" si="10"/>
        <v/>
      </c>
      <c r="Y7" s="95" t="s">
        <v>747</v>
      </c>
    </row>
    <row r="8" ht="15.0" customHeight="1">
      <c r="A8" s="79">
        <v>2.0</v>
      </c>
      <c r="B8" s="73">
        <v>2.0</v>
      </c>
      <c r="C8" s="80">
        <v>15358.33</v>
      </c>
      <c r="D8" s="81">
        <f t="shared" si="1"/>
        <v>16322.83312</v>
      </c>
      <c r="E8" s="78">
        <v>46099.0</v>
      </c>
      <c r="F8" s="82" t="str">
        <f t="shared" si="2"/>
        <v>Wed</v>
      </c>
      <c r="G8" s="83" t="s">
        <v>748</v>
      </c>
      <c r="H8" s="44">
        <v>1840.0</v>
      </c>
      <c r="I8" s="81">
        <f t="shared" si="3"/>
        <v>1955.552</v>
      </c>
      <c r="J8" s="81">
        <f t="shared" si="4"/>
        <v>7679.17</v>
      </c>
      <c r="K8" s="78"/>
      <c r="L8" s="84">
        <v>46105.0</v>
      </c>
      <c r="M8" s="45"/>
      <c r="N8" s="45"/>
      <c r="O8" s="44">
        <v>1799.1</v>
      </c>
      <c r="P8" s="85">
        <f t="shared" si="5"/>
        <v>-8.00040091</v>
      </c>
      <c r="Q8" s="85">
        <f t="shared" si="6"/>
        <v>-2.222826087</v>
      </c>
      <c r="R8" s="82">
        <f t="shared" si="7"/>
        <v>12</v>
      </c>
      <c r="S8" s="86">
        <f t="shared" si="8"/>
        <v>46129</v>
      </c>
      <c r="T8" s="49" t="s">
        <v>739</v>
      </c>
      <c r="U8" s="49" t="s">
        <v>749</v>
      </c>
      <c r="V8" s="87">
        <v>7.0</v>
      </c>
      <c r="W8" s="46" t="str">
        <f t="shared" si="9"/>
        <v>OPEN ⏳</v>
      </c>
      <c r="X8" s="81" t="str">
        <f t="shared" si="10"/>
        <v/>
      </c>
      <c r="Y8" s="51" t="s">
        <v>750</v>
      </c>
    </row>
    <row r="9" ht="21.75" customHeight="1">
      <c r="A9" s="79">
        <v>2.0</v>
      </c>
      <c r="B9" s="73">
        <v>7.0</v>
      </c>
      <c r="C9" s="80">
        <v>17282.53</v>
      </c>
      <c r="D9" s="81">
        <f t="shared" si="1"/>
        <v>18367.87288</v>
      </c>
      <c r="E9" s="78">
        <v>46099.0</v>
      </c>
      <c r="F9" s="82" t="str">
        <f t="shared" si="2"/>
        <v>Wed</v>
      </c>
      <c r="G9" s="83" t="s">
        <v>751</v>
      </c>
      <c r="H9" s="44">
        <v>521.75</v>
      </c>
      <c r="I9" s="81">
        <f t="shared" si="3"/>
        <v>554.5159</v>
      </c>
      <c r="J9" s="81">
        <f t="shared" si="4"/>
        <v>8641.27</v>
      </c>
      <c r="K9" s="78"/>
      <c r="L9" s="84">
        <v>46105.0</v>
      </c>
      <c r="M9" s="45"/>
      <c r="N9" s="45"/>
      <c r="O9" s="44">
        <v>514.45</v>
      </c>
      <c r="P9" s="85">
        <f t="shared" si="5"/>
        <v>-7.225383438</v>
      </c>
      <c r="Q9" s="85">
        <f t="shared" si="6"/>
        <v>-1.399137518</v>
      </c>
      <c r="R9" s="82">
        <f t="shared" si="7"/>
        <v>12</v>
      </c>
      <c r="S9" s="86">
        <f t="shared" si="8"/>
        <v>46129</v>
      </c>
      <c r="T9" s="49" t="s">
        <v>739</v>
      </c>
      <c r="U9" s="49" t="s">
        <v>749</v>
      </c>
      <c r="V9" s="87">
        <v>10.0</v>
      </c>
      <c r="W9" s="46" t="str">
        <f t="shared" si="9"/>
        <v>OPEN ⏳</v>
      </c>
      <c r="X9" s="81" t="str">
        <f t="shared" si="10"/>
        <v/>
      </c>
      <c r="Y9" s="51" t="s">
        <v>752</v>
      </c>
    </row>
    <row r="10">
      <c r="A10" s="4"/>
      <c r="B10" s="96">
        <v>13.0</v>
      </c>
      <c r="C10" s="96">
        <v>19810.0</v>
      </c>
      <c r="D10" s="81">
        <f t="shared" si="1"/>
        <v>21054.068</v>
      </c>
      <c r="E10" s="78">
        <v>46099.0</v>
      </c>
      <c r="F10" s="82" t="str">
        <f t="shared" si="2"/>
        <v>Wed</v>
      </c>
      <c r="G10" s="97" t="s">
        <v>753</v>
      </c>
      <c r="H10" s="44">
        <v>2830.0</v>
      </c>
      <c r="I10" s="81">
        <f t="shared" si="3"/>
        <v>3007.724</v>
      </c>
      <c r="J10" s="81">
        <f t="shared" si="4"/>
        <v>9905</v>
      </c>
      <c r="K10" s="78"/>
      <c r="L10" s="78"/>
      <c r="M10" s="4"/>
      <c r="N10" s="4"/>
      <c r="O10" s="44">
        <v>2894.9</v>
      </c>
      <c r="P10" s="85">
        <f t="shared" si="5"/>
        <v>-3.75114206</v>
      </c>
      <c r="Q10" s="85">
        <f t="shared" si="6"/>
        <v>2.293286219</v>
      </c>
      <c r="R10" s="82">
        <f t="shared" si="7"/>
        <v>12</v>
      </c>
      <c r="S10" s="86">
        <f t="shared" si="8"/>
        <v>46129</v>
      </c>
      <c r="T10" s="49" t="s">
        <v>739</v>
      </c>
      <c r="U10" s="49" t="s">
        <v>749</v>
      </c>
      <c r="V10" s="87">
        <v>10.0</v>
      </c>
      <c r="W10" s="46" t="str">
        <f t="shared" si="9"/>
        <v>OPEN ⏳</v>
      </c>
      <c r="X10" s="81" t="str">
        <f t="shared" si="10"/>
        <v/>
      </c>
      <c r="Y10" s="4"/>
    </row>
    <row r="11">
      <c r="A11" s="4"/>
      <c r="B11" s="4"/>
      <c r="C11" s="4"/>
      <c r="D11" s="81">
        <f t="shared" si="1"/>
        <v>0</v>
      </c>
      <c r="E11" s="78">
        <v>46099.0</v>
      </c>
      <c r="F11" s="82" t="str">
        <f t="shared" si="2"/>
        <v>Wed</v>
      </c>
      <c r="G11" s="83"/>
      <c r="H11" s="44"/>
      <c r="I11" s="81" t="str">
        <f t="shared" si="3"/>
        <v/>
      </c>
      <c r="J11" s="81">
        <f t="shared" si="4"/>
        <v>0</v>
      </c>
      <c r="K11" s="78"/>
      <c r="L11" s="78"/>
      <c r="M11" s="4"/>
      <c r="N11" s="4"/>
      <c r="O11" s="44"/>
      <c r="P11" s="85" t="str">
        <f t="shared" si="5"/>
        <v/>
      </c>
      <c r="Q11" s="85" t="str">
        <f t="shared" si="6"/>
        <v/>
      </c>
      <c r="R11" s="82">
        <f t="shared" si="7"/>
        <v>12</v>
      </c>
      <c r="S11" s="86">
        <f t="shared" si="8"/>
        <v>46129</v>
      </c>
      <c r="T11" s="49" t="s">
        <v>739</v>
      </c>
      <c r="U11" s="49" t="s">
        <v>749</v>
      </c>
      <c r="V11" s="87">
        <v>10.0</v>
      </c>
      <c r="W11" s="46" t="str">
        <f t="shared" si="9"/>
        <v>OPEN ⏳</v>
      </c>
      <c r="X11" s="81" t="str">
        <f t="shared" si="10"/>
        <v/>
      </c>
      <c r="Y11" s="4"/>
    </row>
    <row r="12">
      <c r="A12" s="4"/>
      <c r="B12" s="4"/>
      <c r="C12" s="4"/>
      <c r="D12" s="81">
        <f t="shared" si="1"/>
        <v>0</v>
      </c>
      <c r="E12" s="78">
        <v>46099.0</v>
      </c>
      <c r="F12" s="82" t="str">
        <f t="shared" si="2"/>
        <v>Wed</v>
      </c>
      <c r="G12" s="83"/>
      <c r="H12" s="44"/>
      <c r="I12" s="81" t="str">
        <f t="shared" si="3"/>
        <v/>
      </c>
      <c r="J12" s="81">
        <f t="shared" si="4"/>
        <v>0</v>
      </c>
      <c r="K12" s="78"/>
      <c r="L12" s="78"/>
      <c r="M12" s="4"/>
      <c r="N12" s="4"/>
      <c r="O12" s="44"/>
      <c r="P12" s="85" t="str">
        <f t="shared" si="5"/>
        <v/>
      </c>
      <c r="Q12" s="85" t="str">
        <f t="shared" si="6"/>
        <v/>
      </c>
      <c r="R12" s="82">
        <f t="shared" si="7"/>
        <v>12</v>
      </c>
      <c r="S12" s="86">
        <f t="shared" si="8"/>
        <v>46129</v>
      </c>
      <c r="T12" s="49" t="s">
        <v>739</v>
      </c>
      <c r="U12" s="49" t="s">
        <v>749</v>
      </c>
      <c r="V12" s="87">
        <v>10.0</v>
      </c>
      <c r="W12" s="46" t="str">
        <f t="shared" si="9"/>
        <v>OPEN ⏳</v>
      </c>
      <c r="X12" s="81" t="str">
        <f t="shared" si="10"/>
        <v/>
      </c>
      <c r="Y12" s="4"/>
    </row>
    <row r="13">
      <c r="A13" s="4"/>
      <c r="B13" s="4"/>
      <c r="C13" s="4"/>
      <c r="D13" s="81">
        <f t="shared" si="1"/>
        <v>0</v>
      </c>
      <c r="E13" s="78">
        <v>46099.0</v>
      </c>
      <c r="F13" s="82" t="str">
        <f t="shared" si="2"/>
        <v>Wed</v>
      </c>
      <c r="G13" s="83"/>
      <c r="H13" s="44"/>
      <c r="I13" s="81" t="str">
        <f t="shared" si="3"/>
        <v/>
      </c>
      <c r="J13" s="81">
        <f t="shared" si="4"/>
        <v>0</v>
      </c>
      <c r="K13" s="78"/>
      <c r="L13" s="78"/>
      <c r="M13" s="4"/>
      <c r="N13" s="4"/>
      <c r="O13" s="44"/>
      <c r="P13" s="85" t="str">
        <f t="shared" si="5"/>
        <v/>
      </c>
      <c r="Q13" s="85" t="str">
        <f t="shared" si="6"/>
        <v/>
      </c>
      <c r="R13" s="82">
        <f t="shared" si="7"/>
        <v>12</v>
      </c>
      <c r="S13" s="86">
        <f t="shared" si="8"/>
        <v>46129</v>
      </c>
      <c r="T13" s="49" t="s">
        <v>739</v>
      </c>
      <c r="U13" s="49" t="s">
        <v>749</v>
      </c>
      <c r="V13" s="87">
        <v>10.0</v>
      </c>
      <c r="W13" s="46" t="str">
        <f t="shared" si="9"/>
        <v>OPEN ⏳</v>
      </c>
      <c r="X13" s="81" t="str">
        <f t="shared" si="10"/>
        <v/>
      </c>
      <c r="Y13" s="4"/>
    </row>
    <row r="14">
      <c r="A14" s="4"/>
      <c r="B14" s="4"/>
      <c r="C14" s="4"/>
      <c r="D14" s="81">
        <f t="shared" si="1"/>
        <v>0</v>
      </c>
      <c r="E14" s="78">
        <v>46099.0</v>
      </c>
      <c r="F14" s="82" t="str">
        <f t="shared" si="2"/>
        <v>Wed</v>
      </c>
      <c r="G14" s="83"/>
      <c r="H14" s="44"/>
      <c r="I14" s="81" t="str">
        <f t="shared" si="3"/>
        <v/>
      </c>
      <c r="J14" s="81">
        <f t="shared" si="4"/>
        <v>0</v>
      </c>
      <c r="K14" s="78"/>
      <c r="L14" s="78"/>
      <c r="M14" s="4"/>
      <c r="N14" s="4"/>
      <c r="O14" s="44"/>
      <c r="P14" s="85" t="str">
        <f t="shared" si="5"/>
        <v/>
      </c>
      <c r="Q14" s="85" t="str">
        <f t="shared" si="6"/>
        <v/>
      </c>
      <c r="R14" s="82">
        <f t="shared" si="7"/>
        <v>12</v>
      </c>
      <c r="S14" s="86">
        <f t="shared" si="8"/>
        <v>46129</v>
      </c>
      <c r="T14" s="49" t="s">
        <v>739</v>
      </c>
      <c r="U14" s="49" t="s">
        <v>749</v>
      </c>
      <c r="V14" s="87">
        <v>10.0</v>
      </c>
      <c r="W14" s="46" t="str">
        <f t="shared" si="9"/>
        <v>OPEN ⏳</v>
      </c>
      <c r="X14" s="81" t="str">
        <f t="shared" si="10"/>
        <v/>
      </c>
      <c r="Y14" s="4"/>
    </row>
    <row r="15">
      <c r="A15" s="4"/>
      <c r="B15" s="4"/>
      <c r="C15" s="4"/>
      <c r="D15" s="81">
        <f t="shared" si="1"/>
        <v>0</v>
      </c>
      <c r="E15" s="78">
        <v>46099.0</v>
      </c>
      <c r="F15" s="82" t="str">
        <f t="shared" si="2"/>
        <v>Wed</v>
      </c>
      <c r="G15" s="83"/>
      <c r="H15" s="44"/>
      <c r="I15" s="81" t="str">
        <f t="shared" si="3"/>
        <v/>
      </c>
      <c r="J15" s="81">
        <f t="shared" si="4"/>
        <v>0</v>
      </c>
      <c r="K15" s="78"/>
      <c r="L15" s="78"/>
      <c r="M15" s="4"/>
      <c r="N15" s="4"/>
      <c r="O15" s="44"/>
      <c r="P15" s="85" t="str">
        <f t="shared" si="5"/>
        <v/>
      </c>
      <c r="Q15" s="85" t="str">
        <f t="shared" si="6"/>
        <v/>
      </c>
      <c r="R15" s="82">
        <f t="shared" si="7"/>
        <v>12</v>
      </c>
      <c r="S15" s="86">
        <f t="shared" si="8"/>
        <v>46129</v>
      </c>
      <c r="T15" s="49" t="s">
        <v>739</v>
      </c>
      <c r="U15" s="49" t="s">
        <v>749</v>
      </c>
      <c r="V15" s="87">
        <v>10.0</v>
      </c>
      <c r="W15" s="46" t="str">
        <f t="shared" si="9"/>
        <v>OPEN ⏳</v>
      </c>
      <c r="X15" s="81" t="str">
        <f t="shared" si="10"/>
        <v/>
      </c>
      <c r="Y15" s="4"/>
    </row>
    <row r="16">
      <c r="A16" s="4"/>
      <c r="B16" s="4"/>
      <c r="C16" s="4"/>
      <c r="D16" s="4"/>
      <c r="E16" s="4"/>
      <c r="F16" s="4"/>
      <c r="G16" s="83"/>
      <c r="H16" s="44"/>
      <c r="I16" s="4"/>
      <c r="J16" s="81">
        <f t="shared" si="4"/>
        <v>0</v>
      </c>
      <c r="K16" s="78"/>
      <c r="L16" s="78"/>
      <c r="M16" s="4"/>
      <c r="N16" s="4"/>
      <c r="O16" s="44"/>
      <c r="P16" s="85" t="str">
        <f t="shared" si="5"/>
        <v/>
      </c>
      <c r="Q16" s="85" t="str">
        <f t="shared" si="6"/>
        <v/>
      </c>
      <c r="R16" s="98">
        <f t="shared" si="7"/>
        <v>46111</v>
      </c>
      <c r="S16" s="86">
        <f t="shared" si="8"/>
        <v>30</v>
      </c>
      <c r="T16" s="49" t="s">
        <v>739</v>
      </c>
      <c r="U16" s="49" t="s">
        <v>749</v>
      </c>
      <c r="V16" s="87">
        <v>10.0</v>
      </c>
      <c r="W16" s="46" t="str">
        <f t="shared" si="9"/>
        <v>REVIEW ⚠</v>
      </c>
      <c r="X16" s="81" t="str">
        <f t="shared" si="10"/>
        <v/>
      </c>
      <c r="Y16" s="4"/>
    </row>
    <row r="17">
      <c r="A17" s="4"/>
      <c r="B17" s="4"/>
      <c r="C17" s="4"/>
      <c r="D17" s="4"/>
      <c r="E17" s="4"/>
      <c r="F17" s="4"/>
      <c r="G17" s="83"/>
      <c r="H17" s="44"/>
      <c r="I17" s="4"/>
      <c r="J17" s="4"/>
      <c r="K17" s="4"/>
      <c r="L17" s="4"/>
      <c r="M17" s="4"/>
      <c r="N17" s="4"/>
      <c r="O17" s="44"/>
      <c r="P17" s="85" t="str">
        <f t="shared" si="5"/>
        <v/>
      </c>
      <c r="Q17" s="85" t="str">
        <f t="shared" si="6"/>
        <v/>
      </c>
      <c r="R17" s="98">
        <f t="shared" si="7"/>
        <v>46111</v>
      </c>
      <c r="S17" s="86">
        <f t="shared" si="8"/>
        <v>30</v>
      </c>
      <c r="T17" s="49" t="s">
        <v>739</v>
      </c>
      <c r="U17" s="49" t="s">
        <v>749</v>
      </c>
      <c r="V17" s="87">
        <v>10.0</v>
      </c>
      <c r="W17" s="46" t="str">
        <f t="shared" si="9"/>
        <v>REVIEW ⚠</v>
      </c>
      <c r="X17" s="81" t="str">
        <f t="shared" si="10"/>
        <v/>
      </c>
      <c r="Y17" s="4"/>
    </row>
    <row r="18">
      <c r="A18" s="4"/>
      <c r="B18" s="4"/>
      <c r="C18" s="4"/>
      <c r="D18" s="4"/>
      <c r="E18" s="4"/>
      <c r="F18" s="4"/>
      <c r="G18" s="83"/>
      <c r="H18" s="4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Y1"/>
  </mergeCells>
  <conditionalFormatting sqref="R4:R17">
    <cfRule type="cellIs" dxfId="4" priority="1" operator="greaterThan">
      <formula>30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449"/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3" width="13.13"/>
    <col customWidth="1" min="4" max="4" width="12.25"/>
    <col customWidth="1" min="5" max="5" width="13.13"/>
    <col customWidth="1" min="6" max="8" width="11.38"/>
    <col customWidth="1" min="9" max="9" width="13.13"/>
    <col customWidth="1" min="10" max="10" width="14.0"/>
  </cols>
  <sheetData>
    <row r="1" ht="26.25" customHeight="1">
      <c r="A1" s="5" t="s">
        <v>754</v>
      </c>
      <c r="B1" s="2"/>
      <c r="C1" s="2"/>
      <c r="D1" s="2"/>
      <c r="E1" s="2"/>
      <c r="F1" s="2"/>
      <c r="G1" s="2"/>
      <c r="H1" s="2"/>
      <c r="I1" s="2"/>
      <c r="J1" s="2"/>
    </row>
    <row r="2" ht="18.0" customHeight="1">
      <c r="A2" s="99" t="s">
        <v>755</v>
      </c>
      <c r="B2" s="2"/>
      <c r="C2" s="2"/>
      <c r="D2" s="2"/>
      <c r="E2" s="2"/>
      <c r="F2" s="2"/>
      <c r="G2" s="2"/>
      <c r="H2" s="2"/>
      <c r="I2" s="2"/>
      <c r="J2" s="2"/>
    </row>
    <row r="3" ht="27.75" customHeight="1">
      <c r="A3" s="37" t="s">
        <v>756</v>
      </c>
      <c r="B3" s="37" t="s">
        <v>698</v>
      </c>
      <c r="C3" s="37" t="s">
        <v>757</v>
      </c>
      <c r="D3" s="37" t="s">
        <v>758</v>
      </c>
      <c r="E3" s="37" t="s">
        <v>759</v>
      </c>
      <c r="F3" s="37" t="s">
        <v>760</v>
      </c>
      <c r="G3" s="37" t="s">
        <v>761</v>
      </c>
      <c r="H3" s="37" t="s">
        <v>762</v>
      </c>
      <c r="I3" s="37" t="s">
        <v>763</v>
      </c>
      <c r="J3" s="37" t="s">
        <v>764</v>
      </c>
    </row>
    <row r="4" ht="15.0" customHeight="1">
      <c r="A4" s="89">
        <v>1.0</v>
      </c>
      <c r="B4" s="100">
        <v>15000.0</v>
      </c>
      <c r="C4" s="100">
        <v>15942.0</v>
      </c>
      <c r="D4" s="100">
        <v>942.0</v>
      </c>
      <c r="E4" s="100">
        <v>37.1304</v>
      </c>
      <c r="F4" s="100">
        <v>904.8696</v>
      </c>
      <c r="G4" s="100">
        <v>188.2128768</v>
      </c>
      <c r="H4" s="100">
        <v>716.6567232</v>
      </c>
      <c r="I4" s="100">
        <v>358.3283616</v>
      </c>
      <c r="J4" s="100">
        <v>358.3283616</v>
      </c>
    </row>
    <row r="5" ht="15.0" customHeight="1">
      <c r="A5" s="79">
        <v>2.0</v>
      </c>
      <c r="B5" s="80">
        <v>15358.32836</v>
      </c>
      <c r="C5" s="80">
        <v>16322.831381008</v>
      </c>
      <c r="D5" s="80">
        <v>964.5030211</v>
      </c>
      <c r="E5" s="80">
        <v>38.01739169</v>
      </c>
      <c r="F5" s="80">
        <v>926.4856294</v>
      </c>
      <c r="G5" s="80">
        <v>192.7090109</v>
      </c>
      <c r="H5" s="80">
        <v>733.7766185</v>
      </c>
      <c r="I5" s="80">
        <v>366.8883092</v>
      </c>
      <c r="J5" s="80">
        <v>366.8883092</v>
      </c>
    </row>
    <row r="6" ht="15.0" customHeight="1">
      <c r="A6" s="101">
        <v>3.0</v>
      </c>
      <c r="B6" s="102">
        <v>15725.21667</v>
      </c>
      <c r="C6" s="102">
        <v>16712.760276876</v>
      </c>
      <c r="D6" s="102">
        <v>987.5436069</v>
      </c>
      <c r="E6" s="102">
        <v>38.92557234</v>
      </c>
      <c r="F6" s="102">
        <v>948.6180346</v>
      </c>
      <c r="G6" s="102">
        <v>197.3125512</v>
      </c>
      <c r="H6" s="102">
        <v>751.3054834</v>
      </c>
      <c r="I6" s="102">
        <v>375.6527417</v>
      </c>
      <c r="J6" s="102">
        <v>375.6527417</v>
      </c>
    </row>
    <row r="7" ht="15.0" customHeight="1">
      <c r="A7" s="79">
        <v>4.0</v>
      </c>
      <c r="B7" s="80">
        <v>16100.86941</v>
      </c>
      <c r="C7" s="80">
        <v>17112.004008948</v>
      </c>
      <c r="D7" s="80">
        <v>1011.134599</v>
      </c>
      <c r="E7" s="80">
        <v>39.85544811</v>
      </c>
      <c r="F7" s="80">
        <v>971.279151</v>
      </c>
      <c r="G7" s="80">
        <v>202.0260634</v>
      </c>
      <c r="H7" s="80">
        <v>769.2530876</v>
      </c>
      <c r="I7" s="80">
        <v>384.6265438</v>
      </c>
      <c r="J7" s="80">
        <v>384.6265438</v>
      </c>
    </row>
    <row r="8" ht="15.0" customHeight="1">
      <c r="A8" s="101">
        <v>5.0</v>
      </c>
      <c r="B8" s="102">
        <v>16485.49596</v>
      </c>
      <c r="C8" s="102">
        <v>17520.785106288</v>
      </c>
      <c r="D8" s="102">
        <v>1035.289146</v>
      </c>
      <c r="E8" s="102">
        <v>40.80753727</v>
      </c>
      <c r="F8" s="102">
        <v>994.4816088</v>
      </c>
      <c r="G8" s="102">
        <v>206.8521746</v>
      </c>
      <c r="H8" s="102">
        <v>787.6294342</v>
      </c>
      <c r="I8" s="102">
        <v>393.8147171</v>
      </c>
      <c r="J8" s="102">
        <v>393.8147171</v>
      </c>
    </row>
    <row r="9" ht="15.0" customHeight="1">
      <c r="A9" s="79">
        <v>6.0</v>
      </c>
      <c r="B9" s="80">
        <v>16879.31067</v>
      </c>
      <c r="C9" s="80">
        <v>17939.331380076</v>
      </c>
      <c r="D9" s="80">
        <v>1060.02071</v>
      </c>
      <c r="E9" s="80">
        <v>41.78237047</v>
      </c>
      <c r="F9" s="80">
        <v>1018.23834</v>
      </c>
      <c r="G9" s="80">
        <v>211.7935747</v>
      </c>
      <c r="H9" s="80">
        <v>806.4447651</v>
      </c>
      <c r="I9" s="80">
        <v>403.2223826</v>
      </c>
      <c r="J9" s="80">
        <v>403.2223826</v>
      </c>
    </row>
    <row r="10" ht="15.0" customHeight="1">
      <c r="A10" s="101">
        <v>7.0</v>
      </c>
      <c r="B10" s="102">
        <v>17282.53306</v>
      </c>
      <c r="C10" s="102">
        <v>18367.876136168</v>
      </c>
      <c r="D10" s="102">
        <v>1085.343076</v>
      </c>
      <c r="E10" s="102">
        <v>42.78049103</v>
      </c>
      <c r="F10" s="102">
        <v>1042.562585</v>
      </c>
      <c r="G10" s="102">
        <v>216.8530177</v>
      </c>
      <c r="H10" s="102">
        <v>825.7095672</v>
      </c>
      <c r="I10" s="102">
        <v>412.8547836</v>
      </c>
      <c r="J10" s="102">
        <v>412.8547836</v>
      </c>
    </row>
    <row r="11" ht="15.0" customHeight="1">
      <c r="A11" s="79">
        <v>8.0</v>
      </c>
      <c r="B11" s="80">
        <v>17695.38784</v>
      </c>
      <c r="C11" s="80">
        <v>18806.658196352</v>
      </c>
      <c r="D11" s="80">
        <v>1111.270356</v>
      </c>
      <c r="E11" s="80">
        <v>43.80245524</v>
      </c>
      <c r="F11" s="80">
        <v>1067.467901</v>
      </c>
      <c r="G11" s="80">
        <v>222.0333234</v>
      </c>
      <c r="H11" s="80">
        <v>845.4345777</v>
      </c>
      <c r="I11" s="80">
        <v>422.7172888</v>
      </c>
      <c r="J11" s="80">
        <v>422.7172888</v>
      </c>
    </row>
    <row r="12" ht="15.0" customHeight="1">
      <c r="A12" s="101">
        <v>9.0</v>
      </c>
      <c r="B12" s="102">
        <v>18118.10513</v>
      </c>
      <c r="C12" s="102">
        <v>19255.922132164</v>
      </c>
      <c r="D12" s="102">
        <v>1137.817002</v>
      </c>
      <c r="E12" s="102">
        <v>44.84883271</v>
      </c>
      <c r="F12" s="102">
        <v>1092.968169</v>
      </c>
      <c r="G12" s="102">
        <v>227.3373792</v>
      </c>
      <c r="H12" s="102">
        <v>865.6307901</v>
      </c>
      <c r="I12" s="102">
        <v>432.8153951</v>
      </c>
      <c r="J12" s="102">
        <v>432.8153951</v>
      </c>
    </row>
    <row r="13" ht="15.0" customHeight="1">
      <c r="A13" s="79">
        <v>10.0</v>
      </c>
      <c r="B13" s="80">
        <v>18550.92052</v>
      </c>
      <c r="C13" s="80">
        <v>19715.918328656</v>
      </c>
      <c r="D13" s="80">
        <v>1164.997809</v>
      </c>
      <c r="E13" s="80">
        <v>45.92020663</v>
      </c>
      <c r="F13" s="80">
        <v>1119.077602</v>
      </c>
      <c r="G13" s="80">
        <v>232.7681413</v>
      </c>
      <c r="H13" s="80">
        <v>886.309461</v>
      </c>
      <c r="I13" s="80">
        <v>443.1547305</v>
      </c>
      <c r="J13" s="80">
        <v>443.1547305</v>
      </c>
    </row>
    <row r="14" ht="15.0" customHeight="1">
      <c r="A14" s="101">
        <v>11.0</v>
      </c>
      <c r="B14" s="102">
        <v>18994.07525</v>
      </c>
      <c r="C14" s="102">
        <v>20186.9031757</v>
      </c>
      <c r="D14" s="102">
        <v>1192.827926</v>
      </c>
      <c r="E14" s="102">
        <v>47.01717412</v>
      </c>
      <c r="F14" s="102">
        <v>1145.810752</v>
      </c>
      <c r="G14" s="102">
        <v>238.3286364</v>
      </c>
      <c r="H14" s="102">
        <v>907.4821154</v>
      </c>
      <c r="I14" s="102">
        <v>453.7410577</v>
      </c>
      <c r="J14" s="102">
        <v>453.7410577</v>
      </c>
    </row>
    <row r="15" ht="15.0" customHeight="1">
      <c r="A15" s="79">
        <v>12.0</v>
      </c>
      <c r="B15" s="80">
        <v>19447.81631</v>
      </c>
      <c r="C15" s="80">
        <v>20669.139174268</v>
      </c>
      <c r="D15" s="80">
        <v>1221.322864</v>
      </c>
      <c r="E15" s="80">
        <v>48.14034659</v>
      </c>
      <c r="F15" s="80">
        <v>1173.182518</v>
      </c>
      <c r="G15" s="80">
        <v>244.0219637</v>
      </c>
      <c r="H15" s="80">
        <v>929.1605541</v>
      </c>
      <c r="I15" s="80">
        <v>464.580277</v>
      </c>
      <c r="J15" s="80">
        <v>464.580277</v>
      </c>
    </row>
    <row r="16" ht="15.0" customHeight="1">
      <c r="A16" s="101">
        <v>13.0</v>
      </c>
      <c r="B16" s="102">
        <v>19912.39659</v>
      </c>
      <c r="C16" s="102">
        <v>21162.895095852</v>
      </c>
      <c r="D16" s="102">
        <v>1250.498506</v>
      </c>
      <c r="E16" s="102">
        <v>49.29035002</v>
      </c>
      <c r="F16" s="102">
        <v>1201.208156</v>
      </c>
      <c r="G16" s="102">
        <v>249.8512964</v>
      </c>
      <c r="H16" s="102">
        <v>951.3568594</v>
      </c>
      <c r="I16" s="102">
        <v>475.6784297</v>
      </c>
      <c r="J16" s="102">
        <v>475.6784297</v>
      </c>
    </row>
    <row r="17" ht="15.0" customHeight="1">
      <c r="A17" s="79">
        <v>14.0</v>
      </c>
      <c r="B17" s="80">
        <v>20388.07502</v>
      </c>
      <c r="C17" s="80">
        <v>21668.446131256</v>
      </c>
      <c r="D17" s="80">
        <v>1280.371111</v>
      </c>
      <c r="E17" s="80">
        <v>50.46782538</v>
      </c>
      <c r="F17" s="80">
        <v>1229.903286</v>
      </c>
      <c r="G17" s="80">
        <v>255.8198834</v>
      </c>
      <c r="H17" s="80">
        <v>974.0834023</v>
      </c>
      <c r="I17" s="80">
        <v>487.0417012</v>
      </c>
      <c r="J17" s="80">
        <v>487.0417012</v>
      </c>
    </row>
    <row r="18" ht="15.0" customHeight="1">
      <c r="A18" s="101">
        <v>15.0</v>
      </c>
      <c r="B18" s="102">
        <v>20875.11672</v>
      </c>
      <c r="C18" s="102">
        <v>22186.074050016</v>
      </c>
      <c r="D18" s="102">
        <v>1310.95733</v>
      </c>
      <c r="E18" s="102">
        <v>51.67342892</v>
      </c>
      <c r="F18" s="102">
        <v>1259.283901</v>
      </c>
      <c r="G18" s="102">
        <v>261.9310514</v>
      </c>
      <c r="H18" s="102">
        <v>997.3528496</v>
      </c>
      <c r="I18" s="102">
        <v>498.6764248</v>
      </c>
      <c r="J18" s="102">
        <v>498.6764248</v>
      </c>
    </row>
    <row r="19" ht="15.0" customHeight="1">
      <c r="A19" s="79">
        <v>16.0</v>
      </c>
      <c r="B19" s="80">
        <v>21373.79314</v>
      </c>
      <c r="C19" s="80">
        <v>22716.067349192</v>
      </c>
      <c r="D19" s="80">
        <v>1342.274209</v>
      </c>
      <c r="E19" s="80">
        <v>52.9078326</v>
      </c>
      <c r="F19" s="80">
        <v>1289.366377</v>
      </c>
      <c r="G19" s="80">
        <v>268.1882064</v>
      </c>
      <c r="H19" s="80">
        <v>1021.17817</v>
      </c>
      <c r="I19" s="80">
        <v>510.5890852</v>
      </c>
      <c r="J19" s="80">
        <v>510.5890852</v>
      </c>
    </row>
    <row r="20" ht="15.0" customHeight="1">
      <c r="A20" s="101">
        <v>17.0</v>
      </c>
      <c r="B20" s="102">
        <v>21884.38223</v>
      </c>
      <c r="C20" s="102">
        <v>23258.721434044</v>
      </c>
      <c r="D20" s="102">
        <v>1374.339204</v>
      </c>
      <c r="E20" s="102">
        <v>54.1717244</v>
      </c>
      <c r="F20" s="102">
        <v>1320.16748</v>
      </c>
      <c r="G20" s="102">
        <v>274.5948358</v>
      </c>
      <c r="H20" s="102">
        <v>1045.572644</v>
      </c>
      <c r="I20" s="102">
        <v>522.7863219</v>
      </c>
      <c r="J20" s="102">
        <v>522.7863219</v>
      </c>
    </row>
    <row r="21" ht="15.0" customHeight="1">
      <c r="A21" s="79">
        <v>18.0</v>
      </c>
      <c r="B21" s="80">
        <v>22407.16855</v>
      </c>
      <c r="C21" s="80">
        <v>23814.33873494</v>
      </c>
      <c r="D21" s="80">
        <v>1407.170185</v>
      </c>
      <c r="E21" s="80">
        <v>55.46580875</v>
      </c>
      <c r="F21" s="80">
        <v>1351.704376</v>
      </c>
      <c r="G21" s="80">
        <v>281.1545103</v>
      </c>
      <c r="H21" s="80">
        <v>1070.549866</v>
      </c>
      <c r="I21" s="80">
        <v>535.274933</v>
      </c>
      <c r="J21" s="80">
        <v>535.274933</v>
      </c>
    </row>
    <row r="22" ht="15.0" customHeight="1">
      <c r="A22" s="101">
        <v>19.0</v>
      </c>
      <c r="B22" s="102">
        <v>22942.44348</v>
      </c>
      <c r="C22" s="102">
        <v>24383.228930544</v>
      </c>
      <c r="D22" s="102">
        <v>1440.785451</v>
      </c>
      <c r="E22" s="102">
        <v>56.7908069</v>
      </c>
      <c r="F22" s="102">
        <v>1383.994644</v>
      </c>
      <c r="G22" s="102">
        <v>287.8708859</v>
      </c>
      <c r="H22" s="102">
        <v>1096.123758</v>
      </c>
      <c r="I22" s="102">
        <v>548.061879</v>
      </c>
      <c r="J22" s="102">
        <v>548.061879</v>
      </c>
    </row>
    <row r="23" ht="15.0" customHeight="1">
      <c r="A23" s="79">
        <v>20.0</v>
      </c>
      <c r="B23" s="80">
        <v>23490.50536</v>
      </c>
      <c r="C23" s="80">
        <v>24965.709096608</v>
      </c>
      <c r="D23" s="80">
        <v>1475.203737</v>
      </c>
      <c r="E23" s="80">
        <v>58.14745736</v>
      </c>
      <c r="F23" s="80">
        <v>1417.056279</v>
      </c>
      <c r="G23" s="80">
        <v>294.7477061</v>
      </c>
      <c r="H23" s="80">
        <v>1122.308573</v>
      </c>
      <c r="I23" s="80">
        <v>561.1542867</v>
      </c>
      <c r="J23" s="80">
        <v>561.1542867</v>
      </c>
    </row>
    <row r="24" ht="15.0" customHeight="1">
      <c r="A24" s="101">
        <v>21.0</v>
      </c>
      <c r="B24" s="102">
        <v>24051.65965</v>
      </c>
      <c r="C24" s="102">
        <v>25562.10387602</v>
      </c>
      <c r="D24" s="102">
        <v>1510.444226</v>
      </c>
      <c r="E24" s="102">
        <v>59.53651623</v>
      </c>
      <c r="F24" s="102">
        <v>1450.90771</v>
      </c>
      <c r="G24" s="102">
        <v>301.7888036</v>
      </c>
      <c r="H24" s="102">
        <v>1149.118906</v>
      </c>
      <c r="I24" s="102">
        <v>574.5594531</v>
      </c>
      <c r="J24" s="102">
        <v>574.5594531</v>
      </c>
    </row>
    <row r="25" ht="15.0" customHeight="1">
      <c r="A25" s="79">
        <v>22.0</v>
      </c>
      <c r="B25" s="80">
        <v>24626.2191</v>
      </c>
      <c r="C25" s="80">
        <v>26172.74565948</v>
      </c>
      <c r="D25" s="80">
        <v>1546.52656</v>
      </c>
      <c r="E25" s="80">
        <v>60.95875772</v>
      </c>
      <c r="F25" s="80">
        <v>1485.567802</v>
      </c>
      <c r="G25" s="80">
        <v>308.9981028</v>
      </c>
      <c r="H25" s="80">
        <v>1176.569699</v>
      </c>
      <c r="I25" s="80">
        <v>588.2848496</v>
      </c>
      <c r="J25" s="80">
        <v>588.2848496</v>
      </c>
    </row>
    <row r="26" ht="15.0" customHeight="1">
      <c r="A26" s="101">
        <v>23.0</v>
      </c>
      <c r="B26" s="102">
        <v>25214.50395</v>
      </c>
      <c r="C26" s="102">
        <v>26797.97479806</v>
      </c>
      <c r="D26" s="102">
        <v>1583.470848</v>
      </c>
      <c r="E26" s="102">
        <v>62.4149745</v>
      </c>
      <c r="F26" s="102">
        <v>1521.055874</v>
      </c>
      <c r="G26" s="102">
        <v>316.3796217</v>
      </c>
      <c r="H26" s="102">
        <v>1204.676252</v>
      </c>
      <c r="I26" s="102">
        <v>602.338126</v>
      </c>
      <c r="J26" s="102">
        <v>602.338126</v>
      </c>
    </row>
    <row r="27" ht="15.0" customHeight="1">
      <c r="A27" s="79">
        <v>24.0</v>
      </c>
      <c r="B27" s="80">
        <v>25816.84208</v>
      </c>
      <c r="C27" s="80">
        <v>27438.139762624</v>
      </c>
      <c r="D27" s="80">
        <v>1621.297683</v>
      </c>
      <c r="E27" s="80">
        <v>63.90597821</v>
      </c>
      <c r="F27" s="80">
        <v>1557.391704</v>
      </c>
      <c r="G27" s="80">
        <v>323.9374745</v>
      </c>
      <c r="H27" s="80">
        <v>1233.45423</v>
      </c>
      <c r="I27" s="80">
        <v>616.7271149</v>
      </c>
      <c r="J27" s="80">
        <v>616.7271149</v>
      </c>
    </row>
    <row r="28" ht="15.0" customHeight="1">
      <c r="A28" s="101">
        <v>25.0</v>
      </c>
      <c r="B28" s="102">
        <v>26433.56919</v>
      </c>
      <c r="C28" s="102">
        <v>28093.597335132</v>
      </c>
      <c r="D28" s="102">
        <v>1660.028145</v>
      </c>
      <c r="E28" s="102">
        <v>65.43259984</v>
      </c>
      <c r="F28" s="102">
        <v>1594.595546</v>
      </c>
      <c r="G28" s="102">
        <v>331.6758735</v>
      </c>
      <c r="H28" s="102">
        <v>1262.919672</v>
      </c>
      <c r="I28" s="102">
        <v>631.459836</v>
      </c>
      <c r="J28" s="102">
        <v>631.459836</v>
      </c>
    </row>
    <row r="29" ht="15.0" customHeight="1">
      <c r="A29" s="79">
        <v>26.0</v>
      </c>
      <c r="B29" s="80">
        <v>27065.02903</v>
      </c>
      <c r="C29" s="80">
        <v>28764.712853084</v>
      </c>
      <c r="D29" s="80">
        <v>1699.683823</v>
      </c>
      <c r="E29" s="80">
        <v>66.99569026</v>
      </c>
      <c r="F29" s="80">
        <v>1632.688133</v>
      </c>
      <c r="G29" s="80">
        <v>339.5991316</v>
      </c>
      <c r="H29" s="80">
        <v>1293.089001</v>
      </c>
      <c r="I29" s="80">
        <v>646.5445006</v>
      </c>
      <c r="J29" s="80">
        <v>646.5445006</v>
      </c>
    </row>
    <row r="30" ht="15.0" customHeight="1">
      <c r="A30" s="101">
        <v>27.0</v>
      </c>
      <c r="B30" s="102">
        <v>27711.57353</v>
      </c>
      <c r="C30" s="102">
        <v>29451.860347684</v>
      </c>
      <c r="D30" s="102">
        <v>1740.286818</v>
      </c>
      <c r="E30" s="102">
        <v>68.59612065</v>
      </c>
      <c r="F30" s="102">
        <v>1671.690697</v>
      </c>
      <c r="G30" s="102">
        <v>347.711665</v>
      </c>
      <c r="H30" s="102">
        <v>1323.979032</v>
      </c>
      <c r="I30" s="102">
        <v>661.989516</v>
      </c>
      <c r="J30" s="102">
        <v>661.989516</v>
      </c>
    </row>
    <row r="31" ht="15.0" customHeight="1">
      <c r="A31" s="79">
        <v>28.0</v>
      </c>
      <c r="B31" s="80">
        <v>28373.56305</v>
      </c>
      <c r="C31" s="80">
        <v>30155.42280954</v>
      </c>
      <c r="D31" s="80">
        <v>1781.859759</v>
      </c>
      <c r="E31" s="80">
        <v>70.23478302</v>
      </c>
      <c r="F31" s="80">
        <v>1711.624976</v>
      </c>
      <c r="G31" s="80">
        <v>356.0179951</v>
      </c>
      <c r="H31" s="80">
        <v>1355.606981</v>
      </c>
      <c r="I31" s="80">
        <v>677.8034906</v>
      </c>
      <c r="J31" s="80">
        <v>677.8034906</v>
      </c>
    </row>
    <row r="32" ht="15.0" customHeight="1">
      <c r="A32" s="101">
        <v>29.0</v>
      </c>
      <c r="B32" s="102">
        <v>29051.36654</v>
      </c>
      <c r="C32" s="102">
        <v>30875.792358712</v>
      </c>
      <c r="D32" s="102">
        <v>1824.425819</v>
      </c>
      <c r="E32" s="102">
        <v>71.91259067</v>
      </c>
      <c r="F32" s="102">
        <v>1752.513228</v>
      </c>
      <c r="G32" s="102">
        <v>364.5227514</v>
      </c>
      <c r="H32" s="102">
        <v>1387.990476</v>
      </c>
      <c r="I32" s="102">
        <v>693.9952382</v>
      </c>
      <c r="J32" s="102">
        <v>693.9952382</v>
      </c>
    </row>
    <row r="33" ht="15.0" customHeight="1">
      <c r="A33" s="79">
        <v>30.0</v>
      </c>
      <c r="B33" s="80">
        <v>29745.36178</v>
      </c>
      <c r="C33" s="80">
        <v>31613.370499784</v>
      </c>
      <c r="D33" s="80">
        <v>1868.008719</v>
      </c>
      <c r="E33" s="80">
        <v>73.63047872</v>
      </c>
      <c r="F33" s="80">
        <v>1794.378241</v>
      </c>
      <c r="G33" s="80">
        <v>373.2306741</v>
      </c>
      <c r="H33" s="80">
        <v>1421.147567</v>
      </c>
      <c r="I33" s="80">
        <v>710.5737833</v>
      </c>
      <c r="J33" s="80">
        <v>710.5737833</v>
      </c>
    </row>
    <row r="34" ht="15.0" customHeight="1">
      <c r="A34" s="101">
        <v>31.0</v>
      </c>
      <c r="B34" s="102">
        <v>30455.93556</v>
      </c>
      <c r="C34" s="102">
        <v>32368.568313168</v>
      </c>
      <c r="D34" s="102">
        <v>1912.632753</v>
      </c>
      <c r="E34" s="102">
        <v>75.38940464</v>
      </c>
      <c r="F34" s="102">
        <v>1837.243348</v>
      </c>
      <c r="G34" s="102">
        <v>382.1466165</v>
      </c>
      <c r="H34" s="102">
        <v>1455.096732</v>
      </c>
      <c r="I34" s="102">
        <v>727.548366</v>
      </c>
      <c r="J34" s="102">
        <v>727.548366</v>
      </c>
    </row>
    <row r="35" ht="15.0" customHeight="1">
      <c r="A35" s="79">
        <v>32.0</v>
      </c>
      <c r="B35" s="80">
        <v>31183.48392</v>
      </c>
      <c r="C35" s="80">
        <v>33141.806710176</v>
      </c>
      <c r="D35" s="80">
        <v>1958.32279</v>
      </c>
      <c r="E35" s="80">
        <v>77.19034877</v>
      </c>
      <c r="F35" s="80">
        <v>1881.132442</v>
      </c>
      <c r="G35" s="80">
        <v>391.2755479</v>
      </c>
      <c r="H35" s="80">
        <v>1489.856894</v>
      </c>
      <c r="I35" s="80">
        <v>744.9284469</v>
      </c>
      <c r="J35" s="80">
        <v>744.9284469</v>
      </c>
    </row>
    <row r="36" ht="15.0" customHeight="1">
      <c r="A36" s="101">
        <v>33.0</v>
      </c>
      <c r="B36" s="102">
        <v>31928.41237</v>
      </c>
      <c r="C36" s="102">
        <v>33933.516666836</v>
      </c>
      <c r="D36" s="102">
        <v>2005.104297</v>
      </c>
      <c r="E36" s="102">
        <v>79.03431485</v>
      </c>
      <c r="F36" s="102">
        <v>1926.069982</v>
      </c>
      <c r="G36" s="102">
        <v>400.6225563</v>
      </c>
      <c r="H36" s="102">
        <v>1525.447426</v>
      </c>
      <c r="I36" s="102">
        <v>762.7237129</v>
      </c>
      <c r="J36" s="102">
        <v>762.7237129</v>
      </c>
    </row>
    <row r="37" ht="15.0" customHeight="1">
      <c r="A37" s="79">
        <v>34.0</v>
      </c>
      <c r="B37" s="80">
        <v>32691.13608</v>
      </c>
      <c r="C37" s="80">
        <v>34744.139425824</v>
      </c>
      <c r="D37" s="80">
        <v>2053.003346</v>
      </c>
      <c r="E37" s="80">
        <v>80.92233062</v>
      </c>
      <c r="F37" s="80">
        <v>1972.081015</v>
      </c>
      <c r="G37" s="80">
        <v>410.1928512</v>
      </c>
      <c r="H37" s="80">
        <v>1561.888164</v>
      </c>
      <c r="I37" s="80">
        <v>780.9440821</v>
      </c>
      <c r="J37" s="80">
        <v>780.9440821</v>
      </c>
    </row>
    <row r="38" ht="15.0" customHeight="1">
      <c r="A38" s="101">
        <v>35.0</v>
      </c>
      <c r="B38" s="102">
        <v>33472.08017</v>
      </c>
      <c r="C38" s="102">
        <v>35574.126804676</v>
      </c>
      <c r="D38" s="102">
        <v>2102.046634</v>
      </c>
      <c r="E38" s="102">
        <v>82.85544836</v>
      </c>
      <c r="F38" s="102">
        <v>2019.191186</v>
      </c>
      <c r="G38" s="102">
        <v>419.9917667</v>
      </c>
      <c r="H38" s="102">
        <v>1599.199419</v>
      </c>
      <c r="I38" s="102">
        <v>799.5997097</v>
      </c>
      <c r="J38" s="102">
        <v>799.5997097</v>
      </c>
    </row>
    <row r="39" ht="15.0" customHeight="1">
      <c r="A39" s="79">
        <v>36.0</v>
      </c>
      <c r="B39" s="80">
        <v>34271.67988</v>
      </c>
      <c r="C39" s="80">
        <v>36423.941376464</v>
      </c>
      <c r="D39" s="80">
        <v>2152.261496</v>
      </c>
      <c r="E39" s="80">
        <v>84.8347455</v>
      </c>
      <c r="F39" s="80">
        <v>2067.426751</v>
      </c>
      <c r="G39" s="80">
        <v>430.0247642</v>
      </c>
      <c r="H39" s="80">
        <v>1637.401987</v>
      </c>
      <c r="I39" s="80">
        <v>818.7009933</v>
      </c>
      <c r="J39" s="80">
        <v>818.7009933</v>
      </c>
    </row>
    <row r="40" ht="15.0" customHeight="1">
      <c r="A40" s="101">
        <v>37.0</v>
      </c>
      <c r="B40" s="102">
        <v>35090.38087</v>
      </c>
      <c r="C40" s="102">
        <v>37294.056788636</v>
      </c>
      <c r="D40" s="102">
        <v>2203.675919</v>
      </c>
      <c r="E40" s="102">
        <v>86.86132519</v>
      </c>
      <c r="F40" s="102">
        <v>2116.814593</v>
      </c>
      <c r="G40" s="102">
        <v>440.2974354</v>
      </c>
      <c r="H40" s="102">
        <v>1676.517158</v>
      </c>
      <c r="I40" s="102">
        <v>838.258579</v>
      </c>
      <c r="J40" s="102">
        <v>838.258579</v>
      </c>
    </row>
    <row r="41" ht="15.0" customHeight="1">
      <c r="A41" s="79">
        <v>38.0</v>
      </c>
      <c r="B41" s="80">
        <v>35928.63945</v>
      </c>
      <c r="C41" s="80">
        <v>38184.95800746</v>
      </c>
      <c r="D41" s="80">
        <v>2256.318557</v>
      </c>
      <c r="E41" s="80">
        <v>88.93631695</v>
      </c>
      <c r="F41" s="80">
        <v>2167.38224</v>
      </c>
      <c r="G41" s="80">
        <v>450.815506</v>
      </c>
      <c r="H41" s="80">
        <v>1716.566734</v>
      </c>
      <c r="I41" s="80">
        <v>858.2833672</v>
      </c>
      <c r="J41" s="80">
        <v>858.2833672</v>
      </c>
    </row>
    <row r="42" ht="15.0" customHeight="1">
      <c r="A42" s="101">
        <v>39.0</v>
      </c>
      <c r="B42" s="102">
        <v>36786.92282</v>
      </c>
      <c r="C42" s="102">
        <v>39097.141573096</v>
      </c>
      <c r="D42" s="102">
        <v>2310.218753</v>
      </c>
      <c r="E42" s="102">
        <v>91.06087726</v>
      </c>
      <c r="F42" s="102">
        <v>2219.157876</v>
      </c>
      <c r="G42" s="102">
        <v>461.5848381</v>
      </c>
      <c r="H42" s="102">
        <v>1757.573037</v>
      </c>
      <c r="I42" s="102">
        <v>878.7865187</v>
      </c>
      <c r="J42" s="102">
        <v>878.7865187</v>
      </c>
    </row>
    <row r="43" ht="15.0" customHeight="1">
      <c r="A43" s="79">
        <v>40.0</v>
      </c>
      <c r="B43" s="80">
        <v>37665.70933</v>
      </c>
      <c r="C43" s="80">
        <v>40031.115875924</v>
      </c>
      <c r="D43" s="80">
        <v>2365.406546</v>
      </c>
      <c r="E43" s="80">
        <v>93.23619026</v>
      </c>
      <c r="F43" s="80">
        <v>2272.170356</v>
      </c>
      <c r="G43" s="80">
        <v>472.611434</v>
      </c>
      <c r="H43" s="80">
        <v>1799.558922</v>
      </c>
      <c r="I43" s="80">
        <v>899.779461</v>
      </c>
      <c r="J43" s="80">
        <v>899.779461</v>
      </c>
    </row>
    <row r="44" ht="15.0" customHeight="1">
      <c r="A44" s="101">
        <v>41.0</v>
      </c>
      <c r="B44" s="102">
        <v>38565.4888</v>
      </c>
      <c r="C44" s="102">
        <v>40987.40149664</v>
      </c>
      <c r="D44" s="102">
        <v>2421.912696</v>
      </c>
      <c r="E44" s="102">
        <v>95.46346834</v>
      </c>
      <c r="F44" s="102">
        <v>2326.449228</v>
      </c>
      <c r="G44" s="102">
        <v>483.9014394</v>
      </c>
      <c r="H44" s="102">
        <v>1842.547789</v>
      </c>
      <c r="I44" s="102">
        <v>921.2738943</v>
      </c>
      <c r="J44" s="102">
        <v>921.2738943</v>
      </c>
    </row>
    <row r="45" ht="15.0" customHeight="1">
      <c r="A45" s="79">
        <v>42.0</v>
      </c>
      <c r="B45" s="80">
        <v>39486.76269</v>
      </c>
      <c r="C45" s="80">
        <v>41966.531386932</v>
      </c>
      <c r="D45" s="80">
        <v>2479.768697</v>
      </c>
      <c r="E45" s="80">
        <v>97.74395289</v>
      </c>
      <c r="F45" s="80">
        <v>2382.024744</v>
      </c>
      <c r="G45" s="80">
        <v>495.4611468</v>
      </c>
      <c r="H45" s="80">
        <v>1886.563597</v>
      </c>
      <c r="I45" s="80">
        <v>943.2817986</v>
      </c>
      <c r="J45" s="80">
        <v>943.2817986</v>
      </c>
    </row>
    <row r="46" ht="15.0" customHeight="1">
      <c r="A46" s="101">
        <v>43.0</v>
      </c>
      <c r="B46" s="102">
        <v>40430.04449</v>
      </c>
      <c r="C46" s="102">
        <v>42969.051283972</v>
      </c>
      <c r="D46" s="102">
        <v>2539.006794</v>
      </c>
      <c r="E46" s="102">
        <v>100.0789149</v>
      </c>
      <c r="F46" s="102">
        <v>2438.927879</v>
      </c>
      <c r="G46" s="102">
        <v>507.2969988</v>
      </c>
      <c r="H46" s="102">
        <v>1931.63088</v>
      </c>
      <c r="I46" s="102">
        <v>965.8154401</v>
      </c>
      <c r="J46" s="102">
        <v>965.8154401</v>
      </c>
    </row>
    <row r="47" ht="15.0" customHeight="1">
      <c r="A47" s="79">
        <v>44.0</v>
      </c>
      <c r="B47" s="80">
        <v>41395.85993</v>
      </c>
      <c r="C47" s="80">
        <v>43995.519933604</v>
      </c>
      <c r="D47" s="80">
        <v>2599.660004</v>
      </c>
      <c r="E47" s="80">
        <v>102.4696558</v>
      </c>
      <c r="F47" s="80">
        <v>2497.190348</v>
      </c>
      <c r="G47" s="80">
        <v>519.4155923</v>
      </c>
      <c r="H47" s="80">
        <v>1977.774755</v>
      </c>
      <c r="I47" s="80">
        <v>988.8873777</v>
      </c>
      <c r="J47" s="80">
        <v>988.8873777</v>
      </c>
    </row>
    <row r="48" ht="15.0" customHeight="1">
      <c r="A48" s="101">
        <v>45.0</v>
      </c>
      <c r="B48" s="102">
        <v>42384.74731</v>
      </c>
      <c r="C48" s="102">
        <v>45046.509441068</v>
      </c>
      <c r="D48" s="102">
        <v>2661.762131</v>
      </c>
      <c r="E48" s="102">
        <v>104.9175081</v>
      </c>
      <c r="F48" s="102">
        <v>2556.844623</v>
      </c>
      <c r="G48" s="102">
        <v>531.8236815</v>
      </c>
      <c r="H48" s="102">
        <v>2025.020941</v>
      </c>
      <c r="I48" s="102">
        <v>1012.510471</v>
      </c>
      <c r="J48" s="102">
        <v>1012.510471</v>
      </c>
    </row>
    <row r="49" ht="15.0" customHeight="1">
      <c r="A49" s="79">
        <v>46.0</v>
      </c>
      <c r="B49" s="80">
        <v>43397.25778</v>
      </c>
      <c r="C49" s="80">
        <v>46122.605568584</v>
      </c>
      <c r="D49" s="80">
        <v>2725.347788</v>
      </c>
      <c r="E49" s="80">
        <v>107.423836</v>
      </c>
      <c r="F49" s="80">
        <v>2617.923952</v>
      </c>
      <c r="G49" s="80">
        <v>544.5281821</v>
      </c>
      <c r="H49" s="80">
        <v>2073.39577</v>
      </c>
      <c r="I49" s="80">
        <v>1036.697885</v>
      </c>
      <c r="J49" s="80">
        <v>1036.697885</v>
      </c>
    </row>
    <row r="50" ht="15.0" customHeight="1">
      <c r="A50" s="101">
        <v>47.0</v>
      </c>
      <c r="B50" s="102">
        <v>44433.95566</v>
      </c>
      <c r="C50" s="102">
        <v>47224.408075448</v>
      </c>
      <c r="D50" s="102">
        <v>2790.452416</v>
      </c>
      <c r="E50" s="102">
        <v>109.9900365</v>
      </c>
      <c r="F50" s="102">
        <v>2680.462379</v>
      </c>
      <c r="G50" s="102">
        <v>557.5361748</v>
      </c>
      <c r="H50" s="102">
        <v>2122.926204</v>
      </c>
      <c r="I50" s="102">
        <v>1061.463102</v>
      </c>
      <c r="J50" s="102">
        <v>1061.463102</v>
      </c>
    </row>
    <row r="51" ht="15.0" customHeight="1">
      <c r="A51" s="79">
        <v>48.0</v>
      </c>
      <c r="B51" s="80">
        <v>45495.41876</v>
      </c>
      <c r="C51" s="80">
        <v>48352.531058128</v>
      </c>
      <c r="D51" s="80">
        <v>2857.112298</v>
      </c>
      <c r="E51" s="80">
        <v>112.6175398</v>
      </c>
      <c r="F51" s="80">
        <v>2744.494759</v>
      </c>
      <c r="G51" s="80">
        <v>570.8549098</v>
      </c>
      <c r="H51" s="80">
        <v>2173.639849</v>
      </c>
      <c r="I51" s="80">
        <v>1086.819924</v>
      </c>
      <c r="J51" s="80">
        <v>1086.819924</v>
      </c>
    </row>
    <row r="52" ht="15.0" customHeight="1">
      <c r="A52" s="101">
        <v>49.0</v>
      </c>
      <c r="B52" s="102">
        <v>46582.23869</v>
      </c>
      <c r="C52" s="102">
        <v>49507.603279732</v>
      </c>
      <c r="D52" s="102">
        <v>2925.36459</v>
      </c>
      <c r="E52" s="102">
        <v>115.3078104</v>
      </c>
      <c r="F52" s="102">
        <v>2810.056779</v>
      </c>
      <c r="G52" s="102">
        <v>584.4918101</v>
      </c>
      <c r="H52" s="102">
        <v>2225.564969</v>
      </c>
      <c r="I52" s="102">
        <v>1112.782485</v>
      </c>
      <c r="J52" s="102">
        <v>1112.782485</v>
      </c>
    </row>
    <row r="53" ht="15.0" customHeight="1">
      <c r="A53" s="79">
        <v>50.0</v>
      </c>
      <c r="B53" s="80">
        <v>47695.02117</v>
      </c>
      <c r="C53" s="80">
        <v>50690.268499476</v>
      </c>
      <c r="D53" s="80">
        <v>2995.24733</v>
      </c>
      <c r="E53" s="80">
        <v>118.0623476</v>
      </c>
      <c r="F53" s="80">
        <v>2877.184982</v>
      </c>
      <c r="G53" s="80">
        <v>598.4544763</v>
      </c>
      <c r="H53" s="80">
        <v>2278.730506</v>
      </c>
      <c r="I53" s="80">
        <v>1139.365253</v>
      </c>
      <c r="J53" s="80">
        <v>1139.365253</v>
      </c>
    </row>
    <row r="54" ht="15.0" customHeight="1">
      <c r="A54" s="101">
        <v>51.0</v>
      </c>
      <c r="B54" s="102">
        <v>48834.38643</v>
      </c>
      <c r="C54" s="102">
        <v>51901.185897804</v>
      </c>
      <c r="D54" s="102">
        <v>3066.799468</v>
      </c>
      <c r="E54" s="102">
        <v>120.8826868</v>
      </c>
      <c r="F54" s="102">
        <v>2945.916781</v>
      </c>
      <c r="G54" s="102">
        <v>612.7506904</v>
      </c>
      <c r="H54" s="102">
        <v>2333.16609</v>
      </c>
      <c r="I54" s="102">
        <v>1166.583045</v>
      </c>
      <c r="J54" s="102">
        <v>1166.583045</v>
      </c>
    </row>
    <row r="55" ht="15.0" customHeight="1">
      <c r="A55" s="79">
        <v>52.0</v>
      </c>
      <c r="B55" s="80">
        <v>50000.96947</v>
      </c>
      <c r="C55" s="80">
        <v>53141.030352716</v>
      </c>
      <c r="D55" s="80">
        <v>3140.060883</v>
      </c>
      <c r="E55" s="80">
        <v>123.7703998</v>
      </c>
      <c r="F55" s="80">
        <v>3016.290483</v>
      </c>
      <c r="G55" s="80">
        <v>627.3884205</v>
      </c>
      <c r="H55" s="80">
        <v>2388.902063</v>
      </c>
      <c r="I55" s="80">
        <v>1194.451031</v>
      </c>
      <c r="J55" s="80">
        <v>1194.451031</v>
      </c>
    </row>
    <row r="56" ht="15.0" customHeight="1">
      <c r="A56" s="101">
        <v>53.0</v>
      </c>
      <c r="B56" s="102">
        <v>51195.4205</v>
      </c>
      <c r="C56" s="102">
        <v>54410.4929074</v>
      </c>
      <c r="D56" s="102">
        <v>3215.072408</v>
      </c>
      <c r="E56" s="102">
        <v>126.7270961</v>
      </c>
      <c r="F56" s="102">
        <v>3088.345311</v>
      </c>
      <c r="G56" s="102">
        <v>642.3758248</v>
      </c>
      <c r="H56" s="102">
        <v>2445.969487</v>
      </c>
      <c r="I56" s="102">
        <v>1222.984743</v>
      </c>
      <c r="J56" s="102">
        <v>1222.984743</v>
      </c>
    </row>
    <row r="57" ht="15.0" customHeight="1">
      <c r="A57" s="79">
        <v>54.0</v>
      </c>
      <c r="B57" s="80">
        <v>52418.40525</v>
      </c>
      <c r="C57" s="80">
        <v>55710.2810997</v>
      </c>
      <c r="D57" s="80">
        <v>3291.875849</v>
      </c>
      <c r="E57" s="80">
        <v>129.7544236</v>
      </c>
      <c r="F57" s="80">
        <v>3162.121426</v>
      </c>
      <c r="G57" s="80">
        <v>657.7212566</v>
      </c>
      <c r="H57" s="80">
        <v>2504.400169</v>
      </c>
      <c r="I57" s="80">
        <v>1252.200085</v>
      </c>
      <c r="J57" s="80">
        <v>1252.200085</v>
      </c>
    </row>
    <row r="58" ht="15.0" customHeight="1">
      <c r="A58" s="101">
        <v>55.0</v>
      </c>
      <c r="B58" s="102">
        <v>53670.60533</v>
      </c>
      <c r="C58" s="102">
        <v>57041.119344724</v>
      </c>
      <c r="D58" s="102">
        <v>3370.514015</v>
      </c>
      <c r="E58" s="102">
        <v>132.8540696</v>
      </c>
      <c r="F58" s="102">
        <v>3237.659945</v>
      </c>
      <c r="G58" s="102">
        <v>673.4332686</v>
      </c>
      <c r="H58" s="102">
        <v>2564.226677</v>
      </c>
      <c r="I58" s="102">
        <v>1282.113338</v>
      </c>
      <c r="J58" s="102">
        <v>1282.113338</v>
      </c>
    </row>
    <row r="59" ht="15.0" customHeight="1">
      <c r="A59" s="79">
        <v>56.0</v>
      </c>
      <c r="B59" s="80">
        <v>54952.71867</v>
      </c>
      <c r="C59" s="80">
        <v>58403.749402476</v>
      </c>
      <c r="D59" s="80">
        <v>3451.030732</v>
      </c>
      <c r="E59" s="80">
        <v>136.0277617</v>
      </c>
      <c r="F59" s="80">
        <v>3315.002971</v>
      </c>
      <c r="G59" s="80">
        <v>689.5206179</v>
      </c>
      <c r="H59" s="80">
        <v>2625.482353</v>
      </c>
      <c r="I59" s="80">
        <v>1312.741176</v>
      </c>
      <c r="J59" s="80">
        <v>1312.741176</v>
      </c>
    </row>
    <row r="60" ht="15.0" customHeight="1">
      <c r="A60" s="101">
        <v>57.0</v>
      </c>
      <c r="B60" s="102">
        <v>56265.45985</v>
      </c>
      <c r="C60" s="102">
        <v>59798.93072858</v>
      </c>
      <c r="D60" s="102">
        <v>3533.470878</v>
      </c>
      <c r="E60" s="102">
        <v>139.2772687</v>
      </c>
      <c r="F60" s="102">
        <v>3394.19361</v>
      </c>
      <c r="G60" s="102">
        <v>705.9922708</v>
      </c>
      <c r="H60" s="102">
        <v>2688.201339</v>
      </c>
      <c r="I60" s="102">
        <v>1344.100669</v>
      </c>
      <c r="J60" s="102">
        <v>1344.100669</v>
      </c>
    </row>
    <row r="61" ht="15.0" customHeight="1">
      <c r="A61" s="79">
        <v>58.0</v>
      </c>
      <c r="B61" s="80">
        <v>57609.56051</v>
      </c>
      <c r="C61" s="80">
        <v>61227.440910028</v>
      </c>
      <c r="D61" s="80">
        <v>3617.8804</v>
      </c>
      <c r="E61" s="80">
        <v>142.6044017</v>
      </c>
      <c r="F61" s="80">
        <v>3475.275999</v>
      </c>
      <c r="G61" s="80">
        <v>722.8574077</v>
      </c>
      <c r="H61" s="80">
        <v>2752.418591</v>
      </c>
      <c r="I61" s="80">
        <v>1376.209295</v>
      </c>
      <c r="J61" s="80">
        <v>1376.209295</v>
      </c>
    </row>
    <row r="62" ht="15.0" customHeight="1">
      <c r="A62" s="101">
        <v>59.0</v>
      </c>
      <c r="B62" s="102">
        <v>58985.76981</v>
      </c>
      <c r="C62" s="102">
        <v>62690.076154068</v>
      </c>
      <c r="D62" s="102">
        <v>3704.306344</v>
      </c>
      <c r="E62" s="102">
        <v>146.0110152</v>
      </c>
      <c r="F62" s="102">
        <v>3558.295329</v>
      </c>
      <c r="G62" s="102">
        <v>740.1254284</v>
      </c>
      <c r="H62" s="102">
        <v>2818.1699</v>
      </c>
      <c r="I62" s="102">
        <v>1409.08495</v>
      </c>
      <c r="J62" s="102">
        <v>1409.08495</v>
      </c>
    </row>
    <row r="63" ht="15.0" customHeight="1">
      <c r="A63" s="79">
        <v>60.0</v>
      </c>
      <c r="B63" s="80">
        <v>60394.85476</v>
      </c>
      <c r="C63" s="80">
        <v>64187.651638928</v>
      </c>
      <c r="D63" s="80">
        <v>3792.796879</v>
      </c>
      <c r="E63" s="80">
        <v>149.4990077</v>
      </c>
      <c r="F63" s="80">
        <v>3643.297871</v>
      </c>
      <c r="G63" s="80">
        <v>757.8059572</v>
      </c>
      <c r="H63" s="80">
        <v>2885.491914</v>
      </c>
      <c r="I63" s="80">
        <v>1442.745957</v>
      </c>
      <c r="J63" s="80">
        <v>1442.745957</v>
      </c>
    </row>
    <row r="64" ht="15.0" customHeight="1">
      <c r="A64" s="101">
        <v>61.0</v>
      </c>
      <c r="B64" s="102">
        <v>61837.60072</v>
      </c>
      <c r="C64" s="102">
        <v>65721.002045216</v>
      </c>
      <c r="D64" s="102">
        <v>3883.401325</v>
      </c>
      <c r="E64" s="102">
        <v>153.0703233</v>
      </c>
      <c r="F64" s="102">
        <v>3730.331002</v>
      </c>
      <c r="G64" s="102">
        <v>775.9088484</v>
      </c>
      <c r="H64" s="102">
        <v>2954.422153</v>
      </c>
      <c r="I64" s="102">
        <v>1477.211077</v>
      </c>
      <c r="J64" s="102">
        <v>1477.211077</v>
      </c>
    </row>
    <row r="65" ht="15.0" customHeight="1">
      <c r="A65" s="79">
        <v>62.0</v>
      </c>
      <c r="B65" s="80">
        <v>63314.81179</v>
      </c>
      <c r="C65" s="80">
        <v>67290.981970412</v>
      </c>
      <c r="D65" s="80">
        <v>3976.170181</v>
      </c>
      <c r="E65" s="80">
        <v>156.7269525</v>
      </c>
      <c r="F65" s="80">
        <v>3819.443228</v>
      </c>
      <c r="G65" s="80">
        <v>794.4441915</v>
      </c>
      <c r="H65" s="80">
        <v>3024.999037</v>
      </c>
      <c r="I65" s="80">
        <v>1512.499518</v>
      </c>
      <c r="J65" s="80">
        <v>1512.499518</v>
      </c>
    </row>
    <row r="66" ht="15.0" customHeight="1">
      <c r="A66" s="101">
        <v>63.0</v>
      </c>
      <c r="B66" s="102">
        <v>64827.31131</v>
      </c>
      <c r="C66" s="102">
        <v>68898.466460268</v>
      </c>
      <c r="D66" s="102">
        <v>4071.15515</v>
      </c>
      <c r="E66" s="102">
        <v>160.4709333</v>
      </c>
      <c r="F66" s="102">
        <v>3910.684217</v>
      </c>
      <c r="G66" s="102">
        <v>813.4223172</v>
      </c>
      <c r="H66" s="102">
        <v>3097.2619</v>
      </c>
      <c r="I66" s="102">
        <v>1548.63095</v>
      </c>
      <c r="J66" s="102">
        <v>1548.63095</v>
      </c>
    </row>
    <row r="67" ht="15.0" customHeight="1">
      <c r="A67" s="79">
        <v>64.0</v>
      </c>
      <c r="B67" s="80">
        <v>66375.94226</v>
      </c>
      <c r="C67" s="80">
        <v>70544.351433928</v>
      </c>
      <c r="D67" s="80">
        <v>4168.409174</v>
      </c>
      <c r="E67" s="80">
        <v>164.3043524</v>
      </c>
      <c r="F67" s="80">
        <v>4004.104822</v>
      </c>
      <c r="G67" s="80">
        <v>832.8538029</v>
      </c>
      <c r="H67" s="80">
        <v>3171.251019</v>
      </c>
      <c r="I67" s="80">
        <v>1585.625509</v>
      </c>
      <c r="J67" s="80">
        <v>1585.625509</v>
      </c>
    </row>
    <row r="68" ht="15.0" customHeight="1">
      <c r="A68" s="101">
        <v>65.0</v>
      </c>
      <c r="B68" s="102">
        <v>67961.56777</v>
      </c>
      <c r="C68" s="102">
        <v>72229.554225956</v>
      </c>
      <c r="D68" s="102">
        <v>4267.986456</v>
      </c>
      <c r="E68" s="102">
        <v>168.2293464</v>
      </c>
      <c r="F68" s="102">
        <v>4099.75711</v>
      </c>
      <c r="G68" s="102">
        <v>852.7494788</v>
      </c>
      <c r="H68" s="102">
        <v>3247.007631</v>
      </c>
      <c r="I68" s="102">
        <v>1623.503815</v>
      </c>
      <c r="J68" s="102">
        <v>1623.503815</v>
      </c>
    </row>
    <row r="69" ht="15.0" customHeight="1">
      <c r="A69" s="79">
        <v>66.0</v>
      </c>
      <c r="B69" s="80">
        <v>69585.07159</v>
      </c>
      <c r="C69" s="80">
        <v>73955.014085852</v>
      </c>
      <c r="D69" s="80">
        <v>4369.942496</v>
      </c>
      <c r="E69" s="80">
        <v>172.2481028</v>
      </c>
      <c r="F69" s="80">
        <v>4197.694393</v>
      </c>
      <c r="G69" s="80">
        <v>873.1204337</v>
      </c>
      <c r="H69" s="80">
        <v>3324.573959</v>
      </c>
      <c r="I69" s="80">
        <v>1662.28698</v>
      </c>
      <c r="J69" s="80">
        <v>1662.28698</v>
      </c>
    </row>
    <row r="70" ht="15.0" customHeight="1">
      <c r="A70" s="101">
        <v>67.0</v>
      </c>
      <c r="B70" s="102">
        <v>71247.35857</v>
      </c>
      <c r="C70" s="102">
        <v>75721.692688196</v>
      </c>
      <c r="D70" s="102">
        <v>4474.334118</v>
      </c>
      <c r="E70" s="102">
        <v>176.3628615</v>
      </c>
      <c r="F70" s="102">
        <v>4297.971256</v>
      </c>
      <c r="G70" s="102">
        <v>893.9780213</v>
      </c>
      <c r="H70" s="102">
        <v>3403.993235</v>
      </c>
      <c r="I70" s="102">
        <v>1701.996618</v>
      </c>
      <c r="J70" s="102">
        <v>1701.996618</v>
      </c>
    </row>
    <row r="71" ht="15.0" customHeight="1">
      <c r="A71" s="79">
        <v>68.0</v>
      </c>
      <c r="B71" s="80">
        <v>72949.35518</v>
      </c>
      <c r="C71" s="80">
        <v>77530.574685304</v>
      </c>
      <c r="D71" s="80">
        <v>4581.219506</v>
      </c>
      <c r="E71" s="80">
        <v>180.5759158</v>
      </c>
      <c r="F71" s="80">
        <v>4400.64359</v>
      </c>
      <c r="G71" s="80">
        <v>915.3338667</v>
      </c>
      <c r="H71" s="80">
        <v>3485.309723</v>
      </c>
      <c r="I71" s="80">
        <v>1742.654862</v>
      </c>
      <c r="J71" s="80">
        <v>1742.654862</v>
      </c>
    </row>
    <row r="72" ht="15.0" customHeight="1">
      <c r="A72" s="101">
        <v>69.0</v>
      </c>
      <c r="B72" s="102">
        <v>74692.01005</v>
      </c>
      <c r="C72" s="102">
        <v>79382.66828114</v>
      </c>
      <c r="D72" s="102">
        <v>4690.658231</v>
      </c>
      <c r="E72" s="102">
        <v>184.889614</v>
      </c>
      <c r="F72" s="102">
        <v>4505.768617</v>
      </c>
      <c r="G72" s="102">
        <v>937.1998723</v>
      </c>
      <c r="H72" s="102">
        <v>3568.568745</v>
      </c>
      <c r="I72" s="102">
        <v>1784.284372</v>
      </c>
      <c r="J72" s="102">
        <v>1784.284372</v>
      </c>
    </row>
    <row r="73" ht="15.0" customHeight="1">
      <c r="A73" s="79">
        <v>70.0</v>
      </c>
      <c r="B73" s="80">
        <v>76476.29442</v>
      </c>
      <c r="C73" s="80">
        <v>81279.005709576</v>
      </c>
      <c r="D73" s="80">
        <v>4802.711289</v>
      </c>
      <c r="E73" s="80">
        <v>189.3063602</v>
      </c>
      <c r="F73" s="80">
        <v>4613.404929</v>
      </c>
      <c r="G73" s="80">
        <v>959.5882253</v>
      </c>
      <c r="H73" s="80">
        <v>3653.816704</v>
      </c>
      <c r="I73" s="80">
        <v>1826.908352</v>
      </c>
      <c r="J73" s="80">
        <v>1826.908352</v>
      </c>
    </row>
    <row r="74" ht="15.0" customHeight="1">
      <c r="A74" s="101">
        <v>71.0</v>
      </c>
      <c r="B74" s="102">
        <v>78303.20277</v>
      </c>
      <c r="C74" s="102">
        <v>83220.643903956</v>
      </c>
      <c r="D74" s="102">
        <v>4917.441134</v>
      </c>
      <c r="E74" s="102">
        <v>193.828616</v>
      </c>
      <c r="F74" s="102">
        <v>4723.612518</v>
      </c>
      <c r="G74" s="102">
        <v>982.5114037</v>
      </c>
      <c r="H74" s="102">
        <v>3741.101114</v>
      </c>
      <c r="I74" s="102">
        <v>1870.550557</v>
      </c>
      <c r="J74" s="102">
        <v>1870.550557</v>
      </c>
    </row>
    <row r="75" ht="15.0" customHeight="1">
      <c r="A75" s="79">
        <v>72.0</v>
      </c>
      <c r="B75" s="80">
        <v>80173.75333</v>
      </c>
      <c r="C75" s="80">
        <v>85208.665039124</v>
      </c>
      <c r="D75" s="80">
        <v>5034.911709</v>
      </c>
      <c r="E75" s="80">
        <v>198.458902</v>
      </c>
      <c r="F75" s="80">
        <v>4836.452807</v>
      </c>
      <c r="G75" s="80">
        <v>1005.982184</v>
      </c>
      <c r="H75" s="80">
        <v>3830.470623</v>
      </c>
      <c r="I75" s="80">
        <v>1915.235312</v>
      </c>
      <c r="J75" s="80">
        <v>1915.235312</v>
      </c>
    </row>
    <row r="76" ht="15.0" customHeight="1">
      <c r="A76" s="101">
        <v>73.0</v>
      </c>
      <c r="B76" s="102">
        <v>82088.98864</v>
      </c>
      <c r="C76" s="102">
        <v>87244.177126592</v>
      </c>
      <c r="D76" s="102">
        <v>5155.188487</v>
      </c>
      <c r="E76" s="102">
        <v>203.1997989</v>
      </c>
      <c r="F76" s="102">
        <v>4951.988688</v>
      </c>
      <c r="G76" s="102">
        <v>1030.013647</v>
      </c>
      <c r="H76" s="102">
        <v>3921.975041</v>
      </c>
      <c r="I76" s="102">
        <v>1960.98752</v>
      </c>
      <c r="J76" s="102">
        <v>1960.98752</v>
      </c>
    </row>
    <row r="77" ht="15.0" customHeight="1">
      <c r="A77" s="79">
        <v>74.0</v>
      </c>
      <c r="B77" s="80">
        <v>84049.97616</v>
      </c>
      <c r="C77" s="80">
        <v>89328.314662848</v>
      </c>
      <c r="D77" s="80">
        <v>5278.338503</v>
      </c>
      <c r="E77" s="80">
        <v>208.053949</v>
      </c>
      <c r="F77" s="80">
        <v>5070.284554</v>
      </c>
      <c r="G77" s="80">
        <v>1054.619187</v>
      </c>
      <c r="H77" s="80">
        <v>4015.665367</v>
      </c>
      <c r="I77" s="80">
        <v>2007.832683</v>
      </c>
      <c r="J77" s="80">
        <v>2007.832683</v>
      </c>
    </row>
    <row r="78" ht="15.0" customHeight="1">
      <c r="A78" s="101">
        <v>75.0</v>
      </c>
      <c r="B78" s="102">
        <v>86057.80884</v>
      </c>
      <c r="C78" s="102">
        <v>91462.239235152</v>
      </c>
      <c r="D78" s="102">
        <v>5404.430395</v>
      </c>
      <c r="E78" s="102">
        <v>213.0240577</v>
      </c>
      <c r="F78" s="102">
        <v>5191.406338</v>
      </c>
      <c r="G78" s="102">
        <v>1079.812518</v>
      </c>
      <c r="H78" s="102">
        <v>4111.593819</v>
      </c>
      <c r="I78" s="102">
        <v>2055.79691</v>
      </c>
      <c r="J78" s="102">
        <v>2055.79691</v>
      </c>
    </row>
    <row r="79" ht="15.0" customHeight="1">
      <c r="A79" s="79">
        <v>76.0</v>
      </c>
      <c r="B79" s="80">
        <v>88113.60575</v>
      </c>
      <c r="C79" s="80">
        <v>93647.1401911</v>
      </c>
      <c r="D79" s="80">
        <v>5533.534441</v>
      </c>
      <c r="E79" s="80">
        <v>218.1128951</v>
      </c>
      <c r="F79" s="80">
        <v>5315.421546</v>
      </c>
      <c r="G79" s="80">
        <v>1105.607682</v>
      </c>
      <c r="H79" s="80">
        <v>4209.813864</v>
      </c>
      <c r="I79" s="80">
        <v>2104.906932</v>
      </c>
      <c r="J79" s="80">
        <v>2104.906932</v>
      </c>
    </row>
    <row r="80" ht="15.0" customHeight="1">
      <c r="A80" s="101">
        <v>77.0</v>
      </c>
      <c r="B80" s="102">
        <v>90218.51268</v>
      </c>
      <c r="C80" s="102">
        <v>95884.235276304</v>
      </c>
      <c r="D80" s="102">
        <v>5665.722597</v>
      </c>
      <c r="E80" s="102">
        <v>223.3232976</v>
      </c>
      <c r="F80" s="102">
        <v>5442.399299</v>
      </c>
      <c r="G80" s="102">
        <v>1132.019054</v>
      </c>
      <c r="H80" s="102">
        <v>4310.380245</v>
      </c>
      <c r="I80" s="102">
        <v>2155.190122</v>
      </c>
      <c r="J80" s="102">
        <v>2155.190122</v>
      </c>
    </row>
    <row r="81" ht="15.0" customHeight="1">
      <c r="A81" s="79">
        <v>78.0</v>
      </c>
      <c r="B81" s="80">
        <v>92373.70281</v>
      </c>
      <c r="C81" s="80">
        <v>98174.771346468</v>
      </c>
      <c r="D81" s="80">
        <v>5801.068536</v>
      </c>
      <c r="E81" s="80">
        <v>228.658169</v>
      </c>
      <c r="F81" s="80">
        <v>5572.410367</v>
      </c>
      <c r="G81" s="80">
        <v>1159.061356</v>
      </c>
      <c r="H81" s="80">
        <v>4413.349011</v>
      </c>
      <c r="I81" s="80">
        <v>2206.674505</v>
      </c>
      <c r="J81" s="80">
        <v>2206.674505</v>
      </c>
    </row>
    <row r="82" ht="15.0" customHeight="1">
      <c r="A82" s="101">
        <v>79.0</v>
      </c>
      <c r="B82" s="102">
        <v>94580.37731</v>
      </c>
      <c r="C82" s="102">
        <v>100520.025005068</v>
      </c>
      <c r="D82" s="102">
        <v>5939.647695</v>
      </c>
      <c r="E82" s="102">
        <v>234.1204828</v>
      </c>
      <c r="F82" s="102">
        <v>5705.527212</v>
      </c>
      <c r="G82" s="102">
        <v>1186.74966</v>
      </c>
      <c r="H82" s="102">
        <v>4518.777552</v>
      </c>
      <c r="I82" s="102">
        <v>2259.388776</v>
      </c>
      <c r="J82" s="102">
        <v>2259.388776</v>
      </c>
    </row>
    <row r="83" ht="15.0" customHeight="1">
      <c r="A83" s="79">
        <v>80.0</v>
      </c>
      <c r="B83" s="80">
        <v>96839.76609</v>
      </c>
      <c r="C83" s="80">
        <v>102921.303400452</v>
      </c>
      <c r="D83" s="80">
        <v>6081.53731</v>
      </c>
      <c r="E83" s="80">
        <v>239.7132834</v>
      </c>
      <c r="F83" s="80">
        <v>5841.824027</v>
      </c>
      <c r="G83" s="80">
        <v>1215.099398</v>
      </c>
      <c r="H83" s="80">
        <v>4626.724629</v>
      </c>
      <c r="I83" s="80">
        <v>2313.362315</v>
      </c>
      <c r="J83" s="80">
        <v>2313.362315</v>
      </c>
    </row>
    <row r="84" ht="15.0" customHeight="1">
      <c r="A84" s="101">
        <v>81.0</v>
      </c>
      <c r="B84" s="102">
        <v>99153.1284</v>
      </c>
      <c r="C84" s="102">
        <v>105379.94486352</v>
      </c>
      <c r="D84" s="102">
        <v>6226.816464</v>
      </c>
      <c r="E84" s="102">
        <v>245.4396879</v>
      </c>
      <c r="F84" s="102">
        <v>5981.376776</v>
      </c>
      <c r="G84" s="102">
        <v>1244.126369</v>
      </c>
      <c r="H84" s="102">
        <v>4737.250406</v>
      </c>
      <c r="I84" s="102">
        <v>2368.625203</v>
      </c>
      <c r="J84" s="102">
        <v>2368.625203</v>
      </c>
    </row>
    <row r="85" ht="15.0" customHeight="1">
      <c r="A85" s="79">
        <v>82.0</v>
      </c>
      <c r="B85" s="80">
        <v>101521.7536</v>
      </c>
      <c r="C85" s="80">
        <v>107897.31972608</v>
      </c>
      <c r="D85" s="80">
        <v>6375.566126</v>
      </c>
      <c r="E85" s="80">
        <v>251.302888</v>
      </c>
      <c r="F85" s="80">
        <v>6124.263238</v>
      </c>
      <c r="G85" s="80">
        <v>1273.846754</v>
      </c>
      <c r="H85" s="80">
        <v>4850.416485</v>
      </c>
      <c r="I85" s="80">
        <v>2425.208242</v>
      </c>
      <c r="J85" s="80">
        <v>2425.208242</v>
      </c>
    </row>
    <row r="86" ht="15.0" customHeight="1">
      <c r="A86" s="101">
        <v>83.0</v>
      </c>
      <c r="B86" s="102">
        <v>103946.9618</v>
      </c>
      <c r="C86" s="102">
        <v>110474.83100104</v>
      </c>
      <c r="D86" s="102">
        <v>6527.869204</v>
      </c>
      <c r="E86" s="102">
        <v>257.3061515</v>
      </c>
      <c r="F86" s="102">
        <v>6270.563053</v>
      </c>
      <c r="G86" s="102">
        <v>1304.277115</v>
      </c>
      <c r="H86" s="102">
        <v>4966.285938</v>
      </c>
      <c r="I86" s="102">
        <v>2483.142969</v>
      </c>
      <c r="J86" s="102">
        <v>2483.142969</v>
      </c>
    </row>
    <row r="87" ht="15.0" customHeight="1">
      <c r="A87" s="79">
        <v>84.0</v>
      </c>
      <c r="B87" s="80">
        <v>106430.1048</v>
      </c>
      <c r="C87" s="80">
        <v>113113.91538144</v>
      </c>
      <c r="D87" s="80">
        <v>6683.810583</v>
      </c>
      <c r="E87" s="80">
        <v>263.4528243</v>
      </c>
      <c r="F87" s="80">
        <v>6420.357758</v>
      </c>
      <c r="G87" s="80">
        <v>1335.434414</v>
      </c>
      <c r="H87" s="80">
        <v>5084.923345</v>
      </c>
      <c r="I87" s="80">
        <v>2542.461672</v>
      </c>
      <c r="J87" s="80">
        <v>2542.461672</v>
      </c>
    </row>
    <row r="88" ht="15.0" customHeight="1">
      <c r="A88" s="101">
        <v>85.0</v>
      </c>
      <c r="B88" s="102">
        <v>108972.5665</v>
      </c>
      <c r="C88" s="102">
        <v>115816.0436762</v>
      </c>
      <c r="D88" s="102">
        <v>6843.477176</v>
      </c>
      <c r="E88" s="102">
        <v>269.7463322</v>
      </c>
      <c r="F88" s="102">
        <v>6573.730843</v>
      </c>
      <c r="G88" s="102">
        <v>1367.336015</v>
      </c>
      <c r="H88" s="102">
        <v>5206.394828</v>
      </c>
      <c r="I88" s="102">
        <v>2603.197414</v>
      </c>
      <c r="J88" s="102">
        <v>2603.197414</v>
      </c>
    </row>
    <row r="89" ht="15.0" customHeight="1">
      <c r="A89" s="79">
        <v>86.0</v>
      </c>
      <c r="B89" s="80">
        <v>111575.7639</v>
      </c>
      <c r="C89" s="80">
        <v>118582.72187292</v>
      </c>
      <c r="D89" s="80">
        <v>7006.957973</v>
      </c>
      <c r="E89" s="80">
        <v>276.1901829</v>
      </c>
      <c r="F89" s="80">
        <v>6730.76779</v>
      </c>
      <c r="G89" s="80">
        <v>1399.9997</v>
      </c>
      <c r="H89" s="80">
        <v>5330.76809</v>
      </c>
      <c r="I89" s="80">
        <v>2665.384045</v>
      </c>
      <c r="J89" s="80">
        <v>2665.384045</v>
      </c>
    </row>
    <row r="90" ht="15.0" customHeight="1">
      <c r="A90" s="101">
        <v>87.0</v>
      </c>
      <c r="B90" s="102">
        <v>114241.1479</v>
      </c>
      <c r="C90" s="102">
        <v>121415.49198812</v>
      </c>
      <c r="D90" s="102">
        <v>7174.344091</v>
      </c>
      <c r="E90" s="102">
        <v>282.787968</v>
      </c>
      <c r="F90" s="102">
        <v>6891.556123</v>
      </c>
      <c r="G90" s="102">
        <v>1433.443674</v>
      </c>
      <c r="H90" s="102">
        <v>5458.11245</v>
      </c>
      <c r="I90" s="102">
        <v>2729.056225</v>
      </c>
      <c r="J90" s="102">
        <v>2729.056225</v>
      </c>
    </row>
    <row r="91" ht="15.0" customHeight="1">
      <c r="A91" s="79">
        <v>88.0</v>
      </c>
      <c r="B91" s="80">
        <v>116970.2042</v>
      </c>
      <c r="C91" s="80">
        <v>124315.93302376</v>
      </c>
      <c r="D91" s="80">
        <v>7345.728822</v>
      </c>
      <c r="E91" s="80">
        <v>289.5433646</v>
      </c>
      <c r="F91" s="80">
        <v>7056.185457</v>
      </c>
      <c r="G91" s="80">
        <v>1467.686575</v>
      </c>
      <c r="H91" s="80">
        <v>5588.498882</v>
      </c>
      <c r="I91" s="80">
        <v>2794.249441</v>
      </c>
      <c r="J91" s="80">
        <v>2794.249441</v>
      </c>
    </row>
    <row r="92" ht="15.0" customHeight="1">
      <c r="A92" s="101">
        <v>89.0</v>
      </c>
      <c r="B92" s="102">
        <v>119764.4536</v>
      </c>
      <c r="C92" s="102">
        <v>127285.66128608</v>
      </c>
      <c r="D92" s="102">
        <v>7521.207687</v>
      </c>
      <c r="E92" s="102">
        <v>296.4601379</v>
      </c>
      <c r="F92" s="102">
        <v>7224.747549</v>
      </c>
      <c r="G92" s="102">
        <v>1502.74749</v>
      </c>
      <c r="H92" s="102">
        <v>5722.000059</v>
      </c>
      <c r="I92" s="102">
        <v>2861.000029</v>
      </c>
      <c r="J92" s="102">
        <v>2861.000029</v>
      </c>
    </row>
    <row r="93" ht="15.0" customHeight="1">
      <c r="A93" s="79">
        <v>90.0</v>
      </c>
      <c r="B93" s="80">
        <v>122625.4536</v>
      </c>
      <c r="C93" s="80">
        <v>130326.33208608</v>
      </c>
      <c r="D93" s="80">
        <v>7700.878489</v>
      </c>
      <c r="E93" s="80">
        <v>303.5421429</v>
      </c>
      <c r="F93" s="80">
        <v>7397.336346</v>
      </c>
      <c r="G93" s="80">
        <v>1538.64596</v>
      </c>
      <c r="H93" s="80">
        <v>5858.690386</v>
      </c>
      <c r="I93" s="80">
        <v>2929.345193</v>
      </c>
      <c r="J93" s="80">
        <v>2929.345193</v>
      </c>
    </row>
    <row r="94" ht="15.0" customHeight="1">
      <c r="A94" s="101">
        <v>91.0</v>
      </c>
      <c r="B94" s="102">
        <v>125554.7988</v>
      </c>
      <c r="C94" s="102">
        <v>133439.64016464</v>
      </c>
      <c r="D94" s="102">
        <v>7884.841367</v>
      </c>
      <c r="E94" s="102">
        <v>310.7933268</v>
      </c>
      <c r="F94" s="102">
        <v>7574.04804</v>
      </c>
      <c r="G94" s="102">
        <v>1575.401992</v>
      </c>
      <c r="H94" s="102">
        <v>5998.646048</v>
      </c>
      <c r="I94" s="102">
        <v>2999.323024</v>
      </c>
      <c r="J94" s="102">
        <v>2999.323024</v>
      </c>
    </row>
    <row r="95" ht="15.0" customHeight="1">
      <c r="A95" s="79">
        <v>92.0</v>
      </c>
      <c r="B95" s="80">
        <v>128554.1219</v>
      </c>
      <c r="C95" s="80">
        <v>136627.32075532</v>
      </c>
      <c r="D95" s="80">
        <v>8073.198853</v>
      </c>
      <c r="E95" s="80">
        <v>318.2177311</v>
      </c>
      <c r="F95" s="80">
        <v>7754.981122</v>
      </c>
      <c r="G95" s="80">
        <v>1613.036073</v>
      </c>
      <c r="H95" s="80">
        <v>6141.945048</v>
      </c>
      <c r="I95" s="80">
        <v>3070.972524</v>
      </c>
      <c r="J95" s="80">
        <v>3070.972524</v>
      </c>
    </row>
    <row r="96" ht="15.0" customHeight="1">
      <c r="A96" s="101">
        <v>93.0</v>
      </c>
      <c r="B96" s="102">
        <v>131625.0944</v>
      </c>
      <c r="C96" s="102">
        <v>139891.15032832</v>
      </c>
      <c r="D96" s="102">
        <v>8266.055927</v>
      </c>
      <c r="E96" s="102">
        <v>325.8194936</v>
      </c>
      <c r="F96" s="102">
        <v>7940.236434</v>
      </c>
      <c r="G96" s="102">
        <v>1651.569178</v>
      </c>
      <c r="H96" s="102">
        <v>6288.667256</v>
      </c>
      <c r="I96" s="102">
        <v>3144.333628</v>
      </c>
      <c r="J96" s="102">
        <v>3144.333628</v>
      </c>
    </row>
    <row r="97" ht="15.0" customHeight="1">
      <c r="A97" s="79">
        <v>94.0</v>
      </c>
      <c r="B97" s="80">
        <v>134769.428</v>
      </c>
      <c r="C97" s="80">
        <v>143232.9480784</v>
      </c>
      <c r="D97" s="80">
        <v>8463.520079</v>
      </c>
      <c r="E97" s="80">
        <v>333.6028513</v>
      </c>
      <c r="F97" s="80">
        <v>8129.917228</v>
      </c>
      <c r="G97" s="80">
        <v>1691.022783</v>
      </c>
      <c r="H97" s="80">
        <v>6438.894444</v>
      </c>
      <c r="I97" s="80">
        <v>3219.447222</v>
      </c>
      <c r="J97" s="80">
        <v>3219.447222</v>
      </c>
    </row>
    <row r="98" ht="15.0" customHeight="1">
      <c r="A98" s="101">
        <v>95.0</v>
      </c>
      <c r="B98" s="102">
        <v>137988.8752</v>
      </c>
      <c r="C98" s="102">
        <v>146654.57656256</v>
      </c>
      <c r="D98" s="102">
        <v>8665.701365</v>
      </c>
      <c r="E98" s="102">
        <v>341.5721422</v>
      </c>
      <c r="F98" s="102">
        <v>8324.129223</v>
      </c>
      <c r="G98" s="102">
        <v>1731.418878</v>
      </c>
      <c r="H98" s="102">
        <v>6592.710344</v>
      </c>
      <c r="I98" s="102">
        <v>3296.355172</v>
      </c>
      <c r="J98" s="102">
        <v>3296.355172</v>
      </c>
    </row>
    <row r="99" ht="15.0" customHeight="1">
      <c r="A99" s="79">
        <v>96.0</v>
      </c>
      <c r="B99" s="80">
        <v>141285.2304</v>
      </c>
      <c r="C99" s="80">
        <v>150157.94286912</v>
      </c>
      <c r="D99" s="80">
        <v>8872.71247</v>
      </c>
      <c r="E99" s="80">
        <v>349.7318079</v>
      </c>
      <c r="F99" s="80">
        <v>8522.980662</v>
      </c>
      <c r="G99" s="80">
        <v>1772.779978</v>
      </c>
      <c r="H99" s="80">
        <v>6750.200684</v>
      </c>
      <c r="I99" s="80">
        <v>3375.100342</v>
      </c>
      <c r="J99" s="80">
        <v>3375.100342</v>
      </c>
    </row>
    <row r="100" ht="15.0" customHeight="1">
      <c r="A100" s="101">
        <v>97.0</v>
      </c>
      <c r="B100" s="102">
        <v>144660.3307</v>
      </c>
      <c r="C100" s="102">
        <v>153744.99946796</v>
      </c>
      <c r="D100" s="102">
        <v>9084.668771</v>
      </c>
      <c r="E100" s="102">
        <v>358.0863963</v>
      </c>
      <c r="F100" s="102">
        <v>8726.582375</v>
      </c>
      <c r="G100" s="102">
        <v>1815.129134</v>
      </c>
      <c r="H100" s="102">
        <v>6911.453241</v>
      </c>
      <c r="I100" s="102">
        <v>3455.72662</v>
      </c>
      <c r="J100" s="102">
        <v>3455.72662</v>
      </c>
    </row>
    <row r="101" ht="15.0" customHeight="1">
      <c r="A101" s="79">
        <v>98.0</v>
      </c>
      <c r="B101" s="80">
        <v>148116.0574</v>
      </c>
      <c r="C101" s="80">
        <v>157417.74580472</v>
      </c>
      <c r="D101" s="80">
        <v>9301.688403</v>
      </c>
      <c r="E101" s="80">
        <v>366.6405638</v>
      </c>
      <c r="F101" s="80">
        <v>8935.047839</v>
      </c>
      <c r="G101" s="80">
        <v>1858.489951</v>
      </c>
      <c r="H101" s="80">
        <v>7076.557889</v>
      </c>
      <c r="I101" s="80">
        <v>3538.278944</v>
      </c>
      <c r="J101" s="80">
        <v>3538.278944</v>
      </c>
    </row>
    <row r="102" ht="15.0" customHeight="1">
      <c r="A102" s="101">
        <v>99.0</v>
      </c>
      <c r="B102" s="102">
        <v>151654.3363</v>
      </c>
      <c r="C102" s="102">
        <v>161178.22861964</v>
      </c>
      <c r="D102" s="102">
        <v>9523.89232</v>
      </c>
      <c r="E102" s="102">
        <v>375.3990779</v>
      </c>
      <c r="F102" s="102">
        <v>9148.493243</v>
      </c>
      <c r="G102" s="102">
        <v>1902.886594</v>
      </c>
      <c r="H102" s="102">
        <v>7245.606648</v>
      </c>
      <c r="I102" s="102">
        <v>3622.803324</v>
      </c>
      <c r="J102" s="102">
        <v>3622.803324</v>
      </c>
    </row>
    <row r="103" ht="15.0" customHeight="1">
      <c r="A103" s="79">
        <v>100.0</v>
      </c>
      <c r="B103" s="80">
        <v>155277.1396</v>
      </c>
      <c r="C103" s="80">
        <v>165028.54396688</v>
      </c>
      <c r="D103" s="80">
        <v>9751.404369</v>
      </c>
      <c r="E103" s="80">
        <v>384.3668204</v>
      </c>
      <c r="F103" s="80">
        <v>9367.037549</v>
      </c>
      <c r="G103" s="80">
        <v>1948.34381</v>
      </c>
      <c r="H103" s="80">
        <v>7418.693739</v>
      </c>
      <c r="I103" s="80">
        <v>3709.346869</v>
      </c>
      <c r="J103" s="80">
        <v>3709.346869</v>
      </c>
    </row>
    <row r="104" ht="15.0" customHeight="1">
      <c r="A104" s="101">
        <v>101.0</v>
      </c>
      <c r="B104" s="102">
        <v>158986.4865</v>
      </c>
      <c r="C104" s="102">
        <v>168970.8378522</v>
      </c>
      <c r="D104" s="102">
        <v>9984.351353</v>
      </c>
      <c r="E104" s="102">
        <v>393.5487892</v>
      </c>
      <c r="F104" s="102">
        <v>9590.802563</v>
      </c>
      <c r="G104" s="102">
        <v>1994.886933</v>
      </c>
      <c r="H104" s="102">
        <v>7595.91563</v>
      </c>
      <c r="I104" s="102">
        <v>3797.957815</v>
      </c>
      <c r="J104" s="102">
        <v>3797.957815</v>
      </c>
    </row>
    <row r="105" ht="15.0" customHeight="1">
      <c r="A105" s="79">
        <v>102.0</v>
      </c>
      <c r="B105" s="80">
        <v>162784.4443</v>
      </c>
      <c r="C105" s="80">
        <v>173007.30740204</v>
      </c>
      <c r="D105" s="80">
        <v>10222.8631</v>
      </c>
      <c r="E105" s="80">
        <v>402.9501021</v>
      </c>
      <c r="F105" s="80">
        <v>9819.913001</v>
      </c>
      <c r="G105" s="80">
        <v>2042.541904</v>
      </c>
      <c r="H105" s="80">
        <v>7777.371097</v>
      </c>
      <c r="I105" s="80">
        <v>3888.685549</v>
      </c>
      <c r="J105" s="80">
        <v>3888.685549</v>
      </c>
    </row>
    <row r="106" ht="15.0" customHeight="1">
      <c r="A106" s="101">
        <v>103.0</v>
      </c>
      <c r="B106" s="102">
        <v>166673.1299</v>
      </c>
      <c r="C106" s="102">
        <v>177140.20245772</v>
      </c>
      <c r="D106" s="102">
        <v>10467.07256</v>
      </c>
      <c r="E106" s="102">
        <v>412.5759988</v>
      </c>
      <c r="F106" s="102">
        <v>10054.49656</v>
      </c>
      <c r="G106" s="102">
        <v>2091.335284</v>
      </c>
      <c r="H106" s="102">
        <v>7963.161273</v>
      </c>
      <c r="I106" s="102">
        <v>3981.580637</v>
      </c>
      <c r="J106" s="102">
        <v>3981.580637</v>
      </c>
    </row>
    <row r="107" ht="15.0" customHeight="1">
      <c r="A107" s="79">
        <v>104.0</v>
      </c>
      <c r="B107" s="80">
        <v>170654.7105</v>
      </c>
      <c r="C107" s="80">
        <v>181371.8263194</v>
      </c>
      <c r="D107" s="80">
        <v>10717.11582</v>
      </c>
      <c r="E107" s="80">
        <v>422.4318442</v>
      </c>
      <c r="F107" s="80">
        <v>10294.68398</v>
      </c>
      <c r="G107" s="80">
        <v>2141.294267</v>
      </c>
      <c r="H107" s="80">
        <v>8153.389709</v>
      </c>
      <c r="I107" s="80">
        <v>4076.694854</v>
      </c>
      <c r="J107" s="80">
        <v>4076.694854</v>
      </c>
    </row>
    <row r="108" ht="15.0" customHeight="1">
      <c r="A108" s="101">
        <v>105.0</v>
      </c>
      <c r="B108" s="102">
        <v>174731.4054</v>
      </c>
      <c r="C108" s="102">
        <v>185704.53765912</v>
      </c>
      <c r="D108" s="102">
        <v>10973.13226</v>
      </c>
      <c r="E108" s="102">
        <v>432.5231316</v>
      </c>
      <c r="F108" s="102">
        <v>10540.60913</v>
      </c>
      <c r="G108" s="102">
        <v>2192.446698</v>
      </c>
      <c r="H108" s="102">
        <v>8348.162427</v>
      </c>
      <c r="I108" s="102">
        <v>4174.081214</v>
      </c>
      <c r="J108" s="102">
        <v>4174.081214</v>
      </c>
    </row>
    <row r="109" ht="15.0" customHeight="1">
      <c r="A109" s="79">
        <v>106.0</v>
      </c>
      <c r="B109" s="80">
        <v>178905.4866</v>
      </c>
      <c r="C109" s="80">
        <v>190140.75115848</v>
      </c>
      <c r="D109" s="80">
        <v>11235.26456</v>
      </c>
      <c r="E109" s="80">
        <v>442.8554852</v>
      </c>
      <c r="F109" s="80">
        <v>10792.40907</v>
      </c>
      <c r="G109" s="80">
        <v>2244.821087</v>
      </c>
      <c r="H109" s="80">
        <v>8547.587985</v>
      </c>
      <c r="I109" s="80">
        <v>4273.793992</v>
      </c>
      <c r="J109" s="80">
        <v>4273.793992</v>
      </c>
    </row>
    <row r="110" ht="15.0" customHeight="1">
      <c r="A110" s="101">
        <v>107.0</v>
      </c>
      <c r="B110" s="102">
        <v>183179.2806</v>
      </c>
      <c r="C110" s="102">
        <v>194682.93942168</v>
      </c>
      <c r="D110" s="102">
        <v>11503.65882</v>
      </c>
      <c r="E110" s="102">
        <v>453.4346639</v>
      </c>
      <c r="F110" s="102">
        <v>11050.22416</v>
      </c>
      <c r="G110" s="102">
        <v>2298.446624</v>
      </c>
      <c r="H110" s="102">
        <v>8751.777531</v>
      </c>
      <c r="I110" s="102">
        <v>4375.888766</v>
      </c>
      <c r="J110" s="102">
        <v>4375.888766</v>
      </c>
    </row>
    <row r="111" ht="15.0" customHeight="1">
      <c r="A111" s="79">
        <v>108.0</v>
      </c>
      <c r="B111" s="80">
        <v>187555.1693</v>
      </c>
      <c r="C111" s="80">
        <v>199333.63393204</v>
      </c>
      <c r="D111" s="80">
        <v>11778.46463</v>
      </c>
      <c r="E111" s="80">
        <v>464.266564</v>
      </c>
      <c r="F111" s="80">
        <v>11314.19807</v>
      </c>
      <c r="G111" s="80">
        <v>2353.353199</v>
      </c>
      <c r="H111" s="80">
        <v>8960.844872</v>
      </c>
      <c r="I111" s="80">
        <v>4480.422436</v>
      </c>
      <c r="J111" s="80">
        <v>4480.422436</v>
      </c>
    </row>
    <row r="112" ht="15.0" customHeight="1">
      <c r="A112" s="101">
        <v>109.0</v>
      </c>
      <c r="B112" s="102">
        <v>192035.5918</v>
      </c>
      <c r="C112" s="102">
        <v>204095.42696504</v>
      </c>
      <c r="D112" s="102">
        <v>12059.83516</v>
      </c>
      <c r="E112" s="102">
        <v>475.3572224</v>
      </c>
      <c r="F112" s="102">
        <v>11584.47794</v>
      </c>
      <c r="G112" s="102">
        <v>2409.571412</v>
      </c>
      <c r="H112" s="102">
        <v>9174.906529</v>
      </c>
      <c r="I112" s="102">
        <v>4587.453264</v>
      </c>
      <c r="J112" s="102">
        <v>4587.453264</v>
      </c>
    </row>
    <row r="113" ht="15.0" customHeight="1">
      <c r="A113" s="79">
        <v>110.0</v>
      </c>
      <c r="B113" s="80">
        <v>196623.045</v>
      </c>
      <c r="C113" s="80">
        <v>208970.972226</v>
      </c>
      <c r="D113" s="80">
        <v>12347.92723</v>
      </c>
      <c r="E113" s="80">
        <v>486.7128208</v>
      </c>
      <c r="F113" s="80">
        <v>11861.21441</v>
      </c>
      <c r="G113" s="80">
        <v>2467.132597</v>
      </c>
      <c r="H113" s="80">
        <v>9394.081811</v>
      </c>
      <c r="I113" s="80">
        <v>4697.040905</v>
      </c>
      <c r="J113" s="80">
        <v>4697.040905</v>
      </c>
    </row>
    <row r="114" ht="15.0" customHeight="1">
      <c r="A114" s="101">
        <v>111.0</v>
      </c>
      <c r="B114" s="102">
        <v>201320.0859</v>
      </c>
      <c r="C114" s="102">
        <v>213962.98729452</v>
      </c>
      <c r="D114" s="102">
        <v>12642.9014</v>
      </c>
      <c r="E114" s="102">
        <v>498.3396879</v>
      </c>
      <c r="F114" s="102">
        <v>12144.56171</v>
      </c>
      <c r="G114" s="102">
        <v>2526.068835</v>
      </c>
      <c r="H114" s="102">
        <v>9618.492874</v>
      </c>
      <c r="I114" s="102">
        <v>4809.246437</v>
      </c>
      <c r="J114" s="102">
        <v>4809.246437</v>
      </c>
    </row>
    <row r="115" ht="15.0" customHeight="1">
      <c r="A115" s="79">
        <v>112.0</v>
      </c>
      <c r="B115" s="80">
        <v>206129.3324</v>
      </c>
      <c r="C115" s="80">
        <v>219074.25447472</v>
      </c>
      <c r="D115" s="80">
        <v>12944.92207</v>
      </c>
      <c r="E115" s="80">
        <v>510.2443042</v>
      </c>
      <c r="F115" s="80">
        <v>12434.67777</v>
      </c>
      <c r="G115" s="80">
        <v>2586.412976</v>
      </c>
      <c r="H115" s="80">
        <v>9848.264793</v>
      </c>
      <c r="I115" s="80">
        <v>4924.132397</v>
      </c>
      <c r="J115" s="80">
        <v>4924.132397</v>
      </c>
    </row>
    <row r="116" ht="15.0" customHeight="1">
      <c r="A116" s="101">
        <v>113.0</v>
      </c>
      <c r="B116" s="102">
        <v>211053.4648</v>
      </c>
      <c r="C116" s="102">
        <v>224307.62238944</v>
      </c>
      <c r="D116" s="102">
        <v>13254.15759</v>
      </c>
      <c r="E116" s="102">
        <v>522.4333046</v>
      </c>
      <c r="F116" s="102">
        <v>12731.72428</v>
      </c>
      <c r="G116" s="102">
        <v>2648.198651</v>
      </c>
      <c r="H116" s="102">
        <v>10083.52563</v>
      </c>
      <c r="I116" s="102">
        <v>5041.762816</v>
      </c>
      <c r="J116" s="102">
        <v>5041.762816</v>
      </c>
    </row>
    <row r="117" ht="15.0" customHeight="1">
      <c r="A117" s="79">
        <v>114.0</v>
      </c>
      <c r="B117" s="80">
        <v>216095.2276</v>
      </c>
      <c r="C117" s="80">
        <v>229666.00789328</v>
      </c>
      <c r="D117" s="80">
        <v>13570.78029</v>
      </c>
      <c r="E117" s="80">
        <v>534.9134826</v>
      </c>
      <c r="F117" s="80">
        <v>13035.86681</v>
      </c>
      <c r="G117" s="80">
        <v>2711.460296</v>
      </c>
      <c r="H117" s="80">
        <v>10324.40651</v>
      </c>
      <c r="I117" s="80">
        <v>5162.203257</v>
      </c>
      <c r="J117" s="80">
        <v>5162.203257</v>
      </c>
    </row>
    <row r="118" ht="15.0" customHeight="1">
      <c r="A118" s="101">
        <v>115.0</v>
      </c>
      <c r="B118" s="102">
        <v>221257.4308</v>
      </c>
      <c r="C118" s="102">
        <v>235152.39745424</v>
      </c>
      <c r="D118" s="102">
        <v>13894.96666</v>
      </c>
      <c r="E118" s="102">
        <v>547.691794</v>
      </c>
      <c r="F118" s="102">
        <v>13347.27486</v>
      </c>
      <c r="G118" s="102">
        <v>2776.233172</v>
      </c>
      <c r="H118" s="102">
        <v>10571.04169</v>
      </c>
      <c r="I118" s="102">
        <v>5285.520846</v>
      </c>
      <c r="J118" s="102">
        <v>5285.520846</v>
      </c>
    </row>
    <row r="119" ht="15.0" customHeight="1">
      <c r="A119" s="79">
        <v>116.0</v>
      </c>
      <c r="B119" s="80">
        <v>226542.9517</v>
      </c>
      <c r="C119" s="80">
        <v>240769.84906676</v>
      </c>
      <c r="D119" s="80">
        <v>14226.89737</v>
      </c>
      <c r="E119" s="80">
        <v>560.7753609</v>
      </c>
      <c r="F119" s="80">
        <v>13666.12201</v>
      </c>
      <c r="G119" s="80">
        <v>2842.553377</v>
      </c>
      <c r="H119" s="80">
        <v>10823.56863</v>
      </c>
      <c r="I119" s="80">
        <v>5411.784314</v>
      </c>
      <c r="J119" s="80">
        <v>5411.784314</v>
      </c>
    </row>
    <row r="120" ht="15.0" customHeight="1">
      <c r="A120" s="101">
        <v>117.0</v>
      </c>
      <c r="B120" s="102">
        <v>231954.736</v>
      </c>
      <c r="C120" s="102">
        <v>246521.4934208</v>
      </c>
      <c r="D120" s="102">
        <v>14566.75742</v>
      </c>
      <c r="E120" s="102">
        <v>574.1714753</v>
      </c>
      <c r="F120" s="102">
        <v>13992.58595</v>
      </c>
      <c r="G120" s="102">
        <v>2910.457877</v>
      </c>
      <c r="H120" s="102">
        <v>11082.12807</v>
      </c>
      <c r="I120" s="102">
        <v>5541.064035</v>
      </c>
      <c r="J120" s="102">
        <v>5541.064035</v>
      </c>
    </row>
    <row r="121" ht="15.0" customHeight="1">
      <c r="A121" s="79">
        <v>118.0</v>
      </c>
      <c r="B121" s="80">
        <v>237495.8</v>
      </c>
      <c r="C121" s="80">
        <v>252410.53624</v>
      </c>
      <c r="D121" s="80">
        <v>14914.73624</v>
      </c>
      <c r="E121" s="80">
        <v>587.8876036</v>
      </c>
      <c r="F121" s="80">
        <v>14326.84864</v>
      </c>
      <c r="G121" s="80">
        <v>2979.984517</v>
      </c>
      <c r="H121" s="80">
        <v>11346.86412</v>
      </c>
      <c r="I121" s="80">
        <v>5673.432061</v>
      </c>
      <c r="J121" s="80">
        <v>5673.432061</v>
      </c>
    </row>
    <row r="122" ht="15.0" customHeight="1">
      <c r="A122" s="101">
        <v>119.0</v>
      </c>
      <c r="B122" s="102">
        <v>243169.2321</v>
      </c>
      <c r="C122" s="102">
        <v>258440.25987588</v>
      </c>
      <c r="D122" s="102">
        <v>15271.02778</v>
      </c>
      <c r="E122" s="102">
        <v>601.9313904</v>
      </c>
      <c r="F122" s="102">
        <v>14669.09639</v>
      </c>
      <c r="G122" s="102">
        <v>3051.172048</v>
      </c>
      <c r="H122" s="102">
        <v>11617.92434</v>
      </c>
      <c r="I122" s="102">
        <v>5808.962169</v>
      </c>
      <c r="J122" s="102">
        <v>5808.962169</v>
      </c>
    </row>
    <row r="123" ht="15.0" customHeight="1">
      <c r="A123" s="79">
        <v>120.0</v>
      </c>
      <c r="B123" s="80">
        <v>248978.1943</v>
      </c>
      <c r="C123" s="80">
        <v>264614.02490204</v>
      </c>
      <c r="D123" s="80">
        <v>15635.8306</v>
      </c>
      <c r="E123" s="80">
        <v>616.310663</v>
      </c>
      <c r="F123" s="80">
        <v>15019.51994</v>
      </c>
      <c r="G123" s="80">
        <v>3124.060147</v>
      </c>
      <c r="H123" s="80">
        <v>11895.45979</v>
      </c>
      <c r="I123" s="80">
        <v>5947.729895</v>
      </c>
      <c r="J123" s="80">
        <v>5947.729895</v>
      </c>
    </row>
    <row r="124" ht="15.0" customHeight="1">
      <c r="A124" s="101">
        <v>121.0</v>
      </c>
      <c r="B124" s="102">
        <v>254925.9242</v>
      </c>
      <c r="C124" s="102">
        <v>270935.27223976</v>
      </c>
      <c r="D124" s="102">
        <v>16009.34804</v>
      </c>
      <c r="E124" s="102">
        <v>631.0334356</v>
      </c>
      <c r="F124" s="102">
        <v>15378.3146</v>
      </c>
      <c r="G124" s="102">
        <v>3198.689437</v>
      </c>
      <c r="H124" s="102">
        <v>12179.62516</v>
      </c>
      <c r="I124" s="102">
        <v>6089.812582</v>
      </c>
      <c r="J124" s="102">
        <v>6089.812582</v>
      </c>
    </row>
    <row r="125" ht="15.0" customHeight="1">
      <c r="A125" s="79">
        <v>122.0</v>
      </c>
      <c r="B125" s="80">
        <v>261015.7367</v>
      </c>
      <c r="C125" s="80">
        <v>277407.52496476</v>
      </c>
      <c r="D125" s="80">
        <v>16391.78827</v>
      </c>
      <c r="E125" s="80">
        <v>646.1079141</v>
      </c>
      <c r="F125" s="80">
        <v>15745.68035</v>
      </c>
      <c r="G125" s="80">
        <v>3275.101514</v>
      </c>
      <c r="H125" s="80">
        <v>12470.57884</v>
      </c>
      <c r="I125" s="80">
        <v>6235.28942</v>
      </c>
      <c r="J125" s="80">
        <v>6235.28942</v>
      </c>
    </row>
    <row r="126" ht="15.0" customHeight="1">
      <c r="A126" s="101">
        <v>123.0</v>
      </c>
      <c r="B126" s="102">
        <v>267251.0262</v>
      </c>
      <c r="C126" s="102">
        <v>284034.39064536</v>
      </c>
      <c r="D126" s="102">
        <v>16783.36444</v>
      </c>
      <c r="E126" s="102">
        <v>661.5425001</v>
      </c>
      <c r="F126" s="102">
        <v>16121.82194</v>
      </c>
      <c r="G126" s="102">
        <v>3353.338964</v>
      </c>
      <c r="H126" s="102">
        <v>12768.48298</v>
      </c>
      <c r="I126" s="102">
        <v>6384.241489</v>
      </c>
      <c r="J126" s="102">
        <v>6384.241489</v>
      </c>
    </row>
    <row r="127" ht="15.0" customHeight="1">
      <c r="A127" s="79">
        <v>124.0</v>
      </c>
      <c r="B127" s="80">
        <v>273635.2677</v>
      </c>
      <c r="C127" s="80">
        <v>290819.56251156</v>
      </c>
      <c r="D127" s="80">
        <v>17184.29481</v>
      </c>
      <c r="E127" s="80">
        <v>677.3457961</v>
      </c>
      <c r="F127" s="80">
        <v>16506.94901</v>
      </c>
      <c r="G127" s="80">
        <v>3433.445395</v>
      </c>
      <c r="H127" s="80">
        <v>13073.50362</v>
      </c>
      <c r="I127" s="80">
        <v>6536.751809</v>
      </c>
      <c r="J127" s="80">
        <v>6536.751809</v>
      </c>
    </row>
    <row r="128" ht="15.0" customHeight="1">
      <c r="A128" s="101">
        <v>125.0</v>
      </c>
      <c r="B128" s="102">
        <v>280172.0195</v>
      </c>
      <c r="C128" s="102">
        <v>297766.8223246</v>
      </c>
      <c r="D128" s="102">
        <v>17594.80282</v>
      </c>
      <c r="E128" s="102">
        <v>693.5266101</v>
      </c>
      <c r="F128" s="102">
        <v>16901.27621</v>
      </c>
      <c r="G128" s="102">
        <v>3515.465452</v>
      </c>
      <c r="H128" s="102">
        <v>13385.81076</v>
      </c>
      <c r="I128" s="102">
        <v>6692.90538</v>
      </c>
      <c r="J128" s="102">
        <v>6692.90538</v>
      </c>
    </row>
    <row r="129" ht="15.0" customHeight="1">
      <c r="A129" s="79">
        <v>126.0</v>
      </c>
      <c r="B129" s="80">
        <v>286864.9248</v>
      </c>
      <c r="C129" s="80">
        <v>304880.04207744</v>
      </c>
      <c r="D129" s="80">
        <v>18015.11728</v>
      </c>
      <c r="E129" s="80">
        <v>710.0939604</v>
      </c>
      <c r="F129" s="80">
        <v>17305.02332</v>
      </c>
      <c r="G129" s="80">
        <v>3599.444851</v>
      </c>
      <c r="H129" s="80">
        <v>13705.57847</v>
      </c>
      <c r="I129" s="80">
        <v>6852.789235</v>
      </c>
      <c r="J129" s="80">
        <v>6852.789235</v>
      </c>
    </row>
    <row r="130" ht="15.0" customHeight="1">
      <c r="A130" s="101">
        <v>127.0</v>
      </c>
      <c r="B130" s="102">
        <v>293717.7141</v>
      </c>
      <c r="C130" s="102">
        <v>312163.18654548</v>
      </c>
      <c r="D130" s="102">
        <v>18445.47244</v>
      </c>
      <c r="E130" s="102">
        <v>727.0570807</v>
      </c>
      <c r="F130" s="102">
        <v>17718.41536</v>
      </c>
      <c r="G130" s="102">
        <v>3685.430396</v>
      </c>
      <c r="H130" s="102">
        <v>14032.98497</v>
      </c>
      <c r="I130" s="102">
        <v>7016.492484</v>
      </c>
      <c r="J130" s="102">
        <v>7016.492484</v>
      </c>
    </row>
    <row r="131" ht="15.0" customHeight="1">
      <c r="A131" s="79">
        <v>128.0</v>
      </c>
      <c r="B131" s="80">
        <v>300734.2066</v>
      </c>
      <c r="C131" s="80">
        <v>319620.31477448</v>
      </c>
      <c r="D131" s="80">
        <v>18886.10817</v>
      </c>
      <c r="E131" s="80">
        <v>744.4254256</v>
      </c>
      <c r="F131" s="80">
        <v>18141.68275</v>
      </c>
      <c r="G131" s="80">
        <v>3773.470011</v>
      </c>
      <c r="H131" s="80">
        <v>14368.21274</v>
      </c>
      <c r="I131" s="80">
        <v>7184.106368</v>
      </c>
      <c r="J131" s="80">
        <v>7184.106368</v>
      </c>
    </row>
    <row r="132" ht="15.0" customHeight="1">
      <c r="A132" s="101">
        <v>129.0</v>
      </c>
      <c r="B132" s="102">
        <v>307918.3129</v>
      </c>
      <c r="C132" s="102">
        <v>327255.58295012</v>
      </c>
      <c r="D132" s="102">
        <v>19337.27005</v>
      </c>
      <c r="E132" s="102">
        <v>762.2086751</v>
      </c>
      <c r="F132" s="102">
        <v>18575.06138</v>
      </c>
      <c r="G132" s="102">
        <v>3863.612766</v>
      </c>
      <c r="H132" s="102">
        <v>14711.44861</v>
      </c>
      <c r="I132" s="102">
        <v>7355.724305</v>
      </c>
      <c r="J132" s="102">
        <v>7355.724305</v>
      </c>
    </row>
    <row r="133" ht="15.0" customHeight="1">
      <c r="A133" s="79">
        <v>130.0</v>
      </c>
      <c r="B133" s="80">
        <v>315274.0372</v>
      </c>
      <c r="C133" s="80">
        <v>335073.24673616</v>
      </c>
      <c r="D133" s="80">
        <v>19799.20954</v>
      </c>
      <c r="E133" s="80">
        <v>780.4167408</v>
      </c>
      <c r="F133" s="80">
        <v>19018.7928</v>
      </c>
      <c r="G133" s="80">
        <v>3955.908902</v>
      </c>
      <c r="H133" s="80">
        <v>15062.8839</v>
      </c>
      <c r="I133" s="80">
        <v>7531.441948</v>
      </c>
      <c r="J133" s="80">
        <v>7531.441948</v>
      </c>
    </row>
    <row r="134" ht="15.0" customHeight="1">
      <c r="A134" s="101">
        <v>131.0</v>
      </c>
      <c r="B134" s="102">
        <v>322805.4792</v>
      </c>
      <c r="C134" s="102">
        <v>343077.66329376</v>
      </c>
      <c r="D134" s="102">
        <v>20272.18409</v>
      </c>
      <c r="E134" s="102">
        <v>799.059771</v>
      </c>
      <c r="F134" s="102">
        <v>19473.12432</v>
      </c>
      <c r="G134" s="102">
        <v>4050.409859</v>
      </c>
      <c r="H134" s="102">
        <v>15422.71446</v>
      </c>
      <c r="I134" s="102">
        <v>7711.357231</v>
      </c>
      <c r="J134" s="102">
        <v>7711.357231</v>
      </c>
    </row>
    <row r="135" ht="15.0" customHeight="1">
      <c r="A135" s="79">
        <v>132.0</v>
      </c>
      <c r="B135" s="80">
        <v>330516.8364</v>
      </c>
      <c r="C135" s="80">
        <v>351273.29372592</v>
      </c>
      <c r="D135" s="80">
        <v>20756.45733</v>
      </c>
      <c r="E135" s="80">
        <v>818.1481562</v>
      </c>
      <c r="F135" s="80">
        <v>19938.30917</v>
      </c>
      <c r="G135" s="80">
        <v>4147.168308</v>
      </c>
      <c r="H135" s="80">
        <v>15791.14086</v>
      </c>
      <c r="I135" s="80">
        <v>7895.570432</v>
      </c>
      <c r="J135" s="80">
        <v>7895.570432</v>
      </c>
    </row>
    <row r="136" ht="15.0" customHeight="1">
      <c r="A136" s="101">
        <v>133.0</v>
      </c>
      <c r="B136" s="102">
        <v>338412.4068</v>
      </c>
      <c r="C136" s="102">
        <v>359664.70594704</v>
      </c>
      <c r="D136" s="102">
        <v>21252.29915</v>
      </c>
      <c r="E136" s="102">
        <v>837.6925354</v>
      </c>
      <c r="F136" s="102">
        <v>20414.60661</v>
      </c>
      <c r="G136" s="102">
        <v>4246.238176</v>
      </c>
      <c r="H136" s="102">
        <v>16168.36844</v>
      </c>
      <c r="I136" s="102">
        <v>8084.184219</v>
      </c>
      <c r="J136" s="102">
        <v>8084.184219</v>
      </c>
    </row>
    <row r="137" ht="15.0" customHeight="1">
      <c r="A137" s="79">
        <v>134.0</v>
      </c>
      <c r="B137" s="80">
        <v>346496.5911</v>
      </c>
      <c r="C137" s="80">
        <v>368256.57702108</v>
      </c>
      <c r="D137" s="80">
        <v>21759.98592</v>
      </c>
      <c r="E137" s="80">
        <v>857.7038017</v>
      </c>
      <c r="F137" s="80">
        <v>20902.28212</v>
      </c>
      <c r="G137" s="80">
        <v>4347.67468</v>
      </c>
      <c r="H137" s="80">
        <v>16554.60744</v>
      </c>
      <c r="I137" s="80">
        <v>8277.303718</v>
      </c>
      <c r="J137" s="80">
        <v>8277.303718</v>
      </c>
    </row>
    <row r="138" ht="15.0" customHeight="1">
      <c r="A138" s="101">
        <v>135.0</v>
      </c>
      <c r="B138" s="102">
        <v>354773.8948</v>
      </c>
      <c r="C138" s="102">
        <v>377053.69539344</v>
      </c>
      <c r="D138" s="102">
        <v>22279.80059</v>
      </c>
      <c r="E138" s="102">
        <v>878.1931082</v>
      </c>
      <c r="F138" s="102">
        <v>21401.60748</v>
      </c>
      <c r="G138" s="102">
        <v>4451.534357</v>
      </c>
      <c r="H138" s="102">
        <v>16950.07313</v>
      </c>
      <c r="I138" s="102">
        <v>8475.036564</v>
      </c>
      <c r="J138" s="102">
        <v>8475.036564</v>
      </c>
    </row>
    <row r="139" ht="15.0" customHeight="1">
      <c r="A139" s="79">
        <v>136.0</v>
      </c>
      <c r="B139" s="80">
        <v>363248.9313</v>
      </c>
      <c r="C139" s="80">
        <v>386060.96418564</v>
      </c>
      <c r="D139" s="80">
        <v>22812.03289</v>
      </c>
      <c r="E139" s="80">
        <v>899.1718747</v>
      </c>
      <c r="F139" s="80">
        <v>21912.86101</v>
      </c>
      <c r="G139" s="80">
        <v>4557.875091</v>
      </c>
      <c r="H139" s="80">
        <v>17354.98592</v>
      </c>
      <c r="I139" s="80">
        <v>8677.492962</v>
      </c>
      <c r="J139" s="80">
        <v>8677.492962</v>
      </c>
    </row>
    <row r="140" ht="15.0" customHeight="1">
      <c r="A140" s="101">
        <v>137.0</v>
      </c>
      <c r="B140" s="102">
        <v>371926.4243</v>
      </c>
      <c r="C140" s="102">
        <v>395283.40374604</v>
      </c>
      <c r="D140" s="102">
        <v>23356.97945</v>
      </c>
      <c r="E140" s="102">
        <v>920.6517937</v>
      </c>
      <c r="F140" s="102">
        <v>22436.32765</v>
      </c>
      <c r="G140" s="102">
        <v>4666.756152</v>
      </c>
      <c r="H140" s="102">
        <v>17769.5715</v>
      </c>
      <c r="I140" s="102">
        <v>8884.785751</v>
      </c>
      <c r="J140" s="102">
        <v>8884.785751</v>
      </c>
    </row>
    <row r="141" ht="15.0" customHeight="1">
      <c r="A141" s="79">
        <v>138.0</v>
      </c>
      <c r="B141" s="80">
        <v>380811.2101</v>
      </c>
      <c r="C141" s="80">
        <v>404726.15409428</v>
      </c>
      <c r="D141" s="80">
        <v>23914.94399</v>
      </c>
      <c r="E141" s="80">
        <v>942.6448369</v>
      </c>
      <c r="F141" s="80">
        <v>22972.29915</v>
      </c>
      <c r="G141" s="80">
        <v>4778.238224</v>
      </c>
      <c r="H141" s="80">
        <v>18194.06093</v>
      </c>
      <c r="I141" s="80">
        <v>9097.030465</v>
      </c>
      <c r="J141" s="80">
        <v>9097.030465</v>
      </c>
    </row>
    <row r="142" ht="15.0" customHeight="1">
      <c r="A142" s="101">
        <v>139.0</v>
      </c>
      <c r="B142" s="102">
        <v>389908.2405</v>
      </c>
      <c r="C142" s="102">
        <v>414394.4780034</v>
      </c>
      <c r="D142" s="102">
        <v>24486.23751</v>
      </c>
      <c r="E142" s="102">
        <v>965.1632623</v>
      </c>
      <c r="F142" s="102">
        <v>23521.07424</v>
      </c>
      <c r="G142" s="102">
        <v>4892.383442</v>
      </c>
      <c r="H142" s="102">
        <v>18628.6908</v>
      </c>
      <c r="I142" s="102">
        <v>9314.3454</v>
      </c>
      <c r="J142" s="102">
        <v>9314.3454</v>
      </c>
    </row>
    <row r="143" ht="15.0" customHeight="1">
      <c r="A143" s="79">
        <v>140.0</v>
      </c>
      <c r="B143" s="80">
        <v>399222.5859</v>
      </c>
      <c r="C143" s="80">
        <v>424293.76429452</v>
      </c>
      <c r="D143" s="80">
        <v>25071.1784</v>
      </c>
      <c r="E143" s="80">
        <v>988.2196203</v>
      </c>
      <c r="F143" s="80">
        <v>24082.95878</v>
      </c>
      <c r="G143" s="80">
        <v>5009.255425</v>
      </c>
      <c r="H143" s="80">
        <v>19073.70335</v>
      </c>
      <c r="I143" s="80">
        <v>9536.851675</v>
      </c>
      <c r="J143" s="80">
        <v>9536.851675</v>
      </c>
    </row>
    <row r="144" ht="15.0" customHeight="1">
      <c r="A144" s="101">
        <v>141.0</v>
      </c>
      <c r="B144" s="102">
        <v>408759.4376</v>
      </c>
      <c r="C144" s="102">
        <v>434429.53028128</v>
      </c>
      <c r="D144" s="102">
        <v>25670.09268</v>
      </c>
      <c r="E144" s="102">
        <v>1011.826761</v>
      </c>
      <c r="F144" s="102">
        <v>24658.26592</v>
      </c>
      <c r="G144" s="102">
        <v>5128.919311</v>
      </c>
      <c r="H144" s="102">
        <v>19529.34661</v>
      </c>
      <c r="I144" s="102">
        <v>9764.673304</v>
      </c>
      <c r="J144" s="102">
        <v>9764.673304</v>
      </c>
    </row>
    <row r="145" ht="15.0" customHeight="1">
      <c r="A145" s="79">
        <v>142.0</v>
      </c>
      <c r="B145" s="80">
        <v>418524.1109</v>
      </c>
      <c r="C145" s="80">
        <v>444807.42506452</v>
      </c>
      <c r="D145" s="80">
        <v>26283.31416</v>
      </c>
      <c r="E145" s="80">
        <v>1035.997843</v>
      </c>
      <c r="F145" s="80">
        <v>25247.31632</v>
      </c>
      <c r="G145" s="80">
        <v>5251.441795</v>
      </c>
      <c r="H145" s="80">
        <v>19995.87453</v>
      </c>
      <c r="I145" s="80">
        <v>9997.937263</v>
      </c>
      <c r="J145" s="80">
        <v>9997.937263</v>
      </c>
    </row>
    <row r="146" ht="15.0" customHeight="1">
      <c r="A146" s="101">
        <v>143.0</v>
      </c>
      <c r="B146" s="102">
        <v>428522.0482</v>
      </c>
      <c r="C146" s="102">
        <v>455433.23282696</v>
      </c>
      <c r="D146" s="102">
        <v>26911.18463</v>
      </c>
      <c r="E146" s="102">
        <v>1060.746337</v>
      </c>
      <c r="F146" s="102">
        <v>25850.43829</v>
      </c>
      <c r="G146" s="102">
        <v>5376.891164</v>
      </c>
      <c r="H146" s="102">
        <v>20473.54712</v>
      </c>
      <c r="I146" s="102">
        <v>10236.77356</v>
      </c>
      <c r="J146" s="102">
        <v>10236.77356</v>
      </c>
    </row>
    <row r="147" ht="15.0" customHeight="1">
      <c r="A147" s="79">
        <v>144.0</v>
      </c>
      <c r="B147" s="80">
        <v>438758.8217</v>
      </c>
      <c r="C147" s="80">
        <v>466312.87570276</v>
      </c>
      <c r="D147" s="80">
        <v>27554.054</v>
      </c>
      <c r="E147" s="80">
        <v>1086.086037</v>
      </c>
      <c r="F147" s="80">
        <v>26467.96797</v>
      </c>
      <c r="G147" s="80">
        <v>5505.337337</v>
      </c>
      <c r="H147" s="80">
        <v>20962.63063</v>
      </c>
      <c r="I147" s="80">
        <v>10481.31532</v>
      </c>
      <c r="J147" s="80">
        <v>10481.31532</v>
      </c>
    </row>
    <row r="148" ht="15.0" customHeight="1">
      <c r="A148" s="101">
        <v>145.0</v>
      </c>
      <c r="B148" s="102">
        <v>449240.137</v>
      </c>
      <c r="C148" s="102">
        <v>477452.4176036</v>
      </c>
      <c r="D148" s="102">
        <v>28212.28061</v>
      </c>
      <c r="E148" s="102">
        <v>1112.031066</v>
      </c>
      <c r="F148" s="102">
        <v>27100.24954</v>
      </c>
      <c r="G148" s="102">
        <v>5636.851905</v>
      </c>
      <c r="H148" s="102">
        <v>21463.39764</v>
      </c>
      <c r="I148" s="102">
        <v>10731.69882</v>
      </c>
      <c r="J148" s="102">
        <v>10731.69882</v>
      </c>
    </row>
    <row r="149" ht="15.0" customHeight="1">
      <c r="A149" s="79">
        <v>146.0</v>
      </c>
      <c r="B149" s="80">
        <v>459971.8359</v>
      </c>
      <c r="C149" s="80">
        <v>488858.06719452</v>
      </c>
      <c r="D149" s="80">
        <v>28886.23129</v>
      </c>
      <c r="E149" s="80">
        <v>1138.595884</v>
      </c>
      <c r="F149" s="80">
        <v>27747.63541</v>
      </c>
      <c r="G149" s="80">
        <v>5771.508165</v>
      </c>
      <c r="H149" s="80">
        <v>21976.12724</v>
      </c>
      <c r="I149" s="80">
        <v>10988.06362</v>
      </c>
      <c r="J149" s="80">
        <v>10988.06362</v>
      </c>
    </row>
    <row r="150" ht="15.0" customHeight="1">
      <c r="A150" s="101">
        <v>147.0</v>
      </c>
      <c r="B150" s="102">
        <v>470959.8995</v>
      </c>
      <c r="C150" s="102">
        <v>500536.1811886</v>
      </c>
      <c r="D150" s="102">
        <v>29576.28169</v>
      </c>
      <c r="E150" s="102">
        <v>1165.795297</v>
      </c>
      <c r="F150" s="102">
        <v>28410.48639</v>
      </c>
      <c r="G150" s="102">
        <v>5909.381169</v>
      </c>
      <c r="H150" s="102">
        <v>22501.10522</v>
      </c>
      <c r="I150" s="102">
        <v>11250.55261</v>
      </c>
      <c r="J150" s="102">
        <v>11250.55261</v>
      </c>
    </row>
    <row r="151" ht="15.0" customHeight="1">
      <c r="A151" s="79">
        <v>148.0</v>
      </c>
      <c r="B151" s="80">
        <v>482210.4521</v>
      </c>
      <c r="C151" s="80">
        <v>512493.26849188</v>
      </c>
      <c r="D151" s="80">
        <v>30282.81639</v>
      </c>
      <c r="E151" s="80">
        <v>1193.644465</v>
      </c>
      <c r="F151" s="80">
        <v>29089.17193</v>
      </c>
      <c r="G151" s="80">
        <v>6050.547761</v>
      </c>
      <c r="H151" s="80">
        <v>23038.62417</v>
      </c>
      <c r="I151" s="80">
        <v>11519.31208</v>
      </c>
      <c r="J151" s="80">
        <v>11519.31208</v>
      </c>
    </row>
    <row r="152" ht="15.0" customHeight="1">
      <c r="A152" s="101">
        <v>149.0</v>
      </c>
      <c r="B152" s="102">
        <v>493729.7642</v>
      </c>
      <c r="C152" s="102">
        <v>524735.99339176</v>
      </c>
      <c r="D152" s="102">
        <v>31006.22919</v>
      </c>
      <c r="E152" s="102">
        <v>1222.158909</v>
      </c>
      <c r="F152" s="102">
        <v>29784.07028</v>
      </c>
      <c r="G152" s="102">
        <v>6195.086619</v>
      </c>
      <c r="H152" s="102">
        <v>23588.98366</v>
      </c>
      <c r="I152" s="102">
        <v>11794.49183</v>
      </c>
      <c r="J152" s="102">
        <v>11794.49183</v>
      </c>
    </row>
    <row r="153" ht="15.0" customHeight="1">
      <c r="A153" s="79">
        <v>150.0</v>
      </c>
      <c r="B153" s="80">
        <v>505524.256</v>
      </c>
      <c r="C153" s="80">
        <v>537271.1792768</v>
      </c>
      <c r="D153" s="80">
        <v>31746.92328</v>
      </c>
      <c r="E153" s="80">
        <v>1251.354522</v>
      </c>
      <c r="F153" s="80">
        <v>30495.56876</v>
      </c>
      <c r="G153" s="80">
        <v>6343.078301</v>
      </c>
      <c r="H153" s="80">
        <v>24152.49045</v>
      </c>
      <c r="I153" s="80">
        <v>12076.24523</v>
      </c>
      <c r="J153" s="80">
        <v>12076.24523</v>
      </c>
    </row>
    <row r="154" ht="15.0" customHeight="1">
      <c r="A154" s="101">
        <v>151.0</v>
      </c>
      <c r="B154" s="102">
        <v>517600.5012</v>
      </c>
      <c r="C154" s="102">
        <v>550105.81267536</v>
      </c>
      <c r="D154" s="102">
        <v>32505.31148</v>
      </c>
      <c r="E154" s="102">
        <v>1281.247577</v>
      </c>
      <c r="F154" s="102">
        <v>31224.0639</v>
      </c>
      <c r="G154" s="102">
        <v>6494.605291</v>
      </c>
      <c r="H154" s="102">
        <v>24729.45861</v>
      </c>
      <c r="I154" s="102">
        <v>12364.7293</v>
      </c>
      <c r="J154" s="102">
        <v>12364.7293</v>
      </c>
    </row>
    <row r="155" ht="15.0" customHeight="1">
      <c r="A155" s="79">
        <v>152.0</v>
      </c>
      <c r="B155" s="80">
        <v>529965.2305</v>
      </c>
      <c r="C155" s="80">
        <v>563247.0469754</v>
      </c>
      <c r="D155" s="80">
        <v>33281.81648</v>
      </c>
      <c r="E155" s="80">
        <v>1311.854733</v>
      </c>
      <c r="F155" s="80">
        <v>31969.96175</v>
      </c>
      <c r="G155" s="80">
        <v>6649.752043</v>
      </c>
      <c r="H155" s="80">
        <v>25320.2097</v>
      </c>
      <c r="I155" s="80">
        <v>12660.10485</v>
      </c>
      <c r="J155" s="80">
        <v>12660.10485</v>
      </c>
    </row>
    <row r="156" ht="15.0" customHeight="1">
      <c r="A156" s="101">
        <v>153.0</v>
      </c>
      <c r="B156" s="102">
        <v>542625.3354</v>
      </c>
      <c r="C156" s="102">
        <v>576702.20646312</v>
      </c>
      <c r="D156" s="102">
        <v>34076.87106</v>
      </c>
      <c r="E156" s="102">
        <v>1343.19305</v>
      </c>
      <c r="F156" s="102">
        <v>32733.67801</v>
      </c>
      <c r="G156" s="102">
        <v>6808.605027</v>
      </c>
      <c r="H156" s="102">
        <v>25925.07299</v>
      </c>
      <c r="I156" s="102">
        <v>12962.53649</v>
      </c>
      <c r="J156" s="102">
        <v>12962.53649</v>
      </c>
    </row>
    <row r="157" ht="15.0" customHeight="1">
      <c r="A157" s="79">
        <v>154.0</v>
      </c>
      <c r="B157" s="80">
        <v>555587.8719</v>
      </c>
      <c r="C157" s="80">
        <v>590478.79025532</v>
      </c>
      <c r="D157" s="80">
        <v>34890.91835</v>
      </c>
      <c r="E157" s="80">
        <v>1375.279995</v>
      </c>
      <c r="F157" s="80">
        <v>33515.63836</v>
      </c>
      <c r="G157" s="80">
        <v>6971.252779</v>
      </c>
      <c r="H157" s="80">
        <v>26544.38558</v>
      </c>
      <c r="I157" s="80">
        <v>13272.19279</v>
      </c>
      <c r="J157" s="80">
        <v>13272.19279</v>
      </c>
    </row>
    <row r="158" ht="15.0" customHeight="1">
      <c r="A158" s="101">
        <v>155.0</v>
      </c>
      <c r="B158" s="102">
        <v>568860.0647</v>
      </c>
      <c r="C158" s="102">
        <v>604584.47676316</v>
      </c>
      <c r="D158" s="102">
        <v>35724.41206</v>
      </c>
      <c r="E158" s="102">
        <v>1408.13345</v>
      </c>
      <c r="F158" s="102">
        <v>34316.27861</v>
      </c>
      <c r="G158" s="102">
        <v>7137.785951</v>
      </c>
      <c r="H158" s="102">
        <v>27178.49266</v>
      </c>
      <c r="I158" s="102">
        <v>13589.24633</v>
      </c>
      <c r="J158" s="102">
        <v>13589.24633</v>
      </c>
    </row>
    <row r="159" ht="15.0" customHeight="1">
      <c r="A159" s="79">
        <v>156.0</v>
      </c>
      <c r="B159" s="80">
        <v>582449.311</v>
      </c>
      <c r="C159" s="80">
        <v>619027.1277308</v>
      </c>
      <c r="D159" s="80">
        <v>36577.81673</v>
      </c>
      <c r="E159" s="80">
        <v>1441.771726</v>
      </c>
      <c r="F159" s="80">
        <v>35136.045</v>
      </c>
      <c r="G159" s="80">
        <v>7308.297361</v>
      </c>
      <c r="H159" s="80">
        <v>27827.74764</v>
      </c>
      <c r="I159" s="80">
        <v>13913.87382</v>
      </c>
      <c r="J159" s="80">
        <v>13913.87382</v>
      </c>
    </row>
    <row r="160" ht="15.0" customHeight="1">
      <c r="A160" s="101">
        <v>157.0</v>
      </c>
      <c r="B160" s="102">
        <v>596363.1848</v>
      </c>
      <c r="C160" s="102">
        <v>633814.79280544</v>
      </c>
      <c r="D160" s="102">
        <v>37451.60801</v>
      </c>
      <c r="E160" s="102">
        <v>1476.213573</v>
      </c>
      <c r="F160" s="102">
        <v>35975.39443</v>
      </c>
      <c r="G160" s="102">
        <v>7482.882042</v>
      </c>
      <c r="H160" s="102">
        <v>28492.51239</v>
      </c>
      <c r="I160" s="102">
        <v>14246.2562</v>
      </c>
      <c r="J160" s="102">
        <v>14246.2562</v>
      </c>
    </row>
    <row r="161" ht="15.0" customHeight="1">
      <c r="A161" s="79">
        <v>158.0</v>
      </c>
      <c r="B161" s="80">
        <v>610609.441</v>
      </c>
      <c r="C161" s="80">
        <v>648955.7138948</v>
      </c>
      <c r="D161" s="80">
        <v>38346.2729</v>
      </c>
      <c r="E161" s="80">
        <v>1511.478186</v>
      </c>
      <c r="F161" s="80">
        <v>36834.79471</v>
      </c>
      <c r="G161" s="80">
        <v>7661.6373</v>
      </c>
      <c r="H161" s="80">
        <v>29173.15741</v>
      </c>
      <c r="I161" s="80">
        <v>14586.57871</v>
      </c>
      <c r="J161" s="80">
        <v>14586.57871</v>
      </c>
    </row>
    <row r="162" ht="15.0" customHeight="1">
      <c r="A162" s="101">
        <v>159.0</v>
      </c>
      <c r="B162" s="102">
        <v>625196.0197</v>
      </c>
      <c r="C162" s="102">
        <v>664458.32973716</v>
      </c>
      <c r="D162" s="102">
        <v>39262.31004</v>
      </c>
      <c r="E162" s="102">
        <v>1547.585219</v>
      </c>
      <c r="F162" s="102">
        <v>37714.72482</v>
      </c>
      <c r="G162" s="102">
        <v>7844.662763</v>
      </c>
      <c r="H162" s="102">
        <v>29870.06206</v>
      </c>
      <c r="I162" s="102">
        <v>14935.03103</v>
      </c>
      <c r="J162" s="102">
        <v>14935.03103</v>
      </c>
    </row>
    <row r="163" ht="15.0" customHeight="1">
      <c r="A163" s="79">
        <v>160.0</v>
      </c>
      <c r="B163" s="80">
        <v>640131.0508</v>
      </c>
      <c r="C163" s="80">
        <v>680331.28079024</v>
      </c>
      <c r="D163" s="80">
        <v>40200.22999</v>
      </c>
      <c r="E163" s="80">
        <v>1584.554798</v>
      </c>
      <c r="F163" s="80">
        <v>38615.67519</v>
      </c>
      <c r="G163" s="80">
        <v>8032.06044</v>
      </c>
      <c r="H163" s="80">
        <v>30583.61475</v>
      </c>
      <c r="I163" s="80">
        <v>15291.80738</v>
      </c>
      <c r="J163" s="80">
        <v>15291.80738</v>
      </c>
    </row>
    <row r="164" ht="15.0" customHeight="1">
      <c r="A164" s="101">
        <v>161.0</v>
      </c>
      <c r="B164" s="102">
        <v>655422.8581</v>
      </c>
      <c r="C164" s="102">
        <v>696583.41358868</v>
      </c>
      <c r="D164" s="102">
        <v>41160.55549</v>
      </c>
      <c r="E164" s="102">
        <v>1622.407526</v>
      </c>
      <c r="F164" s="102">
        <v>39538.14796</v>
      </c>
      <c r="G164" s="102">
        <v>8223.934777</v>
      </c>
      <c r="H164" s="102">
        <v>31314.21319</v>
      </c>
      <c r="I164" s="102">
        <v>15657.10659</v>
      </c>
      <c r="J164" s="102">
        <v>15657.10659</v>
      </c>
    </row>
    <row r="165" ht="15.0" customHeight="1">
      <c r="A165" s="79">
        <v>162.0</v>
      </c>
      <c r="B165" s="80">
        <v>671079.9647</v>
      </c>
      <c r="C165" s="80">
        <v>713223.78648316</v>
      </c>
      <c r="D165" s="80">
        <v>42143.82179</v>
      </c>
      <c r="E165" s="80">
        <v>1661.164501</v>
      </c>
      <c r="F165" s="80">
        <v>40482.65728</v>
      </c>
      <c r="G165" s="80">
        <v>8420.392715</v>
      </c>
      <c r="H165" s="80">
        <v>32062.26457</v>
      </c>
      <c r="I165" s="80">
        <v>16031.13228</v>
      </c>
      <c r="J165" s="80">
        <v>16031.13228</v>
      </c>
    </row>
    <row r="166" ht="15.0" customHeight="1">
      <c r="A166" s="101">
        <v>163.0</v>
      </c>
      <c r="B166" s="102">
        <v>687111.097</v>
      </c>
      <c r="C166" s="102">
        <v>730261.6738916</v>
      </c>
      <c r="D166" s="102">
        <v>43150.57689</v>
      </c>
      <c r="E166" s="102">
        <v>1700.847325</v>
      </c>
      <c r="F166" s="102">
        <v>41449.72957</v>
      </c>
      <c r="G166" s="102">
        <v>8621.54375</v>
      </c>
      <c r="H166" s="102">
        <v>32828.18582</v>
      </c>
      <c r="I166" s="102">
        <v>16414.09291</v>
      </c>
      <c r="J166" s="102">
        <v>16414.09291</v>
      </c>
    </row>
    <row r="167" ht="15.0" customHeight="1">
      <c r="A167" s="79">
        <v>164.0</v>
      </c>
      <c r="B167" s="80">
        <v>703525.1899</v>
      </c>
      <c r="C167" s="80">
        <v>747706.57182572</v>
      </c>
      <c r="D167" s="80">
        <v>44181.38193</v>
      </c>
      <c r="E167" s="80">
        <v>1741.478114</v>
      </c>
      <c r="F167" s="80">
        <v>42439.90381</v>
      </c>
      <c r="G167" s="80">
        <v>8827.499993</v>
      </c>
      <c r="H167" s="80">
        <v>33612.40382</v>
      </c>
      <c r="I167" s="80">
        <v>16806.20191</v>
      </c>
      <c r="J167" s="80">
        <v>16806.20191</v>
      </c>
    </row>
    <row r="168" ht="15.0" customHeight="1">
      <c r="A168" s="101">
        <v>165.0</v>
      </c>
      <c r="B168" s="102">
        <v>720331.3918</v>
      </c>
      <c r="C168" s="102">
        <v>765568.20320504</v>
      </c>
      <c r="D168" s="102">
        <v>45236.81141</v>
      </c>
      <c r="E168" s="102">
        <v>1783.079514</v>
      </c>
      <c r="F168" s="102">
        <v>43453.73189</v>
      </c>
      <c r="G168" s="102">
        <v>9038.376234</v>
      </c>
      <c r="H168" s="102">
        <v>34415.35566</v>
      </c>
      <c r="I168" s="102">
        <v>17207.67783</v>
      </c>
      <c r="J168" s="102">
        <v>17207.67783</v>
      </c>
    </row>
    <row r="169" ht="15.0" customHeight="1">
      <c r="A169" s="79">
        <v>166.0</v>
      </c>
      <c r="B169" s="80">
        <v>737539.0697</v>
      </c>
      <c r="C169" s="80">
        <v>783856.52327716</v>
      </c>
      <c r="D169" s="80">
        <v>46317.45357</v>
      </c>
      <c r="E169" s="80">
        <v>1825.674711</v>
      </c>
      <c r="F169" s="80">
        <v>44491.77886</v>
      </c>
      <c r="G169" s="80">
        <v>9254.290004</v>
      </c>
      <c r="H169" s="80">
        <v>35237.48886</v>
      </c>
      <c r="I169" s="80">
        <v>17618.74443</v>
      </c>
      <c r="J169" s="80">
        <v>17618.74443</v>
      </c>
    </row>
    <row r="170" ht="15.0" customHeight="1">
      <c r="A170" s="101">
        <v>167.0</v>
      </c>
      <c r="B170" s="102">
        <v>755157.8141</v>
      </c>
      <c r="C170" s="102">
        <v>802581.72482548</v>
      </c>
      <c r="D170" s="102">
        <v>47423.91073</v>
      </c>
      <c r="E170" s="102">
        <v>1869.287447</v>
      </c>
      <c r="F170" s="102">
        <v>45554.62328</v>
      </c>
      <c r="G170" s="102">
        <v>9475.361642</v>
      </c>
      <c r="H170" s="102">
        <v>36079.26164</v>
      </c>
      <c r="I170" s="102">
        <v>18039.63082</v>
      </c>
      <c r="J170" s="102">
        <v>18039.63082</v>
      </c>
    </row>
    <row r="171" ht="15.0" customHeight="1">
      <c r="A171" s="79">
        <v>168.0</v>
      </c>
      <c r="B171" s="80">
        <v>773197.4449</v>
      </c>
      <c r="C171" s="80">
        <v>821754.24443972</v>
      </c>
      <c r="D171" s="80">
        <v>48556.79954</v>
      </c>
      <c r="E171" s="80">
        <v>1913.942027</v>
      </c>
      <c r="F171" s="80">
        <v>46642.85751</v>
      </c>
      <c r="G171" s="80">
        <v>9701.714363</v>
      </c>
      <c r="H171" s="80">
        <v>36941.14315</v>
      </c>
      <c r="I171" s="80">
        <v>18470.57158</v>
      </c>
      <c r="J171" s="80">
        <v>18470.57158</v>
      </c>
    </row>
    <row r="172" ht="15.0" customHeight="1">
      <c r="A172" s="101">
        <v>169.0</v>
      </c>
      <c r="B172" s="102">
        <v>791668.0165</v>
      </c>
      <c r="C172" s="102">
        <v>841384.7679362</v>
      </c>
      <c r="D172" s="102">
        <v>49716.75144</v>
      </c>
      <c r="E172" s="102">
        <v>1959.663341</v>
      </c>
      <c r="F172" s="102">
        <v>47757.08809</v>
      </c>
      <c r="G172" s="102">
        <v>9933.474324</v>
      </c>
      <c r="H172" s="102">
        <v>37823.61377</v>
      </c>
      <c r="I172" s="102">
        <v>18911.80689</v>
      </c>
      <c r="J172" s="102">
        <v>18911.80689</v>
      </c>
    </row>
    <row r="173" ht="15.0" customHeight="1">
      <c r="A173" s="79">
        <v>170.0</v>
      </c>
      <c r="B173" s="80">
        <v>810579.8234</v>
      </c>
      <c r="C173" s="80">
        <v>861484.23630952</v>
      </c>
      <c r="D173" s="80">
        <v>50904.41291</v>
      </c>
      <c r="E173" s="80">
        <v>2006.476872</v>
      </c>
      <c r="F173" s="80">
        <v>48897.93604</v>
      </c>
      <c r="G173" s="80">
        <v>10170.7707</v>
      </c>
      <c r="H173" s="80">
        <v>38727.16534</v>
      </c>
      <c r="I173" s="80">
        <v>19363.58267</v>
      </c>
      <c r="J173" s="80">
        <v>19363.58267</v>
      </c>
    </row>
    <row r="174" ht="15.0" customHeight="1">
      <c r="A174" s="101">
        <v>171.0</v>
      </c>
      <c r="B174" s="102">
        <v>829943.406</v>
      </c>
      <c r="C174" s="102">
        <v>882063.8518968</v>
      </c>
      <c r="D174" s="102">
        <v>52120.4459</v>
      </c>
      <c r="E174" s="102">
        <v>2054.40871</v>
      </c>
      <c r="F174" s="102">
        <v>50066.03719</v>
      </c>
      <c r="G174" s="102">
        <v>10413.73574</v>
      </c>
      <c r="H174" s="102">
        <v>39652.30145</v>
      </c>
      <c r="I174" s="102">
        <v>19826.15073</v>
      </c>
      <c r="J174" s="102">
        <v>19826.15073</v>
      </c>
    </row>
    <row r="175" ht="15.0" customHeight="1">
      <c r="A175" s="79">
        <v>172.0</v>
      </c>
      <c r="B175" s="80">
        <v>849769.5568</v>
      </c>
      <c r="C175" s="80">
        <v>903135.08496704</v>
      </c>
      <c r="D175" s="80">
        <v>53365.52817</v>
      </c>
      <c r="E175" s="80">
        <v>2103.48557</v>
      </c>
      <c r="F175" s="80">
        <v>51262.0426</v>
      </c>
      <c r="G175" s="80">
        <v>10662.50486</v>
      </c>
      <c r="H175" s="80">
        <v>40599.53774</v>
      </c>
      <c r="I175" s="80">
        <v>20299.76887</v>
      </c>
      <c r="J175" s="80">
        <v>20299.76887</v>
      </c>
    </row>
    <row r="176" ht="15.0" customHeight="1">
      <c r="A176" s="101">
        <v>173.0</v>
      </c>
      <c r="B176" s="102">
        <v>870069.3256</v>
      </c>
      <c r="C176" s="102">
        <v>924709.67924768</v>
      </c>
      <c r="D176" s="102">
        <v>54640.35365</v>
      </c>
      <c r="E176" s="102">
        <v>2153.734806</v>
      </c>
      <c r="F176" s="102">
        <v>52486.61884</v>
      </c>
      <c r="G176" s="102">
        <v>10917.21672</v>
      </c>
      <c r="H176" s="102">
        <v>41569.40212</v>
      </c>
      <c r="I176" s="102">
        <v>20784.70106</v>
      </c>
      <c r="J176" s="102">
        <v>20784.70106</v>
      </c>
    </row>
    <row r="177" ht="15.0" customHeight="1">
      <c r="A177" s="79">
        <v>174.0</v>
      </c>
      <c r="B177" s="80">
        <v>890854.0267</v>
      </c>
      <c r="C177" s="80">
        <v>946799.65957676</v>
      </c>
      <c r="D177" s="80">
        <v>55945.63288</v>
      </c>
      <c r="E177" s="80">
        <v>2205.184424</v>
      </c>
      <c r="F177" s="80">
        <v>53740.44845</v>
      </c>
      <c r="G177" s="80">
        <v>11178.01328</v>
      </c>
      <c r="H177" s="80">
        <v>42562.43517</v>
      </c>
      <c r="I177" s="80">
        <v>21281.21759</v>
      </c>
      <c r="J177" s="80">
        <v>21281.21759</v>
      </c>
    </row>
    <row r="178" ht="15.0" customHeight="1">
      <c r="A178" s="101">
        <v>175.0</v>
      </c>
      <c r="B178" s="102">
        <v>912135.2443</v>
      </c>
      <c r="C178" s="102">
        <v>969417.33764204</v>
      </c>
      <c r="D178" s="102">
        <v>57282.09334</v>
      </c>
      <c r="E178" s="102">
        <v>2257.863098</v>
      </c>
      <c r="F178" s="102">
        <v>55024.23024</v>
      </c>
      <c r="G178" s="102">
        <v>11445.03989</v>
      </c>
      <c r="H178" s="102">
        <v>43579.19035</v>
      </c>
      <c r="I178" s="102">
        <v>21789.59518</v>
      </c>
      <c r="J178" s="102">
        <v>21789.59518</v>
      </c>
    </row>
    <row r="179" ht="15.0" customHeight="1">
      <c r="A179" s="79">
        <v>176.0</v>
      </c>
      <c r="B179" s="80">
        <v>933924.8395</v>
      </c>
      <c r="C179" s="80">
        <v>992575.3194206</v>
      </c>
      <c r="D179" s="80">
        <v>58650.47992</v>
      </c>
      <c r="E179" s="80">
        <v>2311.800191</v>
      </c>
      <c r="F179" s="80">
        <v>56338.67973</v>
      </c>
      <c r="G179" s="80">
        <v>11718.44538</v>
      </c>
      <c r="H179" s="80">
        <v>44620.23434</v>
      </c>
      <c r="I179" s="80">
        <v>22310.11717</v>
      </c>
      <c r="J179" s="80">
        <v>22310.11717</v>
      </c>
    </row>
    <row r="180" ht="15.0" customHeight="1">
      <c r="A180" s="101">
        <v>177.0</v>
      </c>
      <c r="B180" s="102">
        <v>956234.9566</v>
      </c>
      <c r="C180" s="102">
        <v>1016286.51187448</v>
      </c>
      <c r="D180" s="102">
        <v>60051.55528</v>
      </c>
      <c r="E180" s="102">
        <v>2367.025762</v>
      </c>
      <c r="F180" s="102">
        <v>57684.52951</v>
      </c>
      <c r="G180" s="102">
        <v>11998.38214</v>
      </c>
      <c r="H180" s="102">
        <v>45686.14738</v>
      </c>
      <c r="I180" s="102">
        <v>22843.07369</v>
      </c>
      <c r="J180" s="102">
        <v>22843.07369</v>
      </c>
    </row>
    <row r="181" ht="15.0" customHeight="1">
      <c r="A181" s="79">
        <v>178.0</v>
      </c>
      <c r="B181" s="80">
        <v>979078.0303</v>
      </c>
      <c r="C181" s="80">
        <v>1040564.13060284</v>
      </c>
      <c r="D181" s="80">
        <v>61486.1003</v>
      </c>
      <c r="E181" s="80">
        <v>2423.570593</v>
      </c>
      <c r="F181" s="80">
        <v>59062.52971</v>
      </c>
      <c r="G181" s="80">
        <v>12285.00618</v>
      </c>
      <c r="H181" s="80">
        <v>46777.52353</v>
      </c>
      <c r="I181" s="80">
        <v>23388.76177</v>
      </c>
      <c r="J181" s="80">
        <v>23388.76177</v>
      </c>
    </row>
    <row r="182" ht="15.0" customHeight="1">
      <c r="A182" s="101">
        <v>179.0</v>
      </c>
      <c r="B182" s="102">
        <v>1002466.792</v>
      </c>
      <c r="C182" s="102">
        <v>1065421.7065376</v>
      </c>
      <c r="D182" s="102">
        <v>62954.91454</v>
      </c>
      <c r="E182" s="102">
        <v>2481.466198</v>
      </c>
      <c r="F182" s="102">
        <v>60473.44834</v>
      </c>
      <c r="G182" s="102">
        <v>12578.47726</v>
      </c>
      <c r="H182" s="102">
        <v>47894.97109</v>
      </c>
      <c r="I182" s="102">
        <v>23947.48554</v>
      </c>
      <c r="J182" s="102">
        <v>23947.48554</v>
      </c>
    </row>
    <row r="183" ht="15.0" customHeight="1">
      <c r="A183" s="79">
        <v>180.0</v>
      </c>
      <c r="B183" s="80">
        <v>1026414.278</v>
      </c>
      <c r="C183" s="80">
        <v>1090873.0946584</v>
      </c>
      <c r="D183" s="80">
        <v>64458.81664</v>
      </c>
      <c r="E183" s="80">
        <v>2540.744846</v>
      </c>
      <c r="F183" s="80">
        <v>61918.07179</v>
      </c>
      <c r="G183" s="80">
        <v>12878.95893</v>
      </c>
      <c r="H183" s="80">
        <v>49039.11286</v>
      </c>
      <c r="I183" s="80">
        <v>24519.55643</v>
      </c>
      <c r="J183" s="80">
        <v>24519.55643</v>
      </c>
    </row>
    <row r="184" ht="15.0" customHeight="1">
      <c r="A184" s="101">
        <v>181.0</v>
      </c>
      <c r="B184" s="102">
        <v>1050933.834</v>
      </c>
      <c r="C184" s="102">
        <v>1116932.4787752</v>
      </c>
      <c r="D184" s="102">
        <v>65998.64478</v>
      </c>
      <c r="E184" s="102">
        <v>2601.439575</v>
      </c>
      <c r="F184" s="102">
        <v>63397.2052</v>
      </c>
      <c r="G184" s="102">
        <v>13186.61868</v>
      </c>
      <c r="H184" s="102">
        <v>50210.58652</v>
      </c>
      <c r="I184" s="102">
        <v>25105.29326</v>
      </c>
      <c r="J184" s="102">
        <v>25105.29326</v>
      </c>
    </row>
    <row r="185" ht="15.0" customHeight="1">
      <c r="A185" s="79">
        <v>182.0</v>
      </c>
      <c r="B185" s="80">
        <v>1076039.127</v>
      </c>
      <c r="C185" s="80">
        <v>1143614.3841756</v>
      </c>
      <c r="D185" s="80">
        <v>67575.2572</v>
      </c>
      <c r="E185" s="80">
        <v>2663.584214</v>
      </c>
      <c r="F185" s="80">
        <v>64911.67298</v>
      </c>
      <c r="G185" s="80">
        <v>13501.62798</v>
      </c>
      <c r="H185" s="80">
        <v>51410.045</v>
      </c>
      <c r="I185" s="80">
        <v>25705.0225</v>
      </c>
      <c r="J185" s="80">
        <v>25705.0225</v>
      </c>
    </row>
    <row r="186" ht="15.0" customHeight="1">
      <c r="A186" s="101">
        <v>183.0</v>
      </c>
      <c r="B186" s="102">
        <v>1101744.15</v>
      </c>
      <c r="C186" s="102">
        <v>1170933.68262</v>
      </c>
      <c r="D186" s="102">
        <v>69189.53261</v>
      </c>
      <c r="E186" s="102">
        <v>2727.213399</v>
      </c>
      <c r="F186" s="102">
        <v>66462.31921</v>
      </c>
      <c r="G186" s="102">
        <v>13824.1624</v>
      </c>
      <c r="H186" s="102">
        <v>52638.15681</v>
      </c>
      <c r="I186" s="102">
        <v>26319.07841</v>
      </c>
      <c r="J186" s="102">
        <v>26319.07841</v>
      </c>
    </row>
    <row r="187" ht="15.0" customHeight="1">
      <c r="A187" s="79">
        <v>184.0</v>
      </c>
      <c r="B187" s="80">
        <v>1128063.228</v>
      </c>
      <c r="C187" s="80">
        <v>1198905.5987184</v>
      </c>
      <c r="D187" s="80">
        <v>70842.37073</v>
      </c>
      <c r="E187" s="80">
        <v>2792.362593</v>
      </c>
      <c r="F187" s="80">
        <v>68050.00814</v>
      </c>
      <c r="G187" s="80">
        <v>14154.40169</v>
      </c>
      <c r="H187" s="80">
        <v>53895.60645</v>
      </c>
      <c r="I187" s="80">
        <v>26947.80322</v>
      </c>
      <c r="J187" s="80">
        <v>26947.80322</v>
      </c>
    </row>
    <row r="188" ht="15.0" customHeight="1">
      <c r="A188" s="101">
        <v>185.0</v>
      </c>
      <c r="B188" s="102">
        <v>1155011.031</v>
      </c>
      <c r="C188" s="102">
        <v>1227545.7237468</v>
      </c>
      <c r="D188" s="102">
        <v>72534.69278</v>
      </c>
      <c r="E188" s="102">
        <v>2859.068107</v>
      </c>
      <c r="F188" s="102">
        <v>69675.62467</v>
      </c>
      <c r="G188" s="102">
        <v>14492.52993</v>
      </c>
      <c r="H188" s="102">
        <v>55183.09474</v>
      </c>
      <c r="I188" s="102">
        <v>27591.54737</v>
      </c>
      <c r="J188" s="102">
        <v>27591.54737</v>
      </c>
    </row>
    <row r="189" ht="15.0" customHeight="1">
      <c r="A189" s="79">
        <v>186.0</v>
      </c>
      <c r="B189" s="80">
        <v>1182602.579</v>
      </c>
      <c r="C189" s="80">
        <v>1256870.0209612</v>
      </c>
      <c r="D189" s="80">
        <v>74267.44195</v>
      </c>
      <c r="E189" s="80">
        <v>2927.36712</v>
      </c>
      <c r="F189" s="80">
        <v>71340.07483</v>
      </c>
      <c r="G189" s="80">
        <v>14838.73556</v>
      </c>
      <c r="H189" s="80">
        <v>56501.33927</v>
      </c>
      <c r="I189" s="80">
        <v>28250.66963</v>
      </c>
      <c r="J189" s="80">
        <v>28250.66963</v>
      </c>
    </row>
    <row r="190" ht="15.0" customHeight="1">
      <c r="A190" s="101">
        <v>187.0</v>
      </c>
      <c r="B190" s="102">
        <v>1210853.248</v>
      </c>
      <c r="C190" s="102">
        <v>1286894.8319744</v>
      </c>
      <c r="D190" s="102">
        <v>76041.584</v>
      </c>
      <c r="E190" s="102">
        <v>2997.297697</v>
      </c>
      <c r="F190" s="102">
        <v>73044.28631</v>
      </c>
      <c r="G190" s="102">
        <v>15193.21155</v>
      </c>
      <c r="H190" s="102">
        <v>57851.07475</v>
      </c>
      <c r="I190" s="102">
        <v>28925.53738</v>
      </c>
      <c r="J190" s="102">
        <v>28925.53738</v>
      </c>
    </row>
    <row r="191" ht="15.0" customHeight="1">
      <c r="A191" s="79">
        <v>188.0</v>
      </c>
      <c r="B191" s="80">
        <v>1239778.786</v>
      </c>
      <c r="C191" s="80">
        <v>1317636.8937608</v>
      </c>
      <c r="D191" s="80">
        <v>77858.10775</v>
      </c>
      <c r="E191" s="80">
        <v>3068.898815</v>
      </c>
      <c r="F191" s="80">
        <v>74789.20893</v>
      </c>
      <c r="G191" s="80">
        <v>15556.15546</v>
      </c>
      <c r="H191" s="80">
        <v>59233.05348</v>
      </c>
      <c r="I191" s="80">
        <v>29616.52674</v>
      </c>
      <c r="J191" s="80">
        <v>29616.52674</v>
      </c>
    </row>
    <row r="192" ht="15.0" customHeight="1">
      <c r="A192" s="101">
        <v>189.0</v>
      </c>
      <c r="B192" s="102">
        <v>1269395.313</v>
      </c>
      <c r="C192" s="102">
        <v>1349113.3386564</v>
      </c>
      <c r="D192" s="102">
        <v>79718.02563</v>
      </c>
      <c r="E192" s="102">
        <v>3142.210381</v>
      </c>
      <c r="F192" s="102">
        <v>76575.81525</v>
      </c>
      <c r="G192" s="102">
        <v>15927.76957</v>
      </c>
      <c r="H192" s="102">
        <v>60648.04568</v>
      </c>
      <c r="I192" s="102">
        <v>30324.02284</v>
      </c>
      <c r="J192" s="102">
        <v>30324.02284</v>
      </c>
    </row>
    <row r="193" ht="15.0" customHeight="1">
      <c r="A193" s="79">
        <v>190.0</v>
      </c>
      <c r="B193" s="80">
        <v>1299719.335</v>
      </c>
      <c r="C193" s="80">
        <v>1381341.709238</v>
      </c>
      <c r="D193" s="80">
        <v>81622.37426</v>
      </c>
      <c r="E193" s="80">
        <v>3217.273254</v>
      </c>
      <c r="F193" s="80">
        <v>78405.10101</v>
      </c>
      <c r="G193" s="80">
        <v>16308.26101</v>
      </c>
      <c r="H193" s="80">
        <v>62096.84</v>
      </c>
      <c r="I193" s="80">
        <v>31048.42</v>
      </c>
      <c r="J193" s="80">
        <v>31048.42</v>
      </c>
    </row>
    <row r="194" ht="15.0" customHeight="1">
      <c r="A194" s="101">
        <v>191.0</v>
      </c>
      <c r="B194" s="102">
        <v>1330767.755</v>
      </c>
      <c r="C194" s="102">
        <v>1414339.970014</v>
      </c>
      <c r="D194" s="102">
        <v>83572.21504</v>
      </c>
      <c r="E194" s="102">
        <v>3294.129271</v>
      </c>
      <c r="F194" s="102">
        <v>80278.08577</v>
      </c>
      <c r="G194" s="102">
        <v>16697.84184</v>
      </c>
      <c r="H194" s="102">
        <v>63580.24393</v>
      </c>
      <c r="I194" s="102">
        <v>31790.12196</v>
      </c>
      <c r="J194" s="102">
        <v>31790.12196</v>
      </c>
    </row>
    <row r="195" ht="15.0" customHeight="1">
      <c r="A195" s="79">
        <v>192.0</v>
      </c>
      <c r="B195" s="80">
        <v>1362557.877</v>
      </c>
      <c r="C195" s="80">
        <v>1448126.5116756</v>
      </c>
      <c r="D195" s="80">
        <v>85568.6347</v>
      </c>
      <c r="E195" s="80">
        <v>3372.821267</v>
      </c>
      <c r="F195" s="80">
        <v>82195.81343</v>
      </c>
      <c r="G195" s="80">
        <v>17096.72919</v>
      </c>
      <c r="H195" s="80">
        <v>65099.08424</v>
      </c>
      <c r="I195" s="80">
        <v>32549.54212</v>
      </c>
      <c r="J195" s="80">
        <v>32549.54212</v>
      </c>
    </row>
    <row r="196" ht="15.0" customHeight="1">
      <c r="A196" s="101">
        <v>193.0</v>
      </c>
      <c r="B196" s="102">
        <v>1395107.419</v>
      </c>
      <c r="C196" s="102">
        <v>1482720.1649132</v>
      </c>
      <c r="D196" s="102">
        <v>87612.74594</v>
      </c>
      <c r="E196" s="102">
        <v>3453.393102</v>
      </c>
      <c r="F196" s="102">
        <v>84159.35284</v>
      </c>
      <c r="G196" s="102">
        <v>17505.14539</v>
      </c>
      <c r="H196" s="102">
        <v>66654.20745</v>
      </c>
      <c r="I196" s="102">
        <v>33327.10373</v>
      </c>
      <c r="J196" s="102">
        <v>33327.10373</v>
      </c>
    </row>
    <row r="197" ht="15.0" customHeight="1">
      <c r="A197" s="79">
        <v>194.0</v>
      </c>
      <c r="B197" s="80">
        <v>1428434.523</v>
      </c>
      <c r="C197" s="80">
        <v>1518140.2110444</v>
      </c>
      <c r="D197" s="80">
        <v>89705.68806</v>
      </c>
      <c r="E197" s="80">
        <v>3535.889681</v>
      </c>
      <c r="F197" s="80">
        <v>86169.79838</v>
      </c>
      <c r="G197" s="80">
        <v>17923.31806</v>
      </c>
      <c r="H197" s="80">
        <v>68246.48031</v>
      </c>
      <c r="I197" s="80">
        <v>34123.24016</v>
      </c>
      <c r="J197" s="80">
        <v>34123.24016</v>
      </c>
    </row>
    <row r="198" ht="15.0" customHeight="1">
      <c r="A198" s="101">
        <v>195.0</v>
      </c>
      <c r="B198" s="102">
        <v>1462557.763</v>
      </c>
      <c r="C198" s="102">
        <v>1554406.3905164</v>
      </c>
      <c r="D198" s="102">
        <v>91848.62754</v>
      </c>
      <c r="E198" s="102">
        <v>3620.356985</v>
      </c>
      <c r="F198" s="102">
        <v>88228.27055</v>
      </c>
      <c r="G198" s="102">
        <v>18351.48028</v>
      </c>
      <c r="H198" s="102">
        <v>69876.79028</v>
      </c>
      <c r="I198" s="102">
        <v>34938.39514</v>
      </c>
      <c r="J198" s="102">
        <v>34938.39514</v>
      </c>
    </row>
    <row r="199" ht="15.0" customHeight="1">
      <c r="A199" s="79">
        <v>196.0</v>
      </c>
      <c r="B199" s="80">
        <v>1497496.159</v>
      </c>
      <c r="C199" s="80">
        <v>1591538.9177852</v>
      </c>
      <c r="D199" s="80">
        <v>94042.75875</v>
      </c>
      <c r="E199" s="80">
        <v>3706.842091</v>
      </c>
      <c r="F199" s="80">
        <v>90335.91666</v>
      </c>
      <c r="G199" s="80">
        <v>18789.87067</v>
      </c>
      <c r="H199" s="80">
        <v>71546.046</v>
      </c>
      <c r="I199" s="80">
        <v>35773.023</v>
      </c>
      <c r="J199" s="80">
        <v>35773.023</v>
      </c>
    </row>
    <row r="200" ht="15.0" customHeight="1">
      <c r="A200" s="101">
        <v>197.0</v>
      </c>
      <c r="B200" s="102">
        <v>1533269.182</v>
      </c>
      <c r="C200" s="102">
        <v>1629558.4866296</v>
      </c>
      <c r="D200" s="102">
        <v>96289.3046</v>
      </c>
      <c r="E200" s="102">
        <v>3795.393201</v>
      </c>
      <c r="F200" s="102">
        <v>92493.9114</v>
      </c>
      <c r="G200" s="102">
        <v>19238.73357</v>
      </c>
      <c r="H200" s="102">
        <v>73255.17783</v>
      </c>
      <c r="I200" s="102">
        <v>36627.58891</v>
      </c>
      <c r="J200" s="102">
        <v>36627.58891</v>
      </c>
    </row>
    <row r="201" ht="15.0" customHeight="1">
      <c r="A201" s="79">
        <v>198.0</v>
      </c>
      <c r="B201" s="80">
        <v>1569896.77</v>
      </c>
      <c r="C201" s="80">
        <v>1668486.287156</v>
      </c>
      <c r="D201" s="80">
        <v>98589.51718</v>
      </c>
      <c r="E201" s="80">
        <v>3886.05967</v>
      </c>
      <c r="F201" s="80">
        <v>94703.45751</v>
      </c>
      <c r="G201" s="80">
        <v>19698.31916</v>
      </c>
      <c r="H201" s="80">
        <v>75005.13835</v>
      </c>
      <c r="I201" s="80">
        <v>37502.56918</v>
      </c>
      <c r="J201" s="80">
        <v>37502.56918</v>
      </c>
    </row>
    <row r="202" ht="15.0" customHeight="1">
      <c r="A202" s="101">
        <v>199.0</v>
      </c>
      <c r="B202" s="102">
        <v>1607399.34</v>
      </c>
      <c r="C202" s="102">
        <v>1708344.018552</v>
      </c>
      <c r="D202" s="102">
        <v>100944.6785</v>
      </c>
      <c r="E202" s="102">
        <v>3978.892029</v>
      </c>
      <c r="F202" s="102">
        <v>96965.7865</v>
      </c>
      <c r="G202" s="102">
        <v>20168.88359</v>
      </c>
      <c r="H202" s="102">
        <v>76796.90291</v>
      </c>
      <c r="I202" s="102">
        <v>38398.45145</v>
      </c>
      <c r="J202" s="102">
        <v>38398.45145</v>
      </c>
    </row>
    <row r="203" ht="15.0" customHeight="1">
      <c r="A203" s="79">
        <v>200.0</v>
      </c>
      <c r="B203" s="80">
        <v>1645797.791</v>
      </c>
      <c r="C203" s="80">
        <v>1749153.8922748</v>
      </c>
      <c r="D203" s="80">
        <v>103356.1013</v>
      </c>
      <c r="E203" s="80">
        <v>4073.94202</v>
      </c>
      <c r="F203" s="80">
        <v>99282.15926</v>
      </c>
      <c r="G203" s="80">
        <v>20650.68913</v>
      </c>
      <c r="H203" s="80">
        <v>78631.47013</v>
      </c>
      <c r="I203" s="80">
        <v>39315.73507</v>
      </c>
      <c r="J203" s="80">
        <v>39315.73507</v>
      </c>
    </row>
    <row r="204" ht="15.0" customHeight="1">
      <c r="A204" s="101">
        <v>201.0</v>
      </c>
      <c r="B204" s="102">
        <v>1685113.526</v>
      </c>
      <c r="C204" s="102">
        <v>1790938.6554328</v>
      </c>
      <c r="D204" s="102">
        <v>105825.1294</v>
      </c>
      <c r="E204" s="102">
        <v>4171.262618</v>
      </c>
      <c r="F204" s="102">
        <v>101653.8668</v>
      </c>
      <c r="G204" s="102">
        <v>21144.0043</v>
      </c>
      <c r="H204" s="102">
        <v>80509.86252</v>
      </c>
      <c r="I204" s="102">
        <v>40254.93126</v>
      </c>
      <c r="J204" s="102">
        <v>40254.93126</v>
      </c>
    </row>
    <row r="205" ht="15.0" customHeight="1">
      <c r="A205" s="79">
        <v>202.0</v>
      </c>
      <c r="B205" s="80">
        <v>1725368.457</v>
      </c>
      <c r="C205" s="80">
        <v>1833721.5960996</v>
      </c>
      <c r="D205" s="80">
        <v>108353.1391</v>
      </c>
      <c r="E205" s="80">
        <v>4270.908065</v>
      </c>
      <c r="F205" s="80">
        <v>104082.2311</v>
      </c>
      <c r="G205" s="80">
        <v>21649.10406</v>
      </c>
      <c r="H205" s="80">
        <v>82433.127</v>
      </c>
      <c r="I205" s="80">
        <v>41216.5635</v>
      </c>
      <c r="J205" s="80">
        <v>41216.5635</v>
      </c>
    </row>
    <row r="206" ht="15.0" customHeight="1">
      <c r="A206" s="101">
        <v>203.0</v>
      </c>
      <c r="B206" s="102">
        <v>1766585.021</v>
      </c>
      <c r="C206" s="102">
        <v>1877526.5603188</v>
      </c>
      <c r="D206" s="102">
        <v>110941.5393</v>
      </c>
      <c r="E206" s="102">
        <v>4372.933897</v>
      </c>
      <c r="F206" s="102">
        <v>106568.6054</v>
      </c>
      <c r="G206" s="102">
        <v>22166.26993</v>
      </c>
      <c r="H206" s="102">
        <v>84402.33549</v>
      </c>
      <c r="I206" s="102">
        <v>42201.16774</v>
      </c>
      <c r="J206" s="102">
        <v>42201.16774</v>
      </c>
    </row>
    <row r="207" ht="15.0" customHeight="1">
      <c r="A207" s="79">
        <v>204.0</v>
      </c>
      <c r="B207" s="80">
        <v>1808786.189</v>
      </c>
      <c r="C207" s="80">
        <v>1922377.9616692</v>
      </c>
      <c r="D207" s="80">
        <v>113591.7726</v>
      </c>
      <c r="E207" s="80">
        <v>4477.39698</v>
      </c>
      <c r="F207" s="80">
        <v>109114.3757</v>
      </c>
      <c r="G207" s="80">
        <v>22695.79014</v>
      </c>
      <c r="H207" s="80">
        <v>86418.58553</v>
      </c>
      <c r="I207" s="80">
        <v>43209.29276</v>
      </c>
      <c r="J207" s="80">
        <v>43209.29276</v>
      </c>
    </row>
    <row r="208" ht="15.0" customHeight="1">
      <c r="A208" s="101">
        <v>205.0</v>
      </c>
      <c r="B208" s="102">
        <v>1851995.481</v>
      </c>
      <c r="C208" s="102">
        <v>1968300.7972068</v>
      </c>
      <c r="D208" s="102">
        <v>116305.3162</v>
      </c>
      <c r="E208" s="102">
        <v>4584.355535</v>
      </c>
      <c r="F208" s="102">
        <v>111720.9607</v>
      </c>
      <c r="G208" s="102">
        <v>23237.95982</v>
      </c>
      <c r="H208" s="102">
        <v>88483.00087</v>
      </c>
      <c r="I208" s="102">
        <v>44241.50044</v>
      </c>
      <c r="J208" s="102">
        <v>44241.50044</v>
      </c>
    </row>
    <row r="209" ht="15.0" customHeight="1">
      <c r="A209" s="79">
        <v>206.0</v>
      </c>
      <c r="B209" s="80">
        <v>1896236.982</v>
      </c>
      <c r="C209" s="80">
        <v>2015320.6644696</v>
      </c>
      <c r="D209" s="80">
        <v>119083.6825</v>
      </c>
      <c r="E209" s="80">
        <v>4693.869175</v>
      </c>
      <c r="F209" s="80">
        <v>114389.8133</v>
      </c>
      <c r="G209" s="80">
        <v>23793.08116</v>
      </c>
      <c r="H209" s="80">
        <v>90596.73212</v>
      </c>
      <c r="I209" s="80">
        <v>45298.36606</v>
      </c>
      <c r="J209" s="80">
        <v>45298.36606</v>
      </c>
    </row>
    <row r="210" ht="15.0" customHeight="1">
      <c r="A210" s="101">
        <v>207.0</v>
      </c>
      <c r="B210" s="102">
        <v>1941535.348</v>
      </c>
      <c r="C210" s="102">
        <v>2063463.7678544</v>
      </c>
      <c r="D210" s="102">
        <v>121928.4198</v>
      </c>
      <c r="E210" s="102">
        <v>4805.998939</v>
      </c>
      <c r="F210" s="102">
        <v>117122.4209</v>
      </c>
      <c r="G210" s="102">
        <v>24361.46355</v>
      </c>
      <c r="H210" s="102">
        <v>92760.95736</v>
      </c>
      <c r="I210" s="102">
        <v>46380.47868</v>
      </c>
      <c r="J210" s="102">
        <v>46380.47868</v>
      </c>
    </row>
    <row r="211" ht="15.0" customHeight="1">
      <c r="A211" s="79">
        <v>208.0</v>
      </c>
      <c r="B211" s="80">
        <v>1987915.827</v>
      </c>
      <c r="C211" s="80">
        <v>2112756.9409356</v>
      </c>
      <c r="D211" s="80">
        <v>124841.1139</v>
      </c>
      <c r="E211" s="80">
        <v>4920.80732</v>
      </c>
      <c r="F211" s="80">
        <v>119920.3066</v>
      </c>
      <c r="G211" s="80">
        <v>24943.42377</v>
      </c>
      <c r="H211" s="80">
        <v>94976.88282</v>
      </c>
      <c r="I211" s="80">
        <v>47488.44141</v>
      </c>
      <c r="J211" s="80">
        <v>47488.44141</v>
      </c>
    </row>
    <row r="212" ht="15.0" customHeight="1">
      <c r="A212" s="101">
        <v>209.0</v>
      </c>
      <c r="B212" s="102">
        <v>2035404.268</v>
      </c>
      <c r="C212" s="102">
        <v>2163227.6560304</v>
      </c>
      <c r="D212" s="102">
        <v>127823.388</v>
      </c>
      <c r="E212" s="102">
        <v>5038.358309</v>
      </c>
      <c r="F212" s="102">
        <v>122785.0297</v>
      </c>
      <c r="G212" s="102">
        <v>25539.28618</v>
      </c>
      <c r="H212" s="102">
        <v>97245.74354</v>
      </c>
      <c r="I212" s="102">
        <v>48622.87177</v>
      </c>
      <c r="J212" s="102">
        <v>48622.87177</v>
      </c>
    </row>
    <row r="213" ht="15.0" customHeight="1">
      <c r="A213" s="79">
        <v>210.0</v>
      </c>
      <c r="B213" s="80">
        <v>2084027.14</v>
      </c>
      <c r="C213" s="80">
        <v>2214904.044392</v>
      </c>
      <c r="D213" s="80">
        <v>130876.9044</v>
      </c>
      <c r="E213" s="80">
        <v>5158.717421</v>
      </c>
      <c r="F213" s="80">
        <v>125718.187</v>
      </c>
      <c r="G213" s="80">
        <v>26149.38289</v>
      </c>
      <c r="H213" s="80">
        <v>99568.80407</v>
      </c>
      <c r="I213" s="80">
        <v>49784.40203</v>
      </c>
      <c r="J213" s="80">
        <v>49784.40203</v>
      </c>
    </row>
    <row r="214" ht="15.0" customHeight="1">
      <c r="A214" s="101">
        <v>211.0</v>
      </c>
      <c r="B214" s="102">
        <v>2133811.542</v>
      </c>
      <c r="C214" s="102">
        <v>2267814.9068376</v>
      </c>
      <c r="D214" s="102">
        <v>134003.3648</v>
      </c>
      <c r="E214" s="102">
        <v>5281.951738</v>
      </c>
      <c r="F214" s="102">
        <v>128721.4131</v>
      </c>
      <c r="G214" s="102">
        <v>26774.05392</v>
      </c>
      <c r="H214" s="102">
        <v>101947.3592</v>
      </c>
      <c r="I214" s="102">
        <v>50973.67958</v>
      </c>
      <c r="J214" s="102">
        <v>50973.67958</v>
      </c>
    </row>
    <row r="215" ht="15.0" customHeight="1">
      <c r="A215" s="79">
        <v>212.0</v>
      </c>
      <c r="B215" s="80">
        <v>2184785.221</v>
      </c>
      <c r="C215" s="80">
        <v>2321989.7328788</v>
      </c>
      <c r="D215" s="80">
        <v>137204.5119</v>
      </c>
      <c r="E215" s="80">
        <v>5408.129946</v>
      </c>
      <c r="F215" s="80">
        <v>131796.382</v>
      </c>
      <c r="G215" s="80">
        <v>27413.64745</v>
      </c>
      <c r="H215" s="80">
        <v>104382.7345</v>
      </c>
      <c r="I215" s="80">
        <v>52191.36725</v>
      </c>
      <c r="J215" s="80">
        <v>52191.36725</v>
      </c>
    </row>
    <row r="216" ht="15.0" customHeight="1">
      <c r="A216" s="101">
        <v>213.0</v>
      </c>
      <c r="B216" s="102">
        <v>2236976.589</v>
      </c>
      <c r="C216" s="102">
        <v>2377458.7187892</v>
      </c>
      <c r="D216" s="102">
        <v>140482.1298</v>
      </c>
      <c r="E216" s="102">
        <v>5537.322368</v>
      </c>
      <c r="F216" s="102">
        <v>134944.8074</v>
      </c>
      <c r="G216" s="102">
        <v>28068.51994</v>
      </c>
      <c r="H216" s="102">
        <v>106876.2875</v>
      </c>
      <c r="I216" s="102">
        <v>53438.14373</v>
      </c>
      <c r="J216" s="102">
        <v>53438.14373</v>
      </c>
    </row>
    <row r="217" ht="15.0" customHeight="1">
      <c r="A217" s="79">
        <v>214.0</v>
      </c>
      <c r="B217" s="80">
        <v>2290414.732</v>
      </c>
      <c r="C217" s="80">
        <v>2434252.7771696</v>
      </c>
      <c r="D217" s="80">
        <v>143838.0452</v>
      </c>
      <c r="E217" s="80">
        <v>5669.601012</v>
      </c>
      <c r="F217" s="80">
        <v>138168.4442</v>
      </c>
      <c r="G217" s="80">
        <v>28739.03639</v>
      </c>
      <c r="H217" s="80">
        <v>109429.4078</v>
      </c>
      <c r="I217" s="80">
        <v>54714.70389</v>
      </c>
      <c r="J217" s="80">
        <v>54714.70389</v>
      </c>
    </row>
    <row r="218" ht="15.0" customHeight="1">
      <c r="A218" s="101">
        <v>215.0</v>
      </c>
      <c r="B218" s="102">
        <v>2345129.436</v>
      </c>
      <c r="C218" s="102">
        <v>2492403.5645808</v>
      </c>
      <c r="D218" s="102">
        <v>147274.1286</v>
      </c>
      <c r="E218" s="102">
        <v>5805.039601</v>
      </c>
      <c r="F218" s="102">
        <v>141469.089</v>
      </c>
      <c r="G218" s="102">
        <v>29425.57051</v>
      </c>
      <c r="H218" s="102">
        <v>112043.5185</v>
      </c>
      <c r="I218" s="102">
        <v>56021.75924</v>
      </c>
      <c r="J218" s="102">
        <v>56021.75924</v>
      </c>
    </row>
    <row r="219" ht="15.0" customHeight="1">
      <c r="A219" s="79">
        <v>216.0</v>
      </c>
      <c r="B219" s="80">
        <v>2401151.195</v>
      </c>
      <c r="C219" s="80">
        <v>2551943.490046</v>
      </c>
      <c r="D219" s="80">
        <v>150792.2951</v>
      </c>
      <c r="E219" s="80">
        <v>5943.713623</v>
      </c>
      <c r="F219" s="80">
        <v>144848.5815</v>
      </c>
      <c r="G219" s="80">
        <v>30128.50494</v>
      </c>
      <c r="H219" s="80">
        <v>114720.0765</v>
      </c>
      <c r="I219" s="80">
        <v>57360.03826</v>
      </c>
      <c r="J219" s="80">
        <v>57360.03826</v>
      </c>
    </row>
    <row r="220" ht="15.0" customHeight="1">
      <c r="A220" s="101">
        <v>217.0</v>
      </c>
      <c r="B220" s="102">
        <v>2458511.234</v>
      </c>
      <c r="C220" s="102">
        <v>2612905.7394952</v>
      </c>
      <c r="D220" s="102">
        <v>154394.5055</v>
      </c>
      <c r="E220" s="102">
        <v>6085.700368</v>
      </c>
      <c r="F220" s="102">
        <v>148308.8051</v>
      </c>
      <c r="G220" s="102">
        <v>30848.23146</v>
      </c>
      <c r="H220" s="102">
        <v>117460.5736</v>
      </c>
      <c r="I220" s="102">
        <v>58730.28682</v>
      </c>
      <c r="J220" s="102">
        <v>58730.28682</v>
      </c>
    </row>
    <row r="221" ht="15.0" customHeight="1">
      <c r="A221" s="79">
        <v>218.0</v>
      </c>
      <c r="B221" s="80">
        <v>2517241.521</v>
      </c>
      <c r="C221" s="80">
        <v>2675324.2885188</v>
      </c>
      <c r="D221" s="80">
        <v>158082.7675</v>
      </c>
      <c r="E221" s="80">
        <v>6231.07897</v>
      </c>
      <c r="F221" s="80">
        <v>151851.6885</v>
      </c>
      <c r="G221" s="80">
        <v>31585.15121</v>
      </c>
      <c r="H221" s="80">
        <v>120266.5373</v>
      </c>
      <c r="I221" s="80">
        <v>60133.26865</v>
      </c>
      <c r="J221" s="80">
        <v>60133.26865</v>
      </c>
    </row>
    <row r="222" ht="15.0" customHeight="1">
      <c r="A222" s="101">
        <v>219.0</v>
      </c>
      <c r="B222" s="102">
        <v>2577374.789</v>
      </c>
      <c r="C222" s="102">
        <v>2739233.9257492</v>
      </c>
      <c r="D222" s="102">
        <v>161859.1368</v>
      </c>
      <c r="E222" s="102">
        <v>6379.930458</v>
      </c>
      <c r="F222" s="102">
        <v>155479.2063</v>
      </c>
      <c r="G222" s="102">
        <v>32339.67491</v>
      </c>
      <c r="H222" s="102">
        <v>123139.5314</v>
      </c>
      <c r="I222" s="102">
        <v>61569.7657</v>
      </c>
      <c r="J222" s="102">
        <v>61569.7657</v>
      </c>
    </row>
    <row r="223" ht="15.0" customHeight="1">
      <c r="A223" s="79">
        <v>220.0</v>
      </c>
      <c r="B223" s="80">
        <v>2638944.555</v>
      </c>
      <c r="C223" s="80">
        <v>2804670.273054</v>
      </c>
      <c r="D223" s="80">
        <v>165725.718</v>
      </c>
      <c r="E223" s="80">
        <v>6532.337793</v>
      </c>
      <c r="F223" s="80">
        <v>159193.3803</v>
      </c>
      <c r="G223" s="80">
        <v>33112.22309</v>
      </c>
      <c r="H223" s="80">
        <v>126081.1572</v>
      </c>
      <c r="I223" s="80">
        <v>63040.57858</v>
      </c>
      <c r="J223" s="80">
        <v>63040.57858</v>
      </c>
    </row>
    <row r="224" ht="15.0" customHeight="1">
      <c r="A224" s="101">
        <v>221.0</v>
      </c>
      <c r="B224" s="102">
        <v>2701985.133</v>
      </c>
      <c r="C224" s="102">
        <v>2871669.7993524</v>
      </c>
      <c r="D224" s="102">
        <v>169684.6664</v>
      </c>
      <c r="E224" s="102">
        <v>6688.38592</v>
      </c>
      <c r="F224" s="102">
        <v>162996.2805</v>
      </c>
      <c r="G224" s="102">
        <v>33903.22634</v>
      </c>
      <c r="H224" s="102">
        <v>129093.0541</v>
      </c>
      <c r="I224" s="102">
        <v>64546.52706</v>
      </c>
      <c r="J224" s="102">
        <v>64546.52706</v>
      </c>
    </row>
    <row r="225" ht="15.0" customHeight="1">
      <c r="A225" s="79">
        <v>222.0</v>
      </c>
      <c r="B225" s="80">
        <v>2766531.661</v>
      </c>
      <c r="C225" s="80">
        <v>2940269.8493108</v>
      </c>
      <c r="D225" s="80">
        <v>173738.1883</v>
      </c>
      <c r="E225" s="80">
        <v>6848.161811</v>
      </c>
      <c r="F225" s="80">
        <v>166890.0265</v>
      </c>
      <c r="G225" s="80">
        <v>34713.12551</v>
      </c>
      <c r="H225" s="80">
        <v>132176.901</v>
      </c>
      <c r="I225" s="80">
        <v>66088.45048</v>
      </c>
      <c r="J225" s="80">
        <v>66088.45048</v>
      </c>
    </row>
    <row r="226" ht="15.0" customHeight="1">
      <c r="A226" s="101">
        <v>223.0</v>
      </c>
      <c r="B226" s="102">
        <v>2832620.111</v>
      </c>
      <c r="C226" s="102">
        <v>3010508.6539708</v>
      </c>
      <c r="D226" s="102">
        <v>177888.543</v>
      </c>
      <c r="E226" s="102">
        <v>7011.754518</v>
      </c>
      <c r="F226" s="102">
        <v>170876.7885</v>
      </c>
      <c r="G226" s="102">
        <v>35542.372</v>
      </c>
      <c r="H226" s="102">
        <v>135334.4165</v>
      </c>
      <c r="I226" s="102">
        <v>67667.20823</v>
      </c>
      <c r="J226" s="102">
        <v>67667.20823</v>
      </c>
    </row>
    <row r="227" ht="15.0" customHeight="1">
      <c r="A227" s="79">
        <v>224.0</v>
      </c>
      <c r="B227" s="80">
        <v>2900287.319</v>
      </c>
      <c r="C227" s="80">
        <v>3082425.3626332</v>
      </c>
      <c r="D227" s="80">
        <v>182138.0436</v>
      </c>
      <c r="E227" s="80">
        <v>7179.255219</v>
      </c>
      <c r="F227" s="80">
        <v>174958.7884</v>
      </c>
      <c r="G227" s="80">
        <v>36391.42799</v>
      </c>
      <c r="H227" s="80">
        <v>138567.3604</v>
      </c>
      <c r="I227" s="80">
        <v>69283.68022</v>
      </c>
      <c r="J227" s="80">
        <v>69283.68022</v>
      </c>
    </row>
    <row r="228" ht="15.0" customHeight="1">
      <c r="A228" s="101">
        <v>225.0</v>
      </c>
      <c r="B228" s="102">
        <v>2969570.999</v>
      </c>
      <c r="C228" s="102">
        <v>3156060.0577372</v>
      </c>
      <c r="D228" s="102">
        <v>186489.0588</v>
      </c>
      <c r="E228" s="102">
        <v>7350.757269</v>
      </c>
      <c r="F228" s="102">
        <v>179138.3015</v>
      </c>
      <c r="G228" s="102">
        <v>37260.76671</v>
      </c>
      <c r="H228" s="102">
        <v>141877.5348</v>
      </c>
      <c r="I228" s="102">
        <v>70938.76739</v>
      </c>
      <c r="J228" s="102">
        <v>70938.76739</v>
      </c>
    </row>
    <row r="229" ht="15.0" customHeight="1">
      <c r="A229" s="79">
        <v>226.0</v>
      </c>
      <c r="B229" s="80">
        <v>3040509.767</v>
      </c>
      <c r="C229" s="80">
        <v>3231453.7803676</v>
      </c>
      <c r="D229" s="80">
        <v>190944.0134</v>
      </c>
      <c r="E229" s="80">
        <v>7526.356257</v>
      </c>
      <c r="F229" s="80">
        <v>183417.6571</v>
      </c>
      <c r="G229" s="80">
        <v>38150.87268</v>
      </c>
      <c r="H229" s="80">
        <v>145266.7844</v>
      </c>
      <c r="I229" s="80">
        <v>72633.39221</v>
      </c>
      <c r="J229" s="80">
        <v>72633.39221</v>
      </c>
    </row>
    <row r="230" ht="15.0" customHeight="1">
      <c r="A230" s="101">
        <v>227.0</v>
      </c>
      <c r="B230" s="102">
        <v>3113143.159</v>
      </c>
      <c r="C230" s="102">
        <v>3308648.5493852</v>
      </c>
      <c r="D230" s="102">
        <v>195505.3904</v>
      </c>
      <c r="E230" s="102">
        <v>7706.15005</v>
      </c>
      <c r="F230" s="102">
        <v>187799.2403</v>
      </c>
      <c r="G230" s="102">
        <v>39062.24199</v>
      </c>
      <c r="H230" s="102">
        <v>148736.9983</v>
      </c>
      <c r="I230" s="102">
        <v>74368.49917</v>
      </c>
      <c r="J230" s="102">
        <v>74368.49917</v>
      </c>
    </row>
    <row r="231" ht="15.0" customHeight="1">
      <c r="A231" s="79">
        <v>228.0</v>
      </c>
      <c r="B231" s="80">
        <v>3187511.658</v>
      </c>
      <c r="C231" s="80">
        <v>3387687.3901224</v>
      </c>
      <c r="D231" s="80">
        <v>200175.7321</v>
      </c>
      <c r="E231" s="80">
        <v>7890.238858</v>
      </c>
      <c r="F231" s="80">
        <v>192285.4933</v>
      </c>
      <c r="G231" s="80">
        <v>39995.3826</v>
      </c>
      <c r="H231" s="80">
        <v>152290.1107</v>
      </c>
      <c r="I231" s="80">
        <v>76145.05534</v>
      </c>
      <c r="J231" s="80">
        <v>76145.05534</v>
      </c>
    </row>
    <row r="232" ht="15.0" customHeight="1">
      <c r="A232" s="101">
        <v>229.0</v>
      </c>
      <c r="B232" s="102">
        <v>3263656.714</v>
      </c>
      <c r="C232" s="102">
        <v>3468614.3556392</v>
      </c>
      <c r="D232" s="102">
        <v>204957.6416</v>
      </c>
      <c r="E232" s="102">
        <v>8078.725283</v>
      </c>
      <c r="F232" s="102">
        <v>196878.9163</v>
      </c>
      <c r="G232" s="102">
        <v>40950.8146</v>
      </c>
      <c r="H232" s="102">
        <v>155928.1017</v>
      </c>
      <c r="I232" s="102">
        <v>77964.05087</v>
      </c>
      <c r="J232" s="102">
        <v>77964.05087</v>
      </c>
    </row>
    <row r="233" ht="15.0" customHeight="1">
      <c r="A233" s="79">
        <v>230.0</v>
      </c>
      <c r="B233" s="80">
        <v>3341620.764</v>
      </c>
      <c r="C233" s="80">
        <v>3551474.5479792</v>
      </c>
      <c r="D233" s="80">
        <v>209853.784</v>
      </c>
      <c r="E233" s="80">
        <v>8271.714376</v>
      </c>
      <c r="F233" s="80">
        <v>201582.0696</v>
      </c>
      <c r="G233" s="80">
        <v>41929.07048</v>
      </c>
      <c r="H233" s="80">
        <v>159652.9991</v>
      </c>
      <c r="I233" s="80">
        <v>79826.49957</v>
      </c>
      <c r="J233" s="80">
        <v>79826.49957</v>
      </c>
    </row>
    <row r="234" ht="15.0" customHeight="1">
      <c r="A234" s="101">
        <v>231.0</v>
      </c>
      <c r="B234" s="102">
        <v>3421447.264</v>
      </c>
      <c r="C234" s="102">
        <v>3636314.1521792</v>
      </c>
      <c r="D234" s="102">
        <v>214866.8882</v>
      </c>
      <c r="E234" s="102">
        <v>8469.3137</v>
      </c>
      <c r="F234" s="102">
        <v>206397.5745</v>
      </c>
      <c r="G234" s="102">
        <v>42930.69549</v>
      </c>
      <c r="H234" s="102">
        <v>163466.879</v>
      </c>
      <c r="I234" s="102">
        <v>81733.4395</v>
      </c>
      <c r="J234" s="102">
        <v>81733.4395</v>
      </c>
    </row>
    <row r="235" ht="15.0" customHeight="1">
      <c r="A235" s="79">
        <v>232.0</v>
      </c>
      <c r="B235" s="80">
        <v>3503180.704</v>
      </c>
      <c r="C235" s="80">
        <v>3723180.4522112</v>
      </c>
      <c r="D235" s="80">
        <v>219999.7482</v>
      </c>
      <c r="E235" s="80">
        <v>8671.633386</v>
      </c>
      <c r="F235" s="80">
        <v>211328.1148</v>
      </c>
      <c r="G235" s="80">
        <v>43956.24788</v>
      </c>
      <c r="H235" s="80">
        <v>167371.8669</v>
      </c>
      <c r="I235" s="80">
        <v>83685.93346</v>
      </c>
      <c r="J235" s="80">
        <v>83685.93346</v>
      </c>
    </row>
    <row r="236" ht="15.0" customHeight="1">
      <c r="A236" s="101">
        <v>233.0</v>
      </c>
      <c r="B236" s="102">
        <v>3586866.637</v>
      </c>
      <c r="C236" s="102">
        <v>3812121.8618036</v>
      </c>
      <c r="D236" s="102">
        <v>225255.2248</v>
      </c>
      <c r="E236" s="102">
        <v>8878.786199</v>
      </c>
      <c r="F236" s="102">
        <v>216376.4386</v>
      </c>
      <c r="G236" s="102">
        <v>45006.29923</v>
      </c>
      <c r="H236" s="102">
        <v>171370.1394</v>
      </c>
      <c r="I236" s="102">
        <v>85685.06969</v>
      </c>
      <c r="J236" s="102">
        <v>85685.06969</v>
      </c>
    </row>
    <row r="237" ht="15.0" customHeight="1">
      <c r="A237" s="79">
        <v>234.0</v>
      </c>
      <c r="B237" s="80">
        <v>3672551.707</v>
      </c>
      <c r="C237" s="80">
        <v>3903187.9541996</v>
      </c>
      <c r="D237" s="80">
        <v>230636.2472</v>
      </c>
      <c r="E237" s="80">
        <v>9090.887593</v>
      </c>
      <c r="F237" s="80">
        <v>221545.3596</v>
      </c>
      <c r="G237" s="80">
        <v>46081.43479</v>
      </c>
      <c r="H237" s="80">
        <v>175463.9248</v>
      </c>
      <c r="I237" s="80">
        <v>87731.9624</v>
      </c>
      <c r="J237" s="80">
        <v>87731.9624</v>
      </c>
    </row>
    <row r="238" ht="15.0" customHeight="1">
      <c r="A238" s="101">
        <v>235.0</v>
      </c>
      <c r="B238" s="102">
        <v>3760283.669</v>
      </c>
      <c r="C238" s="102">
        <v>3996429.4834132</v>
      </c>
      <c r="D238" s="102">
        <v>236145.8144</v>
      </c>
      <c r="E238" s="102">
        <v>9308.055783</v>
      </c>
      <c r="F238" s="102">
        <v>226837.7586</v>
      </c>
      <c r="G238" s="102">
        <v>47182.2538</v>
      </c>
      <c r="H238" s="102">
        <v>179655.5048</v>
      </c>
      <c r="I238" s="102">
        <v>89827.75242</v>
      </c>
      <c r="J238" s="102">
        <v>89827.75242</v>
      </c>
    </row>
    <row r="239" ht="15.0" customHeight="1">
      <c r="A239" s="79">
        <v>236.0</v>
      </c>
      <c r="B239" s="80">
        <v>3850111.422</v>
      </c>
      <c r="C239" s="80">
        <v>4091898.4193016</v>
      </c>
      <c r="D239" s="80">
        <v>241786.9973</v>
      </c>
      <c r="E239" s="80">
        <v>9530.411808</v>
      </c>
      <c r="F239" s="80">
        <v>232256.5855</v>
      </c>
      <c r="G239" s="80">
        <v>48309.36978</v>
      </c>
      <c r="H239" s="80">
        <v>183947.2157</v>
      </c>
      <c r="I239" s="80">
        <v>91973.60784</v>
      </c>
      <c r="J239" s="80">
        <v>91973.60784</v>
      </c>
    </row>
    <row r="240" ht="15.0" customHeight="1">
      <c r="A240" s="101">
        <v>237.0</v>
      </c>
      <c r="B240" s="102">
        <v>3942085.029</v>
      </c>
      <c r="C240" s="102">
        <v>4189647.9688212</v>
      </c>
      <c r="D240" s="102">
        <v>247562.9398</v>
      </c>
      <c r="E240" s="102">
        <v>9758.079598</v>
      </c>
      <c r="F240" s="102">
        <v>237804.8602</v>
      </c>
      <c r="G240" s="102">
        <v>49463.41093</v>
      </c>
      <c r="H240" s="102">
        <v>188341.4493</v>
      </c>
      <c r="I240" s="102">
        <v>94170.72466</v>
      </c>
      <c r="J240" s="102">
        <v>94170.72466</v>
      </c>
    </row>
    <row r="241" ht="15.0" customHeight="1">
      <c r="A241" s="79">
        <v>238.0</v>
      </c>
      <c r="B241" s="80">
        <v>4036255.754</v>
      </c>
      <c r="C241" s="80">
        <v>4289732.6153512</v>
      </c>
      <c r="D241" s="80">
        <v>253476.8614</v>
      </c>
      <c r="E241" s="80">
        <v>9991.186043</v>
      </c>
      <c r="F241" s="80">
        <v>243485.6753</v>
      </c>
      <c r="G241" s="80">
        <v>50645.02046</v>
      </c>
      <c r="H241" s="80">
        <v>192840.6548</v>
      </c>
      <c r="I241" s="80">
        <v>96420.32742</v>
      </c>
      <c r="J241" s="80">
        <v>96420.32742</v>
      </c>
    </row>
    <row r="242" ht="15.0" customHeight="1">
      <c r="A242" s="101">
        <v>239.0</v>
      </c>
      <c r="B242" s="102">
        <v>4132676.081</v>
      </c>
      <c r="C242" s="102">
        <v>4392208.1388868</v>
      </c>
      <c r="D242" s="102">
        <v>259532.0579</v>
      </c>
      <c r="E242" s="102">
        <v>10229.86106</v>
      </c>
      <c r="F242" s="102">
        <v>249302.1968</v>
      </c>
      <c r="G242" s="102">
        <v>51854.85694</v>
      </c>
      <c r="H242" s="102">
        <v>197447.3399</v>
      </c>
      <c r="I242" s="102">
        <v>98723.66995</v>
      </c>
      <c r="J242" s="102">
        <v>98723.66995</v>
      </c>
    </row>
    <row r="243" ht="15.0" customHeight="1">
      <c r="A243" s="79">
        <v>240.0</v>
      </c>
      <c r="B243" s="80">
        <v>4231399.751</v>
      </c>
      <c r="C243" s="80">
        <v>4497131.6553628</v>
      </c>
      <c r="D243" s="80">
        <v>265731.9044</v>
      </c>
      <c r="E243" s="80">
        <v>10474.23769</v>
      </c>
      <c r="F243" s="80">
        <v>255257.6667</v>
      </c>
      <c r="G243" s="80">
        <v>53093.59467</v>
      </c>
      <c r="H243" s="80">
        <v>202164.072</v>
      </c>
      <c r="I243" s="80">
        <v>101082.036</v>
      </c>
      <c r="J243" s="80">
        <v>101082.036</v>
      </c>
    </row>
    <row r="244" ht="15.0" customHeight="1">
      <c r="A244" s="101">
        <v>241.0</v>
      </c>
      <c r="B244" s="102">
        <v>4332481.787</v>
      </c>
      <c r="C244" s="102">
        <v>4604561.6432236</v>
      </c>
      <c r="D244" s="102">
        <v>272079.8562</v>
      </c>
      <c r="E244" s="102">
        <v>10724.45212</v>
      </c>
      <c r="F244" s="102">
        <v>261355.4041</v>
      </c>
      <c r="G244" s="102">
        <v>54361.92406</v>
      </c>
      <c r="H244" s="102">
        <v>206993.4801</v>
      </c>
      <c r="I244" s="102">
        <v>103496.74</v>
      </c>
      <c r="J244" s="102">
        <v>103496.74</v>
      </c>
    </row>
    <row r="245" ht="15.0" customHeight="1">
      <c r="A245" s="79">
        <v>242.0</v>
      </c>
      <c r="B245" s="80">
        <v>4435978.527</v>
      </c>
      <c r="C245" s="80">
        <v>4714557.9784956</v>
      </c>
      <c r="D245" s="80">
        <v>278579.4515</v>
      </c>
      <c r="E245" s="80">
        <v>10980.64381</v>
      </c>
      <c r="F245" s="80">
        <v>267598.8077</v>
      </c>
      <c r="G245" s="80">
        <v>55660.552</v>
      </c>
      <c r="H245" s="80">
        <v>211938.2557</v>
      </c>
      <c r="I245" s="80">
        <v>105969.1279</v>
      </c>
      <c r="J245" s="80">
        <v>105969.1279</v>
      </c>
    </row>
    <row r="246" ht="15.0" customHeight="1">
      <c r="A246" s="101">
        <v>243.0</v>
      </c>
      <c r="B246" s="102">
        <v>4541947.655</v>
      </c>
      <c r="C246" s="102">
        <v>4827181.967734</v>
      </c>
      <c r="D246" s="102">
        <v>285234.3128</v>
      </c>
      <c r="E246" s="102">
        <v>11242.95555</v>
      </c>
      <c r="F246" s="102">
        <v>273991.3572</v>
      </c>
      <c r="G246" s="102">
        <v>56990.2023</v>
      </c>
      <c r="H246" s="102">
        <v>217001.1549</v>
      </c>
      <c r="I246" s="102">
        <v>108500.5775</v>
      </c>
      <c r="J246" s="102">
        <v>108500.5775</v>
      </c>
    </row>
    <row r="247" ht="15.0" customHeight="1">
      <c r="A247" s="79">
        <v>244.0</v>
      </c>
      <c r="B247" s="80">
        <v>4650448.233</v>
      </c>
      <c r="C247" s="80">
        <v>4942496.3820324</v>
      </c>
      <c r="D247" s="80">
        <v>292048.149</v>
      </c>
      <c r="E247" s="80">
        <v>11511.53354</v>
      </c>
      <c r="F247" s="80">
        <v>280536.6155</v>
      </c>
      <c r="G247" s="80">
        <v>58351.61602</v>
      </c>
      <c r="H247" s="80">
        <v>222184.9995</v>
      </c>
      <c r="I247" s="80">
        <v>111092.4997</v>
      </c>
      <c r="J247" s="80">
        <v>111092.4997</v>
      </c>
    </row>
    <row r="248" ht="15.0" customHeight="1">
      <c r="A248" s="101">
        <v>245.0</v>
      </c>
      <c r="B248" s="102">
        <v>4761540.732</v>
      </c>
      <c r="C248" s="102">
        <v>5060565.4899696</v>
      </c>
      <c r="D248" s="102">
        <v>299024.758</v>
      </c>
      <c r="E248" s="102">
        <v>11786.52747</v>
      </c>
      <c r="F248" s="102">
        <v>287238.2305</v>
      </c>
      <c r="G248" s="102">
        <v>59745.55195</v>
      </c>
      <c r="H248" s="102">
        <v>227492.6786</v>
      </c>
      <c r="I248" s="102">
        <v>113746.3393</v>
      </c>
      <c r="J248" s="102">
        <v>113746.3393</v>
      </c>
    </row>
    <row r="249" ht="15.0" customHeight="1">
      <c r="A249" s="79">
        <v>246.0</v>
      </c>
      <c r="B249" s="80">
        <v>4875287.072</v>
      </c>
      <c r="C249" s="80">
        <v>5181455.1001216</v>
      </c>
      <c r="D249" s="80">
        <v>306168.0281</v>
      </c>
      <c r="E249" s="80">
        <v>12068.09061</v>
      </c>
      <c r="F249" s="80">
        <v>294099.9375</v>
      </c>
      <c r="G249" s="80">
        <v>61172.787</v>
      </c>
      <c r="H249" s="80">
        <v>232927.1505</v>
      </c>
      <c r="I249" s="80">
        <v>116463.5753</v>
      </c>
      <c r="J249" s="80">
        <v>116463.5753</v>
      </c>
    </row>
    <row r="250" ht="15.0" customHeight="1">
      <c r="A250" s="101">
        <v>247.0</v>
      </c>
      <c r="B250" s="102">
        <v>4991750.647</v>
      </c>
      <c r="C250" s="102">
        <v>5305232.5876316</v>
      </c>
      <c r="D250" s="102">
        <v>313481.9406</v>
      </c>
      <c r="E250" s="102">
        <v>12356.37988</v>
      </c>
      <c r="F250" s="102">
        <v>301125.5608</v>
      </c>
      <c r="G250" s="102">
        <v>62634.11664</v>
      </c>
      <c r="H250" s="102">
        <v>238491.4441</v>
      </c>
      <c r="I250" s="102">
        <v>119245.7221</v>
      </c>
      <c r="J250" s="102">
        <v>119245.7221</v>
      </c>
    </row>
    <row r="251" ht="15.0" customHeight="1">
      <c r="A251" s="79">
        <v>248.0</v>
      </c>
      <c r="B251" s="80">
        <v>5110996.369</v>
      </c>
      <c r="C251" s="80">
        <v>5431966.9409732</v>
      </c>
      <c r="D251" s="80">
        <v>320970.572</v>
      </c>
      <c r="E251" s="80">
        <v>12651.55597</v>
      </c>
      <c r="F251" s="80">
        <v>308319.016</v>
      </c>
      <c r="G251" s="80">
        <v>64130.35533</v>
      </c>
      <c r="H251" s="80">
        <v>244188.6607</v>
      </c>
      <c r="I251" s="80">
        <v>122094.3303</v>
      </c>
      <c r="J251" s="80">
        <v>122094.3303</v>
      </c>
    </row>
    <row r="252" ht="15.0" customHeight="1">
      <c r="A252" s="101">
        <v>249.0</v>
      </c>
      <c r="B252" s="102">
        <v>5233090.699</v>
      </c>
      <c r="C252" s="102">
        <v>5561728.7948972</v>
      </c>
      <c r="D252" s="102">
        <v>328638.0959</v>
      </c>
      <c r="E252" s="102">
        <v>12953.78339</v>
      </c>
      <c r="F252" s="102">
        <v>315684.3125</v>
      </c>
      <c r="G252" s="102">
        <v>65662.33701</v>
      </c>
      <c r="H252" s="102">
        <v>250021.9755</v>
      </c>
      <c r="I252" s="102">
        <v>125010.9878</v>
      </c>
      <c r="J252" s="102">
        <v>125010.9878</v>
      </c>
    </row>
    <row r="253" ht="15.0" customHeight="1">
      <c r="A253" s="79">
        <v>250.0</v>
      </c>
      <c r="B253" s="80">
        <v>5358101.687</v>
      </c>
      <c r="C253" s="80">
        <v>5694590.4729436</v>
      </c>
      <c r="D253" s="80">
        <v>336488.786</v>
      </c>
      <c r="E253" s="80">
        <v>13263.23059</v>
      </c>
      <c r="F253" s="80">
        <v>323225.5554</v>
      </c>
      <c r="G253" s="80">
        <v>67230.91552</v>
      </c>
      <c r="H253" s="80">
        <v>255994.6398</v>
      </c>
      <c r="I253" s="80">
        <v>127997.3199</v>
      </c>
      <c r="J253" s="80">
        <v>127997.3199</v>
      </c>
    </row>
    <row r="254" ht="15.0" customHeight="1">
      <c r="A254" s="101">
        <v>251.0</v>
      </c>
      <c r="B254" s="102">
        <v>5486099.007</v>
      </c>
      <c r="C254" s="102">
        <v>5830626.0246396</v>
      </c>
      <c r="D254" s="102">
        <v>344527.0176</v>
      </c>
      <c r="E254" s="102">
        <v>13580.07004</v>
      </c>
      <c r="F254" s="102">
        <v>330946.9476</v>
      </c>
      <c r="G254" s="102">
        <v>68836.9651</v>
      </c>
      <c r="H254" s="102">
        <v>262109.9825</v>
      </c>
      <c r="I254" s="102">
        <v>131054.9913</v>
      </c>
      <c r="J254" s="102">
        <v>131054.9913</v>
      </c>
    </row>
    <row r="255" ht="15.0" customHeight="1">
      <c r="A255" s="79">
        <v>252.0</v>
      </c>
      <c r="B255" s="80">
        <v>5617153.998</v>
      </c>
      <c r="C255" s="80">
        <v>5969911.2690744</v>
      </c>
      <c r="D255" s="80">
        <v>352757.2711</v>
      </c>
      <c r="E255" s="80">
        <v>13904.47832</v>
      </c>
      <c r="F255" s="80">
        <v>338852.7928</v>
      </c>
      <c r="G255" s="80">
        <v>70481.3809</v>
      </c>
      <c r="H255" s="80">
        <v>268371.4119</v>
      </c>
      <c r="I255" s="80">
        <v>134185.7059</v>
      </c>
      <c r="J255" s="80">
        <v>134185.7059</v>
      </c>
    </row>
    <row r="256" ht="15.0" customHeight="1">
      <c r="A256" s="101">
        <v>253.0</v>
      </c>
      <c r="B256" s="102">
        <v>5751339.704</v>
      </c>
      <c r="C256" s="102">
        <v>6112523.8374112</v>
      </c>
      <c r="D256" s="102">
        <v>361184.1334</v>
      </c>
      <c r="E256" s="102">
        <v>14236.63625</v>
      </c>
      <c r="F256" s="102">
        <v>346947.4972</v>
      </c>
      <c r="G256" s="102">
        <v>72165.07941</v>
      </c>
      <c r="H256" s="102">
        <v>274782.4178</v>
      </c>
      <c r="I256" s="102">
        <v>137391.2089</v>
      </c>
      <c r="J256" s="102">
        <v>137391.2089</v>
      </c>
    </row>
    <row r="257" ht="15.0" customHeight="1">
      <c r="A257" s="79">
        <v>254.0</v>
      </c>
      <c r="B257" s="80">
        <v>5888730.913</v>
      </c>
      <c r="C257" s="80">
        <v>6258543.2143364</v>
      </c>
      <c r="D257" s="80">
        <v>369812.3013</v>
      </c>
      <c r="E257" s="80">
        <v>14576.72895</v>
      </c>
      <c r="F257" s="80">
        <v>355235.5724</v>
      </c>
      <c r="G257" s="80">
        <v>73888.99906</v>
      </c>
      <c r="H257" s="80">
        <v>281346.5733</v>
      </c>
      <c r="I257" s="80">
        <v>140673.2867</v>
      </c>
      <c r="J257" s="80">
        <v>140673.2867</v>
      </c>
    </row>
    <row r="258" ht="15.0" customHeight="1">
      <c r="A258" s="101">
        <v>255.0</v>
      </c>
      <c r="B258" s="102">
        <v>6029404.2</v>
      </c>
      <c r="C258" s="102">
        <v>6408050.78376</v>
      </c>
      <c r="D258" s="102">
        <v>378646.5837</v>
      </c>
      <c r="E258" s="102">
        <v>14924.94598</v>
      </c>
      <c r="F258" s="102">
        <v>363721.6378</v>
      </c>
      <c r="G258" s="102">
        <v>75654.10066</v>
      </c>
      <c r="H258" s="102">
        <v>288067.5371</v>
      </c>
      <c r="I258" s="102">
        <v>144033.7686</v>
      </c>
      <c r="J258" s="102">
        <v>144033.7686</v>
      </c>
    </row>
    <row r="259" ht="15.0" customHeight="1">
      <c r="A259" s="79">
        <v>256.0</v>
      </c>
      <c r="B259" s="80">
        <v>6173437.968</v>
      </c>
      <c r="C259" s="80">
        <v>6561129.8723904</v>
      </c>
      <c r="D259" s="80">
        <v>387691.9044</v>
      </c>
      <c r="E259" s="80">
        <v>15281.48141</v>
      </c>
      <c r="F259" s="80">
        <v>372410.423</v>
      </c>
      <c r="G259" s="80">
        <v>77461.36798</v>
      </c>
      <c r="H259" s="80">
        <v>294949.055</v>
      </c>
      <c r="I259" s="80">
        <v>147474.5275</v>
      </c>
      <c r="J259" s="80">
        <v>147474.5275</v>
      </c>
    </row>
    <row r="260" ht="15.0" customHeight="1">
      <c r="A260" s="101">
        <v>257.0</v>
      </c>
      <c r="B260" s="102">
        <v>6320912.496</v>
      </c>
      <c r="C260" s="102">
        <v>6717865.8007488</v>
      </c>
      <c r="D260" s="102">
        <v>396953.3047</v>
      </c>
      <c r="E260" s="102">
        <v>15646.53396</v>
      </c>
      <c r="F260" s="102">
        <v>381306.7708</v>
      </c>
      <c r="G260" s="102">
        <v>79311.80832</v>
      </c>
      <c r="H260" s="102">
        <v>301994.9625</v>
      </c>
      <c r="I260" s="102">
        <v>150997.4812</v>
      </c>
      <c r="J260" s="102">
        <v>150997.4812</v>
      </c>
    </row>
    <row r="261" ht="15.0" customHeight="1">
      <c r="A261" s="79">
        <v>258.0</v>
      </c>
      <c r="B261" s="80">
        <v>6471909.977</v>
      </c>
      <c r="C261" s="80">
        <v>6878345.9235556</v>
      </c>
      <c r="D261" s="80">
        <v>406435.9466</v>
      </c>
      <c r="E261" s="80">
        <v>16020.30708</v>
      </c>
      <c r="F261" s="80">
        <v>390415.6395</v>
      </c>
      <c r="G261" s="80">
        <v>81206.45301</v>
      </c>
      <c r="H261" s="80">
        <v>309209.1865</v>
      </c>
      <c r="I261" s="80">
        <v>154604.5932</v>
      </c>
      <c r="J261" s="80">
        <v>154604.5932</v>
      </c>
    </row>
    <row r="262" ht="15.0" customHeight="1">
      <c r="A262" s="101">
        <v>259.0</v>
      </c>
      <c r="B262" s="102">
        <v>6626514.57</v>
      </c>
      <c r="C262" s="102">
        <v>7042659.684996</v>
      </c>
      <c r="D262" s="102">
        <v>416145.115</v>
      </c>
      <c r="E262" s="102">
        <v>16403.00911</v>
      </c>
      <c r="F262" s="102">
        <v>399742.1059</v>
      </c>
      <c r="G262" s="102">
        <v>83146.35803</v>
      </c>
      <c r="H262" s="102">
        <v>316595.7479</v>
      </c>
      <c r="I262" s="102">
        <v>158297.8739</v>
      </c>
      <c r="J262" s="102">
        <v>158297.8739</v>
      </c>
    </row>
    <row r="263" ht="15.0" customHeight="1">
      <c r="A263" s="79">
        <v>260.0</v>
      </c>
      <c r="B263" s="80">
        <v>6784812.444</v>
      </c>
      <c r="C263" s="80">
        <v>7210898.6654832</v>
      </c>
      <c r="D263" s="80">
        <v>426086.2215</v>
      </c>
      <c r="E263" s="80">
        <v>16794.85333</v>
      </c>
      <c r="F263" s="80">
        <v>409291.3682</v>
      </c>
      <c r="G263" s="80">
        <v>85132.60458</v>
      </c>
      <c r="H263" s="80">
        <v>324158.7636</v>
      </c>
      <c r="I263" s="80">
        <v>162079.3818</v>
      </c>
      <c r="J263" s="80">
        <v>162079.3818</v>
      </c>
    </row>
    <row r="264" ht="15.0" customHeight="1">
      <c r="A264" s="101">
        <v>261.0</v>
      </c>
      <c r="B264" s="102">
        <v>6946891.826</v>
      </c>
      <c r="C264" s="102">
        <v>7383156.6326728</v>
      </c>
      <c r="D264" s="102">
        <v>436264.8067</v>
      </c>
      <c r="E264" s="102">
        <v>17196.05815</v>
      </c>
      <c r="F264" s="102">
        <v>419068.7485</v>
      </c>
      <c r="G264" s="102">
        <v>87166.29969</v>
      </c>
      <c r="H264" s="102">
        <v>331902.4488</v>
      </c>
      <c r="I264" s="102">
        <v>165951.2244</v>
      </c>
      <c r="J264" s="102">
        <v>165951.2244</v>
      </c>
    </row>
    <row r="265" ht="15.0" customHeight="1">
      <c r="A265" s="79">
        <v>262.0</v>
      </c>
      <c r="B265" s="80">
        <v>7112843.051</v>
      </c>
      <c r="C265" s="80">
        <v>7559529.5946028</v>
      </c>
      <c r="D265" s="80">
        <v>446686.5436</v>
      </c>
      <c r="E265" s="80">
        <v>17606.84717</v>
      </c>
      <c r="F265" s="80">
        <v>429079.6964</v>
      </c>
      <c r="G265" s="80">
        <v>89248.57685</v>
      </c>
      <c r="H265" s="80">
        <v>339831.1195</v>
      </c>
      <c r="I265" s="80">
        <v>169915.5598</v>
      </c>
      <c r="J265" s="80">
        <v>169915.5598</v>
      </c>
    </row>
    <row r="266" ht="15.0" customHeight="1">
      <c r="A266" s="101">
        <v>263.0</v>
      </c>
      <c r="B266" s="102">
        <v>7282758.61</v>
      </c>
      <c r="C266" s="102">
        <v>7740115.850708</v>
      </c>
      <c r="D266" s="102">
        <v>457357.2407</v>
      </c>
      <c r="E266" s="102">
        <v>18027.44935</v>
      </c>
      <c r="F266" s="102">
        <v>439329.7914</v>
      </c>
      <c r="G266" s="102">
        <v>91380.59661</v>
      </c>
      <c r="H266" s="102">
        <v>347949.1948</v>
      </c>
      <c r="I266" s="102">
        <v>173974.5974</v>
      </c>
      <c r="J266" s="102">
        <v>173974.5974</v>
      </c>
    </row>
    <row r="267" ht="15.0" customHeight="1">
      <c r="A267" s="79">
        <v>264.0</v>
      </c>
      <c r="B267" s="80">
        <v>7456733.208</v>
      </c>
      <c r="C267" s="80">
        <v>7925016.0534624</v>
      </c>
      <c r="D267" s="80">
        <v>468282.8454</v>
      </c>
      <c r="E267" s="80">
        <v>18458.09911</v>
      </c>
      <c r="F267" s="80">
        <v>449824.7463</v>
      </c>
      <c r="G267" s="80">
        <v>93563.54724</v>
      </c>
      <c r="H267" s="80">
        <v>356261.1991</v>
      </c>
      <c r="I267" s="80">
        <v>178130.5995</v>
      </c>
      <c r="J267" s="80">
        <v>178130.5995</v>
      </c>
    </row>
    <row r="268" ht="15.0" customHeight="1">
      <c r="A268" s="101">
        <v>265.0</v>
      </c>
      <c r="B268" s="102">
        <v>7634863.807</v>
      </c>
      <c r="C268" s="102">
        <v>8114333.2540796</v>
      </c>
      <c r="D268" s="102">
        <v>479469.4471</v>
      </c>
      <c r="E268" s="102">
        <v>18899.03647</v>
      </c>
      <c r="F268" s="102">
        <v>460570.4106</v>
      </c>
      <c r="G268" s="102">
        <v>95798.64541</v>
      </c>
      <c r="H268" s="102">
        <v>364771.7652</v>
      </c>
      <c r="I268" s="102">
        <v>182385.8826</v>
      </c>
      <c r="J268" s="102">
        <v>182385.8826</v>
      </c>
    </row>
    <row r="269" ht="15.0" customHeight="1">
      <c r="A269" s="79">
        <v>266.0</v>
      </c>
      <c r="B269" s="80">
        <v>7817249.69</v>
      </c>
      <c r="C269" s="80">
        <v>8308172.970532</v>
      </c>
      <c r="D269" s="80">
        <v>490923.2805</v>
      </c>
      <c r="E269" s="80">
        <v>19350.50719</v>
      </c>
      <c r="F269" s="80">
        <v>471572.7733</v>
      </c>
      <c r="G269" s="80">
        <v>98087.13685</v>
      </c>
      <c r="H269" s="80">
        <v>373485.6365</v>
      </c>
      <c r="I269" s="80">
        <v>186742.8182</v>
      </c>
      <c r="J269" s="80">
        <v>186742.8182</v>
      </c>
    </row>
    <row r="270" ht="15.0" customHeight="1">
      <c r="A270" s="101">
        <v>267.0</v>
      </c>
      <c r="B270" s="102">
        <v>8003992.508</v>
      </c>
      <c r="C270" s="102">
        <v>8506643.2375024</v>
      </c>
      <c r="D270" s="102">
        <v>502650.7295</v>
      </c>
      <c r="E270" s="102">
        <v>19812.76289</v>
      </c>
      <c r="F270" s="102">
        <v>482837.9666</v>
      </c>
      <c r="G270" s="102">
        <v>100430.2971</v>
      </c>
      <c r="H270" s="102">
        <v>382407.6696</v>
      </c>
      <c r="I270" s="102">
        <v>191203.8348</v>
      </c>
      <c r="J270" s="102">
        <v>191203.8348</v>
      </c>
    </row>
    <row r="271" ht="15.0" customHeight="1">
      <c r="A271" s="79">
        <v>268.0</v>
      </c>
      <c r="B271" s="80">
        <v>8195196.343</v>
      </c>
      <c r="C271" s="80">
        <v>8709854.6733404</v>
      </c>
      <c r="D271" s="80">
        <v>514658.3303</v>
      </c>
      <c r="E271" s="80">
        <v>20286.06122</v>
      </c>
      <c r="F271" s="80">
        <v>494372.2691</v>
      </c>
      <c r="G271" s="80">
        <v>102829.432</v>
      </c>
      <c r="H271" s="80">
        <v>391542.8371</v>
      </c>
      <c r="I271" s="80">
        <v>195771.4186</v>
      </c>
      <c r="J271" s="80">
        <v>195771.4186</v>
      </c>
    </row>
    <row r="272" ht="15.0" customHeight="1">
      <c r="A272" s="101">
        <v>269.0</v>
      </c>
      <c r="B272" s="102">
        <v>8390967.761</v>
      </c>
      <c r="C272" s="102">
        <v>8917920.5363908</v>
      </c>
      <c r="D272" s="102">
        <v>526952.7754</v>
      </c>
      <c r="E272" s="102">
        <v>20770.66596</v>
      </c>
      <c r="F272" s="102">
        <v>506182.1095</v>
      </c>
      <c r="G272" s="102">
        <v>105285.8788</v>
      </c>
      <c r="H272" s="102">
        <v>400896.2307</v>
      </c>
      <c r="I272" s="102">
        <v>200448.1153</v>
      </c>
      <c r="J272" s="102">
        <v>200448.1153</v>
      </c>
    </row>
    <row r="273" ht="15.0" customHeight="1">
      <c r="A273" s="79">
        <v>270.0</v>
      </c>
      <c r="B273" s="80">
        <v>8591415.877</v>
      </c>
      <c r="C273" s="80">
        <v>9130956.7940756</v>
      </c>
      <c r="D273" s="80">
        <v>539540.9171</v>
      </c>
      <c r="E273" s="80">
        <v>21266.8472</v>
      </c>
      <c r="F273" s="80">
        <v>518274.0699</v>
      </c>
      <c r="G273" s="80">
        <v>107801.0065</v>
      </c>
      <c r="H273" s="80">
        <v>410473.0633</v>
      </c>
      <c r="I273" s="80">
        <v>205236.5317</v>
      </c>
      <c r="J273" s="80">
        <v>205236.5317</v>
      </c>
    </row>
    <row r="274" ht="15.0" customHeight="1">
      <c r="A274" s="101">
        <v>271.0</v>
      </c>
      <c r="B274" s="102">
        <v>8796652.408</v>
      </c>
      <c r="C274" s="102">
        <v>9349082.1792224</v>
      </c>
      <c r="D274" s="102">
        <v>552429.7712</v>
      </c>
      <c r="E274" s="102">
        <v>21774.88151</v>
      </c>
      <c r="F274" s="102">
        <v>530654.8897</v>
      </c>
      <c r="G274" s="102">
        <v>110376.2171</v>
      </c>
      <c r="H274" s="102">
        <v>420278.6727</v>
      </c>
      <c r="I274" s="102">
        <v>210139.3363</v>
      </c>
      <c r="J274" s="102">
        <v>210139.3363</v>
      </c>
    </row>
    <row r="275" ht="15.0" customHeight="1">
      <c r="A275" s="79">
        <v>272.0</v>
      </c>
      <c r="B275" s="80">
        <v>9006791.745</v>
      </c>
      <c r="C275" s="80">
        <v>9572418.266586</v>
      </c>
      <c r="D275" s="80">
        <v>565626.5216</v>
      </c>
      <c r="E275" s="80">
        <v>22295.05201</v>
      </c>
      <c r="F275" s="80">
        <v>543331.4696</v>
      </c>
      <c r="G275" s="80">
        <v>113012.9457</v>
      </c>
      <c r="H275" s="80">
        <v>430318.5239</v>
      </c>
      <c r="I275" s="80">
        <v>215159.2619</v>
      </c>
      <c r="J275" s="80">
        <v>215159.2619</v>
      </c>
    </row>
    <row r="276" ht="15.0" customHeight="1">
      <c r="A276" s="101">
        <v>273.0</v>
      </c>
      <c r="B276" s="102">
        <v>9221951.007</v>
      </c>
      <c r="C276" s="102">
        <v>9801089.5302396</v>
      </c>
      <c r="D276" s="102">
        <v>579138.5232</v>
      </c>
      <c r="E276" s="102">
        <v>22827.64864</v>
      </c>
      <c r="F276" s="102">
        <v>556310.8746</v>
      </c>
      <c r="G276" s="102">
        <v>115712.6619</v>
      </c>
      <c r="H276" s="102">
        <v>440598.2127</v>
      </c>
      <c r="I276" s="102">
        <v>220299.1063</v>
      </c>
      <c r="J276" s="102">
        <v>220299.1063</v>
      </c>
    </row>
    <row r="277" ht="15.0" customHeight="1">
      <c r="A277" s="79">
        <v>274.0</v>
      </c>
      <c r="B277" s="80">
        <v>9442250.113</v>
      </c>
      <c r="C277" s="80">
        <v>1.00352234200964E7</v>
      </c>
      <c r="D277" s="80">
        <v>592973.3071</v>
      </c>
      <c r="E277" s="80">
        <v>23372.96824</v>
      </c>
      <c r="F277" s="80">
        <v>569600.3389</v>
      </c>
      <c r="G277" s="80">
        <v>118476.8705</v>
      </c>
      <c r="H277" s="80">
        <v>451123.4684</v>
      </c>
      <c r="I277" s="80">
        <v>225561.7342</v>
      </c>
      <c r="J277" s="80">
        <v>225561.7342</v>
      </c>
    </row>
    <row r="278" ht="15.0" customHeight="1">
      <c r="A278" s="101">
        <v>275.0</v>
      </c>
      <c r="B278" s="102">
        <v>9667811.847</v>
      </c>
      <c r="C278" s="102">
        <v>1.02749504309916E7</v>
      </c>
      <c r="D278" s="102">
        <v>607138.584</v>
      </c>
      <c r="E278" s="102">
        <v>23931.31473</v>
      </c>
      <c r="F278" s="102">
        <v>583207.2693</v>
      </c>
      <c r="G278" s="102">
        <v>121307.112</v>
      </c>
      <c r="H278" s="102">
        <v>461900.1573</v>
      </c>
      <c r="I278" s="102">
        <v>230950.0786</v>
      </c>
      <c r="J278" s="102">
        <v>230950.0786</v>
      </c>
    </row>
    <row r="279" ht="15.0" customHeight="1">
      <c r="A279" s="79">
        <v>276.0</v>
      </c>
      <c r="B279" s="80">
        <v>9898761.926</v>
      </c>
      <c r="C279" s="80">
        <v>1.05204041749528E7</v>
      </c>
      <c r="D279" s="80">
        <v>621642.2489</v>
      </c>
      <c r="E279" s="80">
        <v>24502.99932</v>
      </c>
      <c r="F279" s="80">
        <v>597139.2496</v>
      </c>
      <c r="G279" s="80">
        <v>124204.9639</v>
      </c>
      <c r="H279" s="80">
        <v>472934.2857</v>
      </c>
      <c r="I279" s="80">
        <v>236467.1429</v>
      </c>
      <c r="J279" s="80">
        <v>236467.1429</v>
      </c>
    </row>
    <row r="280" ht="15.0" customHeight="1">
      <c r="A280" s="101">
        <v>277.0</v>
      </c>
      <c r="B280" s="102">
        <v>1.013522907E7</v>
      </c>
      <c r="C280" s="102">
        <v>1.0771721455596E7</v>
      </c>
      <c r="D280" s="102">
        <v>636492.3855</v>
      </c>
      <c r="E280" s="102">
        <v>25088.34063</v>
      </c>
      <c r="F280" s="102">
        <v>611404.0449</v>
      </c>
      <c r="G280" s="102">
        <v>127172.0413</v>
      </c>
      <c r="H280" s="102">
        <v>484232.0036</v>
      </c>
      <c r="I280" s="102">
        <v>242116.0018</v>
      </c>
      <c r="J280" s="102">
        <v>242116.0018</v>
      </c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21.75" customHeight="1">
      <c r="A282" s="103" t="s">
        <v>765</v>
      </c>
      <c r="B282" s="9"/>
      <c r="C282" s="9"/>
      <c r="D282" s="9"/>
      <c r="E282" s="9"/>
      <c r="F282" s="9"/>
      <c r="G282" s="9"/>
      <c r="H282" s="9"/>
      <c r="I282" s="9"/>
      <c r="J282" s="9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282:J28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71A3"/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3" width="13.13"/>
    <col customWidth="1" min="4" max="4" width="12.25"/>
    <col customWidth="1" min="5" max="5" width="13.13"/>
    <col customWidth="1" min="6" max="8" width="11.38"/>
    <col customWidth="1" min="9" max="9" width="13.13"/>
    <col customWidth="1" min="10" max="10" width="14.0"/>
  </cols>
  <sheetData>
    <row r="1" ht="15.0" customHeight="1">
      <c r="A1" s="5" t="s">
        <v>766</v>
      </c>
      <c r="B1" s="2"/>
      <c r="C1" s="2"/>
      <c r="D1" s="2"/>
      <c r="E1" s="2"/>
      <c r="F1" s="2"/>
      <c r="G1" s="2"/>
      <c r="H1" s="2"/>
      <c r="I1" s="2"/>
      <c r="J1" s="2"/>
    </row>
    <row r="2" ht="27.75" customHeight="1">
      <c r="A2" s="104" t="s">
        <v>756</v>
      </c>
      <c r="B2" s="104" t="s">
        <v>698</v>
      </c>
      <c r="C2" s="104" t="s">
        <v>757</v>
      </c>
      <c r="D2" s="104" t="s">
        <v>758</v>
      </c>
      <c r="E2" s="104" t="s">
        <v>759</v>
      </c>
      <c r="F2" s="104" t="s">
        <v>760</v>
      </c>
      <c r="G2" s="104" t="s">
        <v>761</v>
      </c>
      <c r="H2" s="104" t="s">
        <v>762</v>
      </c>
      <c r="I2" s="104" t="s">
        <v>763</v>
      </c>
      <c r="J2" s="104" t="s">
        <v>764</v>
      </c>
    </row>
    <row r="3" ht="15.0" customHeight="1">
      <c r="A3" s="105">
        <v>1.0</v>
      </c>
      <c r="B3" s="102">
        <v>20000.0</v>
      </c>
      <c r="C3" s="102">
        <v>21256.0</v>
      </c>
      <c r="D3" s="102">
        <v>1256.0</v>
      </c>
      <c r="E3" s="102">
        <v>49.5072</v>
      </c>
      <c r="F3" s="102">
        <v>1206.4928</v>
      </c>
      <c r="G3" s="102">
        <v>250.9505024</v>
      </c>
      <c r="H3" s="102">
        <v>955.5422976</v>
      </c>
      <c r="I3" s="102">
        <v>477.7711488</v>
      </c>
      <c r="J3" s="102">
        <v>477.7711488</v>
      </c>
    </row>
    <row r="4" ht="15.0" customHeight="1">
      <c r="A4" s="106">
        <v>2.0</v>
      </c>
      <c r="B4" s="80">
        <v>20477.77115</v>
      </c>
      <c r="C4" s="80">
        <v>21763.77518</v>
      </c>
      <c r="D4" s="80">
        <v>1286.004028</v>
      </c>
      <c r="E4" s="80">
        <v>50.68985559</v>
      </c>
      <c r="F4" s="80">
        <v>1235.314173</v>
      </c>
      <c r="G4" s="80">
        <v>256.9453479</v>
      </c>
      <c r="H4" s="80">
        <v>978.3688247</v>
      </c>
      <c r="I4" s="80">
        <v>489.1844123</v>
      </c>
      <c r="J4" s="80">
        <v>489.1844123</v>
      </c>
    </row>
    <row r="5" ht="15.0" customHeight="1">
      <c r="A5" s="105">
        <v>3.0</v>
      </c>
      <c r="B5" s="102">
        <v>20966.95556</v>
      </c>
      <c r="C5" s="102">
        <v>22283.68037</v>
      </c>
      <c r="D5" s="102">
        <v>1316.724809</v>
      </c>
      <c r="E5" s="102">
        <v>51.90076312</v>
      </c>
      <c r="F5" s="102">
        <v>1264.824046</v>
      </c>
      <c r="G5" s="102">
        <v>263.0834016</v>
      </c>
      <c r="H5" s="102">
        <v>1001.740645</v>
      </c>
      <c r="I5" s="102">
        <v>500.8703223</v>
      </c>
      <c r="J5" s="102">
        <v>500.8703223</v>
      </c>
    </row>
    <row r="6" ht="15.0" customHeight="1">
      <c r="A6" s="106">
        <v>4.0</v>
      </c>
      <c r="B6" s="80">
        <v>21467.82588</v>
      </c>
      <c r="C6" s="80">
        <v>22816.00535</v>
      </c>
      <c r="D6" s="80">
        <v>1348.179465</v>
      </c>
      <c r="E6" s="80">
        <v>53.14059748</v>
      </c>
      <c r="F6" s="80">
        <v>1295.038868</v>
      </c>
      <c r="G6" s="80">
        <v>269.3680845</v>
      </c>
      <c r="H6" s="80">
        <v>1025.670783</v>
      </c>
      <c r="I6" s="80">
        <v>512.8353917</v>
      </c>
      <c r="J6" s="80">
        <v>512.8353917</v>
      </c>
    </row>
    <row r="7" ht="15.0" customHeight="1">
      <c r="A7" s="105">
        <v>5.0</v>
      </c>
      <c r="B7" s="102">
        <v>21980.66128</v>
      </c>
      <c r="C7" s="102">
        <v>23361.0468</v>
      </c>
      <c r="D7" s="102">
        <v>1380.385528</v>
      </c>
      <c r="E7" s="102">
        <v>54.41004969</v>
      </c>
      <c r="F7" s="102">
        <v>1325.975478</v>
      </c>
      <c r="G7" s="102">
        <v>275.8028995</v>
      </c>
      <c r="H7" s="102">
        <v>1050.172579</v>
      </c>
      <c r="I7" s="102">
        <v>525.0862894</v>
      </c>
      <c r="J7" s="102">
        <v>525.0862894</v>
      </c>
    </row>
    <row r="8" ht="15.0" customHeight="1">
      <c r="A8" s="106">
        <v>6.0</v>
      </c>
      <c r="B8" s="80">
        <v>22505.74756</v>
      </c>
      <c r="C8" s="80">
        <v>23919.10851</v>
      </c>
      <c r="D8" s="80">
        <v>1413.360947</v>
      </c>
      <c r="E8" s="80">
        <v>55.70982729</v>
      </c>
      <c r="F8" s="80">
        <v>1357.65112</v>
      </c>
      <c r="G8" s="80">
        <v>282.3914329</v>
      </c>
      <c r="H8" s="80">
        <v>1075.259687</v>
      </c>
      <c r="I8" s="80">
        <v>537.6298434</v>
      </c>
      <c r="J8" s="80">
        <v>537.6298434</v>
      </c>
    </row>
    <row r="9" ht="15.0" customHeight="1">
      <c r="A9" s="105">
        <v>7.0</v>
      </c>
      <c r="B9" s="102">
        <v>23043.37741</v>
      </c>
      <c r="C9" s="102">
        <v>24490.50151</v>
      </c>
      <c r="D9" s="102">
        <v>1447.124101</v>
      </c>
      <c r="E9" s="102">
        <v>57.0406547</v>
      </c>
      <c r="F9" s="102">
        <v>1390.083447</v>
      </c>
      <c r="G9" s="102">
        <v>289.1373569</v>
      </c>
      <c r="H9" s="102">
        <v>1100.94609</v>
      </c>
      <c r="I9" s="102">
        <v>550.4730448</v>
      </c>
      <c r="J9" s="102">
        <v>550.4730448</v>
      </c>
    </row>
    <row r="10" ht="15.0" customHeight="1">
      <c r="A10" s="106">
        <v>8.0</v>
      </c>
      <c r="B10" s="80">
        <v>23593.85045</v>
      </c>
      <c r="C10" s="80">
        <v>25075.54426</v>
      </c>
      <c r="D10" s="80">
        <v>1481.693808</v>
      </c>
      <c r="E10" s="80">
        <v>58.40327366</v>
      </c>
      <c r="F10" s="80">
        <v>1423.290535</v>
      </c>
      <c r="G10" s="80">
        <v>296.0444312</v>
      </c>
      <c r="H10" s="80">
        <v>1127.246104</v>
      </c>
      <c r="I10" s="80">
        <v>563.6230518</v>
      </c>
      <c r="J10" s="80">
        <v>563.6230518</v>
      </c>
    </row>
    <row r="11" ht="15.0" customHeight="1">
      <c r="A11" s="105">
        <v>9.0</v>
      </c>
      <c r="B11" s="102">
        <v>24157.4735</v>
      </c>
      <c r="C11" s="102">
        <v>25674.56284</v>
      </c>
      <c r="D11" s="102">
        <v>1517.089336</v>
      </c>
      <c r="E11" s="102">
        <v>59.79844361</v>
      </c>
      <c r="F11" s="102">
        <v>1457.290892</v>
      </c>
      <c r="G11" s="102">
        <v>303.1165056</v>
      </c>
      <c r="H11" s="102">
        <v>1154.174387</v>
      </c>
      <c r="I11" s="102">
        <v>577.0871934</v>
      </c>
      <c r="J11" s="102">
        <v>577.0871934</v>
      </c>
    </row>
    <row r="12" ht="15.0" customHeight="1">
      <c r="A12" s="106">
        <v>10.0</v>
      </c>
      <c r="B12" s="80">
        <v>24734.5607</v>
      </c>
      <c r="C12" s="80">
        <v>26287.89111</v>
      </c>
      <c r="D12" s="80">
        <v>1553.330412</v>
      </c>
      <c r="E12" s="80">
        <v>61.22694217</v>
      </c>
      <c r="F12" s="80">
        <v>1492.10347</v>
      </c>
      <c r="G12" s="80">
        <v>310.3575217</v>
      </c>
      <c r="H12" s="80">
        <v>1181.745948</v>
      </c>
      <c r="I12" s="80">
        <v>590.872974</v>
      </c>
      <c r="J12" s="80">
        <v>590.872974</v>
      </c>
    </row>
    <row r="13" ht="15.0" customHeight="1">
      <c r="A13" s="105">
        <v>11.0</v>
      </c>
      <c r="B13" s="102">
        <v>25325.43367</v>
      </c>
      <c r="C13" s="102">
        <v>26915.87091</v>
      </c>
      <c r="D13" s="102">
        <v>1590.437235</v>
      </c>
      <c r="E13" s="102">
        <v>62.68956549</v>
      </c>
      <c r="F13" s="102">
        <v>1527.747669</v>
      </c>
      <c r="G13" s="102">
        <v>317.7715152</v>
      </c>
      <c r="H13" s="102">
        <v>1209.976154</v>
      </c>
      <c r="I13" s="102">
        <v>604.988077</v>
      </c>
      <c r="J13" s="102">
        <v>604.988077</v>
      </c>
    </row>
    <row r="14" ht="15.0" customHeight="1">
      <c r="A14" s="106">
        <v>12.0</v>
      </c>
      <c r="B14" s="80">
        <v>25930.42175</v>
      </c>
      <c r="C14" s="80">
        <v>27558.85223</v>
      </c>
      <c r="D14" s="80">
        <v>1628.430486</v>
      </c>
      <c r="E14" s="80">
        <v>64.18712878</v>
      </c>
      <c r="F14" s="80">
        <v>1564.243357</v>
      </c>
      <c r="G14" s="80">
        <v>325.3626183</v>
      </c>
      <c r="H14" s="80">
        <v>1238.880739</v>
      </c>
      <c r="I14" s="80">
        <v>619.4403694</v>
      </c>
      <c r="J14" s="80">
        <v>619.4403694</v>
      </c>
    </row>
    <row r="15" ht="15.0" customHeight="1">
      <c r="A15" s="105">
        <v>13.0</v>
      </c>
      <c r="B15" s="102">
        <v>26549.86212</v>
      </c>
      <c r="C15" s="102">
        <v>28217.19346</v>
      </c>
      <c r="D15" s="102">
        <v>1667.331341</v>
      </c>
      <c r="E15" s="102">
        <v>65.72046669</v>
      </c>
      <c r="F15" s="102">
        <v>1601.610874</v>
      </c>
      <c r="G15" s="102">
        <v>333.1350619</v>
      </c>
      <c r="H15" s="102">
        <v>1268.475812</v>
      </c>
      <c r="I15" s="102">
        <v>634.2379062</v>
      </c>
      <c r="J15" s="102">
        <v>634.2379062</v>
      </c>
    </row>
    <row r="16" ht="15.0" customHeight="1">
      <c r="A16" s="106">
        <v>14.0</v>
      </c>
      <c r="B16" s="80">
        <v>27184.10002</v>
      </c>
      <c r="C16" s="80">
        <v>28891.26151</v>
      </c>
      <c r="D16" s="80">
        <v>1707.161482</v>
      </c>
      <c r="E16" s="80">
        <v>67.29043384</v>
      </c>
      <c r="F16" s="80">
        <v>1639.871048</v>
      </c>
      <c r="G16" s="80">
        <v>341.0931779</v>
      </c>
      <c r="H16" s="80">
        <v>1298.77787</v>
      </c>
      <c r="I16" s="80">
        <v>649.3889349</v>
      </c>
      <c r="J16" s="80">
        <v>649.3889349</v>
      </c>
    </row>
    <row r="17" ht="15.0" customHeight="1">
      <c r="A17" s="105">
        <v>15.0</v>
      </c>
      <c r="B17" s="102">
        <v>27833.48896</v>
      </c>
      <c r="C17" s="102">
        <v>29581.43207</v>
      </c>
      <c r="D17" s="102">
        <v>1747.943107</v>
      </c>
      <c r="E17" s="102">
        <v>68.89790523</v>
      </c>
      <c r="F17" s="102">
        <v>1679.045201</v>
      </c>
      <c r="G17" s="102">
        <v>349.2414019</v>
      </c>
      <c r="H17" s="102">
        <v>1329.8038</v>
      </c>
      <c r="I17" s="102">
        <v>664.9018998</v>
      </c>
      <c r="J17" s="102">
        <v>664.9018998</v>
      </c>
    </row>
    <row r="18" ht="15.0" customHeight="1">
      <c r="A18" s="106">
        <v>16.0</v>
      </c>
      <c r="B18" s="80">
        <v>28498.39086</v>
      </c>
      <c r="C18" s="80">
        <v>30288.08981</v>
      </c>
      <c r="D18" s="80">
        <v>1789.698946</v>
      </c>
      <c r="E18" s="80">
        <v>70.5437768</v>
      </c>
      <c r="F18" s="80">
        <v>1719.155169</v>
      </c>
      <c r="G18" s="80">
        <v>357.5842752</v>
      </c>
      <c r="H18" s="80">
        <v>1361.570894</v>
      </c>
      <c r="I18" s="80">
        <v>680.785447</v>
      </c>
      <c r="J18" s="80">
        <v>680.785447</v>
      </c>
    </row>
    <row r="19" ht="15.0" customHeight="1">
      <c r="A19" s="105">
        <v>17.0</v>
      </c>
      <c r="B19" s="102">
        <v>29179.17631</v>
      </c>
      <c r="C19" s="102">
        <v>31011.62858</v>
      </c>
      <c r="D19" s="102">
        <v>1832.452272</v>
      </c>
      <c r="E19" s="102">
        <v>72.22896586</v>
      </c>
      <c r="F19" s="102">
        <v>1760.223306</v>
      </c>
      <c r="G19" s="102">
        <v>366.1264477</v>
      </c>
      <c r="H19" s="102">
        <v>1394.096858</v>
      </c>
      <c r="I19" s="102">
        <v>697.0484292</v>
      </c>
      <c r="J19" s="102">
        <v>697.0484292</v>
      </c>
    </row>
    <row r="20" ht="15.0" customHeight="1">
      <c r="A20" s="106">
        <v>18.0</v>
      </c>
      <c r="B20" s="80">
        <v>29876.22474</v>
      </c>
      <c r="C20" s="80">
        <v>31752.45165</v>
      </c>
      <c r="D20" s="80">
        <v>1876.226913</v>
      </c>
      <c r="E20" s="80">
        <v>73.95441166</v>
      </c>
      <c r="F20" s="80">
        <v>1802.272502</v>
      </c>
      <c r="G20" s="80">
        <v>374.8726804</v>
      </c>
      <c r="H20" s="80">
        <v>1427.399821</v>
      </c>
      <c r="I20" s="80">
        <v>713.6999107</v>
      </c>
      <c r="J20" s="80">
        <v>713.6999107</v>
      </c>
    </row>
    <row r="21" ht="15.0" customHeight="1">
      <c r="A21" s="105">
        <v>19.0</v>
      </c>
      <c r="B21" s="102">
        <v>30589.92465</v>
      </c>
      <c r="C21" s="102">
        <v>32510.97191</v>
      </c>
      <c r="D21" s="102">
        <v>1921.047268</v>
      </c>
      <c r="E21" s="102">
        <v>75.72107587</v>
      </c>
      <c r="F21" s="102">
        <v>1845.326192</v>
      </c>
      <c r="G21" s="102">
        <v>383.8278479</v>
      </c>
      <c r="H21" s="102">
        <v>1461.498344</v>
      </c>
      <c r="I21" s="102">
        <v>730.749172</v>
      </c>
      <c r="J21" s="102">
        <v>730.749172</v>
      </c>
    </row>
    <row r="22" ht="15.0" customHeight="1">
      <c r="A22" s="106">
        <v>20.0</v>
      </c>
      <c r="B22" s="80">
        <v>31320.67382</v>
      </c>
      <c r="C22" s="80">
        <v>33287.61213</v>
      </c>
      <c r="D22" s="80">
        <v>1966.938316</v>
      </c>
      <c r="E22" s="80">
        <v>77.52994314</v>
      </c>
      <c r="F22" s="80">
        <v>1889.408373</v>
      </c>
      <c r="G22" s="80">
        <v>392.9969415</v>
      </c>
      <c r="H22" s="80">
        <v>1496.411431</v>
      </c>
      <c r="I22" s="80">
        <v>748.2057156</v>
      </c>
      <c r="J22" s="80">
        <v>748.2057156</v>
      </c>
    </row>
    <row r="23" ht="15.0" customHeight="1">
      <c r="A23" s="105">
        <v>21.0</v>
      </c>
      <c r="B23" s="102">
        <v>32068.87953</v>
      </c>
      <c r="C23" s="102">
        <v>34082.80517</v>
      </c>
      <c r="D23" s="102">
        <v>2013.925635</v>
      </c>
      <c r="E23" s="102">
        <v>79.38202164</v>
      </c>
      <c r="F23" s="102">
        <v>1934.543613</v>
      </c>
      <c r="G23" s="102">
        <v>402.3850715</v>
      </c>
      <c r="H23" s="102">
        <v>1532.158542</v>
      </c>
      <c r="I23" s="102">
        <v>766.0792708</v>
      </c>
      <c r="J23" s="102">
        <v>766.0792708</v>
      </c>
    </row>
    <row r="24" ht="15.0" customHeight="1">
      <c r="A24" s="106">
        <v>22.0</v>
      </c>
      <c r="B24" s="80">
        <v>32834.9588</v>
      </c>
      <c r="C24" s="80">
        <v>34896.99422</v>
      </c>
      <c r="D24" s="80">
        <v>2062.035413</v>
      </c>
      <c r="E24" s="80">
        <v>81.27834363</v>
      </c>
      <c r="F24" s="80">
        <v>1980.757069</v>
      </c>
      <c r="G24" s="80">
        <v>411.9974704</v>
      </c>
      <c r="H24" s="80">
        <v>1568.759599</v>
      </c>
      <c r="I24" s="80">
        <v>784.3797994</v>
      </c>
      <c r="J24" s="80">
        <v>784.3797994</v>
      </c>
    </row>
    <row r="25" ht="15.0" customHeight="1">
      <c r="A25" s="105">
        <v>23.0</v>
      </c>
      <c r="B25" s="102">
        <v>33619.3386</v>
      </c>
      <c r="C25" s="102">
        <v>35730.63307</v>
      </c>
      <c r="D25" s="102">
        <v>2111.294464</v>
      </c>
      <c r="E25" s="102">
        <v>83.21996601</v>
      </c>
      <c r="F25" s="102">
        <v>2028.074498</v>
      </c>
      <c r="G25" s="102">
        <v>421.8394957</v>
      </c>
      <c r="H25" s="102">
        <v>1606.235003</v>
      </c>
      <c r="I25" s="102">
        <v>803.1175013</v>
      </c>
      <c r="J25" s="102">
        <v>803.1175013</v>
      </c>
    </row>
    <row r="26" ht="15.0" customHeight="1">
      <c r="A26" s="106">
        <v>24.0</v>
      </c>
      <c r="B26" s="80">
        <v>34422.45611</v>
      </c>
      <c r="C26" s="80">
        <v>36584.18635</v>
      </c>
      <c r="D26" s="80">
        <v>2161.730243</v>
      </c>
      <c r="E26" s="80">
        <v>85.20797094</v>
      </c>
      <c r="F26" s="80">
        <v>2076.522272</v>
      </c>
      <c r="G26" s="80">
        <v>431.9166327</v>
      </c>
      <c r="H26" s="80">
        <v>1644.60564</v>
      </c>
      <c r="I26" s="80">
        <v>822.3028199</v>
      </c>
      <c r="J26" s="80">
        <v>822.3028199</v>
      </c>
    </row>
    <row r="27" ht="15.0" customHeight="1">
      <c r="A27" s="105">
        <v>25.0</v>
      </c>
      <c r="B27" s="102">
        <v>35244.75893</v>
      </c>
      <c r="C27" s="102">
        <v>37458.12979</v>
      </c>
      <c r="D27" s="102">
        <v>2213.370861</v>
      </c>
      <c r="E27" s="102">
        <v>87.24346645</v>
      </c>
      <c r="F27" s="102">
        <v>2126.127394</v>
      </c>
      <c r="G27" s="102">
        <v>442.234498</v>
      </c>
      <c r="H27" s="102">
        <v>1683.892896</v>
      </c>
      <c r="I27" s="102">
        <v>841.946448</v>
      </c>
      <c r="J27" s="102">
        <v>841.946448</v>
      </c>
    </row>
    <row r="28" ht="15.0" customHeight="1">
      <c r="A28" s="106">
        <v>26.0</v>
      </c>
      <c r="B28" s="80">
        <v>36086.70537</v>
      </c>
      <c r="C28" s="80">
        <v>38352.95047</v>
      </c>
      <c r="D28" s="80">
        <v>2266.245097</v>
      </c>
      <c r="E28" s="80">
        <v>89.32758701</v>
      </c>
      <c r="F28" s="80">
        <v>2176.91751</v>
      </c>
      <c r="G28" s="80">
        <v>452.7988422</v>
      </c>
      <c r="H28" s="80">
        <v>1724.118668</v>
      </c>
      <c r="I28" s="80">
        <v>862.0593341</v>
      </c>
      <c r="J28" s="80">
        <v>862.0593341</v>
      </c>
    </row>
    <row r="29" ht="15.0" customHeight="1">
      <c r="A29" s="105">
        <v>27.0</v>
      </c>
      <c r="B29" s="102">
        <v>36948.76471</v>
      </c>
      <c r="C29" s="102">
        <v>39269.14713</v>
      </c>
      <c r="D29" s="102">
        <v>2320.382424</v>
      </c>
      <c r="E29" s="102">
        <v>91.46149421</v>
      </c>
      <c r="F29" s="102">
        <v>2228.920929</v>
      </c>
      <c r="G29" s="102">
        <v>463.6155533</v>
      </c>
      <c r="H29" s="102">
        <v>1765.305376</v>
      </c>
      <c r="I29" s="102">
        <v>882.652688</v>
      </c>
      <c r="J29" s="102">
        <v>882.652688</v>
      </c>
    </row>
    <row r="30" ht="15.0" customHeight="1">
      <c r="A30" s="106">
        <v>28.0</v>
      </c>
      <c r="B30" s="80">
        <v>37831.4174</v>
      </c>
      <c r="C30" s="80">
        <v>40207.23041</v>
      </c>
      <c r="D30" s="80">
        <v>2375.813012</v>
      </c>
      <c r="E30" s="80">
        <v>93.64637736</v>
      </c>
      <c r="F30" s="80">
        <v>2282.166635</v>
      </c>
      <c r="G30" s="80">
        <v>474.6906601</v>
      </c>
      <c r="H30" s="80">
        <v>1807.475975</v>
      </c>
      <c r="I30" s="80">
        <v>903.7379875</v>
      </c>
      <c r="J30" s="80">
        <v>903.7379875</v>
      </c>
    </row>
    <row r="31" ht="15.0" customHeight="1">
      <c r="A31" s="105">
        <v>29.0</v>
      </c>
      <c r="B31" s="102">
        <v>38735.15538</v>
      </c>
      <c r="C31" s="102">
        <v>41167.72314</v>
      </c>
      <c r="D31" s="102">
        <v>2432.567758</v>
      </c>
      <c r="E31" s="102">
        <v>95.88345423</v>
      </c>
      <c r="F31" s="102">
        <v>2336.684304</v>
      </c>
      <c r="G31" s="102">
        <v>486.0303352</v>
      </c>
      <c r="H31" s="102">
        <v>1850.653969</v>
      </c>
      <c r="I31" s="102">
        <v>925.3269843</v>
      </c>
      <c r="J31" s="102">
        <v>925.3269843</v>
      </c>
    </row>
    <row r="32" ht="15.0" customHeight="1">
      <c r="A32" s="106">
        <v>30.0</v>
      </c>
      <c r="B32" s="80">
        <v>39660.48237</v>
      </c>
      <c r="C32" s="80">
        <v>42151.16066</v>
      </c>
      <c r="D32" s="80">
        <v>2490.678293</v>
      </c>
      <c r="E32" s="80">
        <v>98.17397163</v>
      </c>
      <c r="F32" s="80">
        <v>2392.504321</v>
      </c>
      <c r="G32" s="80">
        <v>497.6408988</v>
      </c>
      <c r="H32" s="80">
        <v>1894.863422</v>
      </c>
      <c r="I32" s="80">
        <v>947.4317111</v>
      </c>
      <c r="J32" s="80">
        <v>947.4317111</v>
      </c>
    </row>
    <row r="33" ht="15.0" customHeight="1">
      <c r="A33" s="105">
        <v>31.0</v>
      </c>
      <c r="B33" s="102">
        <v>40607.91408</v>
      </c>
      <c r="C33" s="102">
        <v>43158.09108</v>
      </c>
      <c r="D33" s="102">
        <v>2550.177004</v>
      </c>
      <c r="E33" s="102">
        <v>100.5192062</v>
      </c>
      <c r="F33" s="102">
        <v>2449.657798</v>
      </c>
      <c r="G33" s="102">
        <v>509.528822</v>
      </c>
      <c r="H33" s="102">
        <v>1940.128976</v>
      </c>
      <c r="I33" s="102">
        <v>970.064488</v>
      </c>
      <c r="J33" s="102">
        <v>970.064488</v>
      </c>
    </row>
    <row r="34" ht="15.0" customHeight="1">
      <c r="A34" s="106">
        <v>32.0</v>
      </c>
      <c r="B34" s="80">
        <v>41577.97857</v>
      </c>
      <c r="C34" s="80">
        <v>44189.07562</v>
      </c>
      <c r="D34" s="80">
        <v>2611.097054</v>
      </c>
      <c r="E34" s="80">
        <v>102.920465</v>
      </c>
      <c r="F34" s="80">
        <v>2508.176589</v>
      </c>
      <c r="G34" s="80">
        <v>521.7007305</v>
      </c>
      <c r="H34" s="80">
        <v>1986.475858</v>
      </c>
      <c r="I34" s="80">
        <v>993.2379292</v>
      </c>
      <c r="J34" s="80">
        <v>993.2379292</v>
      </c>
    </row>
    <row r="35" ht="15.0" customHeight="1">
      <c r="A35" s="105">
        <v>33.0</v>
      </c>
      <c r="B35" s="102">
        <v>42571.2165</v>
      </c>
      <c r="C35" s="102">
        <v>45244.68889</v>
      </c>
      <c r="D35" s="102">
        <v>2673.472396</v>
      </c>
      <c r="E35" s="102">
        <v>105.3790865</v>
      </c>
      <c r="F35" s="102">
        <v>2568.093309</v>
      </c>
      <c r="G35" s="102">
        <v>534.1634084</v>
      </c>
      <c r="H35" s="102">
        <v>2033.929901</v>
      </c>
      <c r="I35" s="102">
        <v>1016.964951</v>
      </c>
      <c r="J35" s="102">
        <v>1016.964951</v>
      </c>
    </row>
    <row r="36" ht="15.0" customHeight="1">
      <c r="A36" s="106">
        <v>34.0</v>
      </c>
      <c r="B36" s="80">
        <v>43588.18145</v>
      </c>
      <c r="C36" s="80">
        <v>46325.51924</v>
      </c>
      <c r="D36" s="80">
        <v>2737.337795</v>
      </c>
      <c r="E36" s="80">
        <v>107.8964408</v>
      </c>
      <c r="F36" s="80">
        <v>2629.441354</v>
      </c>
      <c r="G36" s="80">
        <v>546.9238016</v>
      </c>
      <c r="H36" s="80">
        <v>2082.517552</v>
      </c>
      <c r="I36" s="80">
        <v>1041.258776</v>
      </c>
      <c r="J36" s="80">
        <v>1041.258776</v>
      </c>
    </row>
    <row r="37" ht="15.0" customHeight="1">
      <c r="A37" s="105">
        <v>35.0</v>
      </c>
      <c r="B37" s="102">
        <v>44629.44022</v>
      </c>
      <c r="C37" s="102">
        <v>47432.16907</v>
      </c>
      <c r="D37" s="102">
        <v>2802.728846</v>
      </c>
      <c r="E37" s="102">
        <v>110.4739311</v>
      </c>
      <c r="F37" s="102">
        <v>2692.254915</v>
      </c>
      <c r="G37" s="102">
        <v>559.9890223</v>
      </c>
      <c r="H37" s="102">
        <v>2132.265893</v>
      </c>
      <c r="I37" s="102">
        <v>1066.132946</v>
      </c>
      <c r="J37" s="102">
        <v>1066.132946</v>
      </c>
    </row>
    <row r="38" ht="15.0" customHeight="1">
      <c r="A38" s="106">
        <v>36.0</v>
      </c>
      <c r="B38" s="80">
        <v>45695.57317</v>
      </c>
      <c r="C38" s="80">
        <v>48565.25516</v>
      </c>
      <c r="D38" s="80">
        <v>2869.681995</v>
      </c>
      <c r="E38" s="80">
        <v>113.112994</v>
      </c>
      <c r="F38" s="80">
        <v>2756.569001</v>
      </c>
      <c r="G38" s="80">
        <v>573.3663522</v>
      </c>
      <c r="H38" s="80">
        <v>2183.202649</v>
      </c>
      <c r="I38" s="80">
        <v>1091.601324</v>
      </c>
      <c r="J38" s="80">
        <v>1091.601324</v>
      </c>
    </row>
    <row r="39" ht="15.0" customHeight="1">
      <c r="A39" s="105">
        <v>37.0</v>
      </c>
      <c r="B39" s="102">
        <v>46787.17449</v>
      </c>
      <c r="C39" s="102">
        <v>49725.40905</v>
      </c>
      <c r="D39" s="102">
        <v>2938.234558</v>
      </c>
      <c r="E39" s="102">
        <v>115.8151003</v>
      </c>
      <c r="F39" s="102">
        <v>2822.419458</v>
      </c>
      <c r="G39" s="102">
        <v>587.0632472</v>
      </c>
      <c r="H39" s="102">
        <v>2235.356211</v>
      </c>
      <c r="I39" s="102">
        <v>1117.678105</v>
      </c>
      <c r="J39" s="102">
        <v>1117.678105</v>
      </c>
    </row>
    <row r="40" ht="15.0" customHeight="1">
      <c r="A40" s="106">
        <v>38.0</v>
      </c>
      <c r="B40" s="80">
        <v>47904.8526</v>
      </c>
      <c r="C40" s="80">
        <v>50913.27734</v>
      </c>
      <c r="D40" s="80">
        <v>3008.424743</v>
      </c>
      <c r="E40" s="80">
        <v>118.5817559</v>
      </c>
      <c r="F40" s="80">
        <v>2889.842987</v>
      </c>
      <c r="G40" s="80">
        <v>601.0873413</v>
      </c>
      <c r="H40" s="80">
        <v>2288.755646</v>
      </c>
      <c r="I40" s="80">
        <v>1144.377823</v>
      </c>
      <c r="J40" s="80">
        <v>1144.377823</v>
      </c>
    </row>
    <row r="41" ht="15.0" customHeight="1">
      <c r="A41" s="105">
        <v>39.0</v>
      </c>
      <c r="B41" s="102">
        <v>49049.23042</v>
      </c>
      <c r="C41" s="102">
        <v>52129.52209</v>
      </c>
      <c r="D41" s="102">
        <v>3080.29167</v>
      </c>
      <c r="E41" s="102">
        <v>121.414503</v>
      </c>
      <c r="F41" s="102">
        <v>2958.877167</v>
      </c>
      <c r="G41" s="102">
        <v>615.4464508</v>
      </c>
      <c r="H41" s="102">
        <v>2343.430717</v>
      </c>
      <c r="I41" s="102">
        <v>1171.715358</v>
      </c>
      <c r="J41" s="102">
        <v>1171.715358</v>
      </c>
    </row>
    <row r="42" ht="15.0" customHeight="1">
      <c r="A42" s="106">
        <v>40.0</v>
      </c>
      <c r="B42" s="80">
        <v>50220.94578</v>
      </c>
      <c r="C42" s="80">
        <v>53374.82117</v>
      </c>
      <c r="D42" s="80">
        <v>3153.875395</v>
      </c>
      <c r="E42" s="80">
        <v>124.3149203</v>
      </c>
      <c r="F42" s="80">
        <v>3029.560475</v>
      </c>
      <c r="G42" s="80">
        <v>630.1485787</v>
      </c>
      <c r="H42" s="80">
        <v>2399.411896</v>
      </c>
      <c r="I42" s="80">
        <v>1199.705948</v>
      </c>
      <c r="J42" s="80">
        <v>1199.705948</v>
      </c>
    </row>
    <row r="43" ht="15.0" customHeight="1">
      <c r="A43" s="105">
        <v>41.0</v>
      </c>
      <c r="B43" s="102">
        <v>51420.65173</v>
      </c>
      <c r="C43" s="102">
        <v>54649.86866</v>
      </c>
      <c r="D43" s="102">
        <v>3229.216928</v>
      </c>
      <c r="E43" s="102">
        <v>127.2846245</v>
      </c>
      <c r="F43" s="102">
        <v>3101.932304</v>
      </c>
      <c r="G43" s="102">
        <v>645.2019192</v>
      </c>
      <c r="H43" s="102">
        <v>2456.730385</v>
      </c>
      <c r="I43" s="102">
        <v>1228.365192</v>
      </c>
      <c r="J43" s="102">
        <v>1228.365192</v>
      </c>
    </row>
    <row r="44" ht="15.0" customHeight="1">
      <c r="A44" s="106">
        <v>42.0</v>
      </c>
      <c r="B44" s="80">
        <v>52649.01692</v>
      </c>
      <c r="C44" s="80">
        <v>55955.37518</v>
      </c>
      <c r="D44" s="80">
        <v>3306.358263</v>
      </c>
      <c r="E44" s="80">
        <v>130.3252705</v>
      </c>
      <c r="F44" s="80">
        <v>3176.032992</v>
      </c>
      <c r="G44" s="80">
        <v>660.6148623</v>
      </c>
      <c r="H44" s="80">
        <v>2515.41813</v>
      </c>
      <c r="I44" s="80">
        <v>1257.709065</v>
      </c>
      <c r="J44" s="80">
        <v>1257.709065</v>
      </c>
    </row>
    <row r="45" ht="15.0" customHeight="1">
      <c r="A45" s="105">
        <v>43.0</v>
      </c>
      <c r="B45" s="102">
        <v>53906.72598</v>
      </c>
      <c r="C45" s="102">
        <v>57292.06838</v>
      </c>
      <c r="D45" s="102">
        <v>3385.342392</v>
      </c>
      <c r="E45" s="102">
        <v>133.4385532</v>
      </c>
      <c r="F45" s="102">
        <v>3251.903839</v>
      </c>
      <c r="G45" s="102">
        <v>676.3959984</v>
      </c>
      <c r="H45" s="102">
        <v>2575.50784</v>
      </c>
      <c r="I45" s="102">
        <v>1287.75392</v>
      </c>
      <c r="J45" s="102">
        <v>1287.75392</v>
      </c>
    </row>
    <row r="46" ht="15.0" customHeight="1">
      <c r="A46" s="106">
        <v>44.0</v>
      </c>
      <c r="B46" s="80">
        <v>55194.4799</v>
      </c>
      <c r="C46" s="80">
        <v>58660.69324</v>
      </c>
      <c r="D46" s="80">
        <v>3466.213338</v>
      </c>
      <c r="E46" s="80">
        <v>136.6262078</v>
      </c>
      <c r="F46" s="80">
        <v>3329.58713</v>
      </c>
      <c r="G46" s="80">
        <v>692.5541231</v>
      </c>
      <c r="H46" s="80">
        <v>2637.033007</v>
      </c>
      <c r="I46" s="80">
        <v>1318.516504</v>
      </c>
      <c r="J46" s="80">
        <v>1318.516504</v>
      </c>
    </row>
    <row r="47" ht="15.0" customHeight="1">
      <c r="A47" s="105">
        <v>45.0</v>
      </c>
      <c r="B47" s="102">
        <v>56512.99641</v>
      </c>
      <c r="C47" s="102">
        <v>60062.01258</v>
      </c>
      <c r="D47" s="102">
        <v>3549.016174</v>
      </c>
      <c r="E47" s="102">
        <v>139.8900108</v>
      </c>
      <c r="F47" s="102">
        <v>3409.126164</v>
      </c>
      <c r="G47" s="102">
        <v>709.098242</v>
      </c>
      <c r="H47" s="102">
        <v>2700.027922</v>
      </c>
      <c r="I47" s="102">
        <v>1350.013961</v>
      </c>
      <c r="J47" s="102">
        <v>1350.013961</v>
      </c>
    </row>
    <row r="48" ht="15.0" customHeight="1">
      <c r="A48" s="106">
        <v>46.0</v>
      </c>
      <c r="B48" s="80">
        <v>57863.01037</v>
      </c>
      <c r="C48" s="80">
        <v>61496.80742</v>
      </c>
      <c r="D48" s="80">
        <v>3633.797051</v>
      </c>
      <c r="E48" s="80">
        <v>143.2317813</v>
      </c>
      <c r="F48" s="80">
        <v>3490.56527</v>
      </c>
      <c r="G48" s="80">
        <v>726.0375761</v>
      </c>
      <c r="H48" s="80">
        <v>2764.527694</v>
      </c>
      <c r="I48" s="80">
        <v>1382.263847</v>
      </c>
      <c r="J48" s="80">
        <v>1382.263847</v>
      </c>
    </row>
    <row r="49" ht="15.0" customHeight="1">
      <c r="A49" s="105">
        <v>47.0</v>
      </c>
      <c r="B49" s="102">
        <v>59245.27422</v>
      </c>
      <c r="C49" s="102">
        <v>62965.87744</v>
      </c>
      <c r="D49" s="102">
        <v>3720.603221</v>
      </c>
      <c r="E49" s="102">
        <v>146.653382</v>
      </c>
      <c r="F49" s="102">
        <v>3573.949839</v>
      </c>
      <c r="G49" s="102">
        <v>743.3815665</v>
      </c>
      <c r="H49" s="102">
        <v>2830.568272</v>
      </c>
      <c r="I49" s="102">
        <v>1415.284136</v>
      </c>
      <c r="J49" s="102">
        <v>1415.284136</v>
      </c>
    </row>
    <row r="50" ht="15.0" customHeight="1">
      <c r="A50" s="106">
        <v>48.0</v>
      </c>
      <c r="B50" s="80">
        <v>60660.55835</v>
      </c>
      <c r="C50" s="80">
        <v>64470.04142</v>
      </c>
      <c r="D50" s="80">
        <v>3809.483065</v>
      </c>
      <c r="E50" s="80">
        <v>150.1567197</v>
      </c>
      <c r="F50" s="80">
        <v>3659.326345</v>
      </c>
      <c r="G50" s="80">
        <v>761.1398797</v>
      </c>
      <c r="H50" s="80">
        <v>2898.186465</v>
      </c>
      <c r="I50" s="80">
        <v>1449.093233</v>
      </c>
      <c r="J50" s="80">
        <v>1449.093233</v>
      </c>
    </row>
    <row r="51" ht="15.0" customHeight="1">
      <c r="A51" s="105">
        <v>49.0</v>
      </c>
      <c r="B51" s="102">
        <v>62109.65158</v>
      </c>
      <c r="C51" s="102">
        <v>66010.1377</v>
      </c>
      <c r="D51" s="102">
        <v>3900.48612</v>
      </c>
      <c r="E51" s="102">
        <v>153.7437471</v>
      </c>
      <c r="F51" s="102">
        <v>3746.742372</v>
      </c>
      <c r="G51" s="102">
        <v>779.3224135</v>
      </c>
      <c r="H51" s="102">
        <v>2967.419959</v>
      </c>
      <c r="I51" s="102">
        <v>1483.709979</v>
      </c>
      <c r="J51" s="102">
        <v>1483.709979</v>
      </c>
    </row>
    <row r="52" ht="15.0" customHeight="1">
      <c r="A52" s="106">
        <v>50.0</v>
      </c>
      <c r="B52" s="80">
        <v>63593.36156</v>
      </c>
      <c r="C52" s="80">
        <v>67587.02467</v>
      </c>
      <c r="D52" s="80">
        <v>3993.663106</v>
      </c>
      <c r="E52" s="80">
        <v>157.4164635</v>
      </c>
      <c r="F52" s="80">
        <v>3836.246643</v>
      </c>
      <c r="G52" s="80">
        <v>797.9393017</v>
      </c>
      <c r="H52" s="80">
        <v>3038.307341</v>
      </c>
      <c r="I52" s="80">
        <v>1519.153671</v>
      </c>
      <c r="J52" s="80">
        <v>1519.153671</v>
      </c>
    </row>
    <row r="53" ht="15.0" customHeight="1">
      <c r="A53" s="105">
        <v>51.0</v>
      </c>
      <c r="B53" s="102">
        <v>65112.51523</v>
      </c>
      <c r="C53" s="102">
        <v>69201.58119</v>
      </c>
      <c r="D53" s="102">
        <v>4089.065957</v>
      </c>
      <c r="E53" s="102">
        <v>161.1769157</v>
      </c>
      <c r="F53" s="102">
        <v>3927.889041</v>
      </c>
      <c r="G53" s="102">
        <v>817.0009205</v>
      </c>
      <c r="H53" s="102">
        <v>3110.88812</v>
      </c>
      <c r="I53" s="102">
        <v>1555.44406</v>
      </c>
      <c r="J53" s="102">
        <v>1555.44406</v>
      </c>
    </row>
    <row r="54" ht="15.0" customHeight="1">
      <c r="A54" s="106">
        <v>52.0</v>
      </c>
      <c r="B54" s="80">
        <v>66667.95929</v>
      </c>
      <c r="C54" s="80">
        <v>70854.70714</v>
      </c>
      <c r="D54" s="80">
        <v>4186.747844</v>
      </c>
      <c r="E54" s="80">
        <v>165.0271997</v>
      </c>
      <c r="F54" s="80">
        <v>4021.720644</v>
      </c>
      <c r="G54" s="80">
        <v>836.517894</v>
      </c>
      <c r="H54" s="80">
        <v>3185.20275</v>
      </c>
      <c r="I54" s="80">
        <v>1592.601375</v>
      </c>
      <c r="J54" s="80">
        <v>1592.601375</v>
      </c>
    </row>
    <row r="55" ht="15.0" customHeight="1">
      <c r="A55" s="105">
        <v>53.0</v>
      </c>
      <c r="B55" s="102">
        <v>68260.56067</v>
      </c>
      <c r="C55" s="102">
        <v>72547.32388</v>
      </c>
      <c r="D55" s="102">
        <v>4286.76321</v>
      </c>
      <c r="E55" s="102">
        <v>168.9694615</v>
      </c>
      <c r="F55" s="102">
        <v>4117.793749</v>
      </c>
      <c r="G55" s="102">
        <v>856.5010997</v>
      </c>
      <c r="H55" s="102">
        <v>3261.292649</v>
      </c>
      <c r="I55" s="102">
        <v>1630.646324</v>
      </c>
      <c r="J55" s="102">
        <v>1630.646324</v>
      </c>
    </row>
    <row r="56" ht="15.0" customHeight="1">
      <c r="A56" s="106">
        <v>54.0</v>
      </c>
      <c r="B56" s="80">
        <v>69891.20699</v>
      </c>
      <c r="C56" s="80">
        <v>74280.37479</v>
      </c>
      <c r="D56" s="80">
        <v>4389.167799</v>
      </c>
      <c r="E56" s="80">
        <v>173.0058981</v>
      </c>
      <c r="F56" s="80">
        <v>4216.161901</v>
      </c>
      <c r="G56" s="80">
        <v>876.9616754</v>
      </c>
      <c r="H56" s="80">
        <v>3339.200226</v>
      </c>
      <c r="I56" s="80">
        <v>1669.600113</v>
      </c>
      <c r="J56" s="80">
        <v>1669.600113</v>
      </c>
    </row>
    <row r="57" ht="15.0" customHeight="1">
      <c r="A57" s="105">
        <v>55.0</v>
      </c>
      <c r="B57" s="102">
        <v>71560.80711</v>
      </c>
      <c r="C57" s="102">
        <v>76054.82579</v>
      </c>
      <c r="D57" s="102">
        <v>4494.018686</v>
      </c>
      <c r="E57" s="102">
        <v>177.1387595</v>
      </c>
      <c r="F57" s="102">
        <v>4316.879927</v>
      </c>
      <c r="G57" s="102">
        <v>897.9110248</v>
      </c>
      <c r="H57" s="102">
        <v>3418.968902</v>
      </c>
      <c r="I57" s="102">
        <v>1709.484451</v>
      </c>
      <c r="J57" s="102">
        <v>1709.484451</v>
      </c>
    </row>
    <row r="58" ht="15.0" customHeight="1">
      <c r="A58" s="106">
        <v>56.0</v>
      </c>
      <c r="B58" s="80">
        <v>73270.29156</v>
      </c>
      <c r="C58" s="80">
        <v>77871.66587</v>
      </c>
      <c r="D58" s="80">
        <v>4601.37431</v>
      </c>
      <c r="E58" s="80">
        <v>181.3703489</v>
      </c>
      <c r="F58" s="80">
        <v>4420.003961</v>
      </c>
      <c r="G58" s="80">
        <v>919.3608239</v>
      </c>
      <c r="H58" s="80">
        <v>3500.643137</v>
      </c>
      <c r="I58" s="80">
        <v>1750.321569</v>
      </c>
      <c r="J58" s="80">
        <v>1750.321569</v>
      </c>
    </row>
    <row r="59" ht="15.0" customHeight="1">
      <c r="A59" s="105">
        <v>57.0</v>
      </c>
      <c r="B59" s="102">
        <v>75020.61313</v>
      </c>
      <c r="C59" s="102">
        <v>79731.90763</v>
      </c>
      <c r="D59" s="102">
        <v>4711.294504</v>
      </c>
      <c r="E59" s="102">
        <v>185.7030249</v>
      </c>
      <c r="F59" s="102">
        <v>4525.591479</v>
      </c>
      <c r="G59" s="102">
        <v>941.3230277</v>
      </c>
      <c r="H59" s="102">
        <v>3584.268452</v>
      </c>
      <c r="I59" s="102">
        <v>1792.134226</v>
      </c>
      <c r="J59" s="102">
        <v>1792.134226</v>
      </c>
    </row>
    <row r="60" ht="15.0" customHeight="1">
      <c r="A60" s="106">
        <v>58.0</v>
      </c>
      <c r="B60" s="80">
        <v>76812.74735</v>
      </c>
      <c r="C60" s="80">
        <v>81636.58789</v>
      </c>
      <c r="D60" s="80">
        <v>4823.840534</v>
      </c>
      <c r="E60" s="80">
        <v>190.1392023</v>
      </c>
      <c r="F60" s="80">
        <v>4633.701331</v>
      </c>
      <c r="G60" s="80">
        <v>963.8098769</v>
      </c>
      <c r="H60" s="80">
        <v>3669.891455</v>
      </c>
      <c r="I60" s="80">
        <v>1834.945727</v>
      </c>
      <c r="J60" s="80">
        <v>1834.945727</v>
      </c>
    </row>
    <row r="61" ht="15.0" customHeight="1">
      <c r="A61" s="105">
        <v>59.0</v>
      </c>
      <c r="B61" s="102">
        <v>78647.69308</v>
      </c>
      <c r="C61" s="102">
        <v>83586.76821</v>
      </c>
      <c r="D61" s="102">
        <v>4939.075125</v>
      </c>
      <c r="E61" s="102">
        <v>194.6813535</v>
      </c>
      <c r="F61" s="102">
        <v>4744.393772</v>
      </c>
      <c r="G61" s="102">
        <v>986.8339046</v>
      </c>
      <c r="H61" s="102">
        <v>3757.559867</v>
      </c>
      <c r="I61" s="102">
        <v>1878.779934</v>
      </c>
      <c r="J61" s="102">
        <v>1878.779934</v>
      </c>
    </row>
    <row r="62" ht="15.0" customHeight="1">
      <c r="A62" s="106">
        <v>60.0</v>
      </c>
      <c r="B62" s="80">
        <v>80526.47301</v>
      </c>
      <c r="C62" s="80">
        <v>85583.53552</v>
      </c>
      <c r="D62" s="80">
        <v>5057.062505</v>
      </c>
      <c r="E62" s="80">
        <v>199.3320102</v>
      </c>
      <c r="F62" s="80">
        <v>4857.730495</v>
      </c>
      <c r="G62" s="80">
        <v>1010.407943</v>
      </c>
      <c r="H62" s="80">
        <v>3847.322552</v>
      </c>
      <c r="I62" s="80">
        <v>1923.661276</v>
      </c>
      <c r="J62" s="80">
        <v>1923.661276</v>
      </c>
    </row>
    <row r="63" ht="15.0" customHeight="1">
      <c r="A63" s="105">
        <v>61.0</v>
      </c>
      <c r="B63" s="102">
        <v>82450.13429</v>
      </c>
      <c r="C63" s="102">
        <v>87628.00272</v>
      </c>
      <c r="D63" s="102">
        <v>5177.868433</v>
      </c>
      <c r="E63" s="102">
        <v>204.0937644</v>
      </c>
      <c r="F63" s="102">
        <v>4973.774669</v>
      </c>
      <c r="G63" s="102">
        <v>1034.545131</v>
      </c>
      <c r="H63" s="102">
        <v>3939.229538</v>
      </c>
      <c r="I63" s="102">
        <v>1969.614769</v>
      </c>
      <c r="J63" s="102">
        <v>1969.614769</v>
      </c>
    </row>
    <row r="64" ht="15.0" customHeight="1">
      <c r="A64" s="106">
        <v>62.0</v>
      </c>
      <c r="B64" s="80">
        <v>84419.74906</v>
      </c>
      <c r="C64" s="80">
        <v>89721.3093</v>
      </c>
      <c r="D64" s="80">
        <v>5301.560241</v>
      </c>
      <c r="E64" s="80">
        <v>208.96927</v>
      </c>
      <c r="F64" s="80">
        <v>5092.590971</v>
      </c>
      <c r="G64" s="80">
        <v>1059.258922</v>
      </c>
      <c r="H64" s="80">
        <v>4033.332049</v>
      </c>
      <c r="I64" s="80">
        <v>2016.666024</v>
      </c>
      <c r="J64" s="80">
        <v>2016.666024</v>
      </c>
    </row>
    <row r="65" ht="15.0" customHeight="1">
      <c r="A65" s="105">
        <v>63.0</v>
      </c>
      <c r="B65" s="102">
        <v>86436.41508</v>
      </c>
      <c r="C65" s="102">
        <v>91864.62195</v>
      </c>
      <c r="D65" s="102">
        <v>5428.206867</v>
      </c>
      <c r="E65" s="102">
        <v>213.9612444</v>
      </c>
      <c r="F65" s="102">
        <v>5214.245623</v>
      </c>
      <c r="G65" s="102">
        <v>1084.56309</v>
      </c>
      <c r="H65" s="102">
        <v>4129.682533</v>
      </c>
      <c r="I65" s="102">
        <v>2064.841267</v>
      </c>
      <c r="J65" s="102">
        <v>2064.841267</v>
      </c>
    </row>
    <row r="66" ht="15.0" customHeight="1">
      <c r="A66" s="106">
        <v>64.0</v>
      </c>
      <c r="B66" s="80">
        <v>88501.25635</v>
      </c>
      <c r="C66" s="80">
        <v>94059.13525</v>
      </c>
      <c r="D66" s="80">
        <v>5557.878899</v>
      </c>
      <c r="E66" s="80">
        <v>219.0724699</v>
      </c>
      <c r="F66" s="80">
        <v>5338.806429</v>
      </c>
      <c r="G66" s="80">
        <v>1110.471737</v>
      </c>
      <c r="H66" s="80">
        <v>4228.334692</v>
      </c>
      <c r="I66" s="80">
        <v>2114.167346</v>
      </c>
      <c r="J66" s="80">
        <v>2114.167346</v>
      </c>
    </row>
    <row r="67" ht="15.0" customHeight="1">
      <c r="A67" s="105">
        <v>65.0</v>
      </c>
      <c r="B67" s="102">
        <v>90615.4237</v>
      </c>
      <c r="C67" s="102">
        <v>96306.0723</v>
      </c>
      <c r="D67" s="102">
        <v>5690.648608</v>
      </c>
      <c r="E67" s="102">
        <v>224.3057952</v>
      </c>
      <c r="F67" s="102">
        <v>5466.342813</v>
      </c>
      <c r="G67" s="102">
        <v>1136.999305</v>
      </c>
      <c r="H67" s="102">
        <v>4329.343508</v>
      </c>
      <c r="I67" s="102">
        <v>2164.671754</v>
      </c>
      <c r="J67" s="102">
        <v>2164.671754</v>
      </c>
    </row>
    <row r="68" ht="15.0" customHeight="1">
      <c r="A68" s="106">
        <v>66.0</v>
      </c>
      <c r="B68" s="80">
        <v>92780.09545</v>
      </c>
      <c r="C68" s="80">
        <v>98606.68544</v>
      </c>
      <c r="D68" s="80">
        <v>5826.589994</v>
      </c>
      <c r="E68" s="80">
        <v>229.6641371</v>
      </c>
      <c r="F68" s="80">
        <v>5596.925857</v>
      </c>
      <c r="G68" s="80">
        <v>1164.160578</v>
      </c>
      <c r="H68" s="80">
        <v>4432.765279</v>
      </c>
      <c r="I68" s="80">
        <v>2216.382639</v>
      </c>
      <c r="J68" s="80">
        <v>2216.382639</v>
      </c>
    </row>
    <row r="69" ht="15.0" customHeight="1">
      <c r="A69" s="105">
        <v>67.0</v>
      </c>
      <c r="B69" s="102">
        <v>94996.47809</v>
      </c>
      <c r="C69" s="102">
        <v>100962.2569</v>
      </c>
      <c r="D69" s="102">
        <v>5965.778824</v>
      </c>
      <c r="E69" s="102">
        <v>235.150482</v>
      </c>
      <c r="F69" s="102">
        <v>5730.628342</v>
      </c>
      <c r="G69" s="102">
        <v>1191.970695</v>
      </c>
      <c r="H69" s="102">
        <v>4538.657647</v>
      </c>
      <c r="I69" s="102">
        <v>2269.328823</v>
      </c>
      <c r="J69" s="102">
        <v>2269.328823</v>
      </c>
    </row>
    <row r="70" ht="15.0" customHeight="1">
      <c r="A70" s="106">
        <v>68.0</v>
      </c>
      <c r="B70" s="80">
        <v>97265.80691</v>
      </c>
      <c r="C70" s="80">
        <v>103374.0996</v>
      </c>
      <c r="D70" s="80">
        <v>6108.292674</v>
      </c>
      <c r="E70" s="80">
        <v>240.7678878</v>
      </c>
      <c r="F70" s="80">
        <v>5867.524786</v>
      </c>
      <c r="G70" s="80">
        <v>1220.445156</v>
      </c>
      <c r="H70" s="80">
        <v>4647.079631</v>
      </c>
      <c r="I70" s="80">
        <v>2323.539815</v>
      </c>
      <c r="J70" s="80">
        <v>2323.539815</v>
      </c>
    </row>
    <row r="71" ht="15.0" customHeight="1">
      <c r="A71" s="105">
        <v>69.0</v>
      </c>
      <c r="B71" s="102">
        <v>99589.34673</v>
      </c>
      <c r="C71" s="102">
        <v>105843.5577</v>
      </c>
      <c r="D71" s="102">
        <v>6254.210974</v>
      </c>
      <c r="E71" s="102">
        <v>246.5194853</v>
      </c>
      <c r="F71" s="102">
        <v>6007.691489</v>
      </c>
      <c r="G71" s="102">
        <v>1249.59983</v>
      </c>
      <c r="H71" s="102">
        <v>4758.091659</v>
      </c>
      <c r="I71" s="102">
        <v>2379.04583</v>
      </c>
      <c r="J71" s="102">
        <v>2379.04583</v>
      </c>
    </row>
    <row r="72" ht="15.0" customHeight="1">
      <c r="A72" s="106">
        <v>70.0</v>
      </c>
      <c r="B72" s="80">
        <v>101968.3926</v>
      </c>
      <c r="C72" s="80">
        <v>108372.0076</v>
      </c>
      <c r="D72" s="80">
        <v>6403.615053</v>
      </c>
      <c r="E72" s="80">
        <v>252.4084802</v>
      </c>
      <c r="F72" s="80">
        <v>6151.206572</v>
      </c>
      <c r="G72" s="80">
        <v>1279.450967</v>
      </c>
      <c r="H72" s="80">
        <v>4871.755605</v>
      </c>
      <c r="I72" s="80">
        <v>2435.877803</v>
      </c>
      <c r="J72" s="80">
        <v>2435.877803</v>
      </c>
    </row>
    <row r="73" ht="15.0" customHeight="1">
      <c r="A73" s="105">
        <v>71.0</v>
      </c>
      <c r="B73" s="102">
        <v>104404.2704</v>
      </c>
      <c r="C73" s="102">
        <v>110960.8585</v>
      </c>
      <c r="D73" s="102">
        <v>6556.588179</v>
      </c>
      <c r="E73" s="102">
        <v>258.4381547</v>
      </c>
      <c r="F73" s="102">
        <v>6298.150024</v>
      </c>
      <c r="G73" s="102">
        <v>1310.015205</v>
      </c>
      <c r="H73" s="102">
        <v>4988.134819</v>
      </c>
      <c r="I73" s="102">
        <v>2494.067409</v>
      </c>
      <c r="J73" s="102">
        <v>2494.067409</v>
      </c>
    </row>
    <row r="74" ht="15.0" customHeight="1">
      <c r="A74" s="106">
        <v>72.0</v>
      </c>
      <c r="B74" s="80">
        <v>106898.3378</v>
      </c>
      <c r="C74" s="80">
        <v>113611.5534</v>
      </c>
      <c r="D74" s="80">
        <v>6713.215612</v>
      </c>
      <c r="E74" s="80">
        <v>264.6118694</v>
      </c>
      <c r="F74" s="80">
        <v>6448.603743</v>
      </c>
      <c r="G74" s="80">
        <v>1341.309578</v>
      </c>
      <c r="H74" s="80">
        <v>5107.294164</v>
      </c>
      <c r="I74" s="80">
        <v>2553.647082</v>
      </c>
      <c r="J74" s="80">
        <v>2553.647082</v>
      </c>
    </row>
    <row r="75" ht="15.0" customHeight="1">
      <c r="A75" s="105">
        <v>73.0</v>
      </c>
      <c r="B75" s="102">
        <v>109451.9849</v>
      </c>
      <c r="C75" s="102">
        <v>116325.5695</v>
      </c>
      <c r="D75" s="102">
        <v>6873.584649</v>
      </c>
      <c r="E75" s="102">
        <v>270.9330652</v>
      </c>
      <c r="F75" s="102">
        <v>6602.651583</v>
      </c>
      <c r="G75" s="102">
        <v>1373.351529</v>
      </c>
      <c r="H75" s="102">
        <v>5229.300054</v>
      </c>
      <c r="I75" s="102">
        <v>2614.650027</v>
      </c>
      <c r="J75" s="102">
        <v>2614.650027</v>
      </c>
    </row>
    <row r="76" ht="15.0" customHeight="1">
      <c r="A76" s="106">
        <v>74.0</v>
      </c>
      <c r="B76" s="80">
        <v>112066.6349</v>
      </c>
      <c r="C76" s="80">
        <v>119104.4195</v>
      </c>
      <c r="D76" s="80">
        <v>7037.78467</v>
      </c>
      <c r="E76" s="80">
        <v>277.4052653</v>
      </c>
      <c r="F76" s="80">
        <v>6760.379405</v>
      </c>
      <c r="G76" s="80">
        <v>1406.158916</v>
      </c>
      <c r="H76" s="80">
        <v>5354.220489</v>
      </c>
      <c r="I76" s="80">
        <v>2677.110244</v>
      </c>
      <c r="J76" s="80">
        <v>2677.110244</v>
      </c>
    </row>
    <row r="77" ht="15.0" customHeight="1">
      <c r="A77" s="105">
        <v>75.0</v>
      </c>
      <c r="B77" s="102">
        <v>114743.7451</v>
      </c>
      <c r="C77" s="102">
        <v>121949.6523</v>
      </c>
      <c r="D77" s="102">
        <v>7205.907194</v>
      </c>
      <c r="E77" s="102">
        <v>284.0320769</v>
      </c>
      <c r="F77" s="102">
        <v>6921.875117</v>
      </c>
      <c r="G77" s="102">
        <v>1439.750024</v>
      </c>
      <c r="H77" s="102">
        <v>5482.125092</v>
      </c>
      <c r="I77" s="102">
        <v>2741.062546</v>
      </c>
      <c r="J77" s="102">
        <v>2741.062546</v>
      </c>
    </row>
    <row r="78" ht="15.0" customHeight="1">
      <c r="A78" s="106">
        <v>76.0</v>
      </c>
      <c r="B78" s="80">
        <v>117484.8077</v>
      </c>
      <c r="C78" s="80">
        <v>124862.8536</v>
      </c>
      <c r="D78" s="80">
        <v>7378.045922</v>
      </c>
      <c r="E78" s="80">
        <v>290.8171935</v>
      </c>
      <c r="F78" s="80">
        <v>7087.228728</v>
      </c>
      <c r="G78" s="80">
        <v>1474.143575</v>
      </c>
      <c r="H78" s="80">
        <v>5613.085153</v>
      </c>
      <c r="I78" s="80">
        <v>2806.542576</v>
      </c>
      <c r="J78" s="80">
        <v>2806.542576</v>
      </c>
    </row>
    <row r="79" ht="15.0" customHeight="1">
      <c r="A79" s="105">
        <v>77.0</v>
      </c>
      <c r="B79" s="102">
        <v>120291.3502</v>
      </c>
      <c r="C79" s="102">
        <v>127845.647</v>
      </c>
      <c r="D79" s="102">
        <v>7554.296795</v>
      </c>
      <c r="E79" s="102">
        <v>297.7643967</v>
      </c>
      <c r="F79" s="102">
        <v>7256.532399</v>
      </c>
      <c r="G79" s="102">
        <v>1509.358739</v>
      </c>
      <c r="H79" s="102">
        <v>5747.17366</v>
      </c>
      <c r="I79" s="102">
        <v>2873.58683</v>
      </c>
      <c r="J79" s="102">
        <v>2873.58683</v>
      </c>
    </row>
    <row r="80" ht="15.0" customHeight="1">
      <c r="A80" s="106">
        <v>78.0</v>
      </c>
      <c r="B80" s="80">
        <v>123164.9371</v>
      </c>
      <c r="C80" s="80">
        <v>130899.6951</v>
      </c>
      <c r="D80" s="80">
        <v>7734.758048</v>
      </c>
      <c r="E80" s="80">
        <v>304.8775586</v>
      </c>
      <c r="F80" s="80">
        <v>7429.88049</v>
      </c>
      <c r="G80" s="80">
        <v>1545.415142</v>
      </c>
      <c r="H80" s="80">
        <v>5884.465348</v>
      </c>
      <c r="I80" s="80">
        <v>2942.232674</v>
      </c>
      <c r="J80" s="80">
        <v>2942.232674</v>
      </c>
    </row>
    <row r="81" ht="15.0" customHeight="1">
      <c r="A81" s="105">
        <v>79.0</v>
      </c>
      <c r="B81" s="102">
        <v>126107.1697</v>
      </c>
      <c r="C81" s="102">
        <v>134026.7</v>
      </c>
      <c r="D81" s="102">
        <v>7919.53026</v>
      </c>
      <c r="E81" s="102">
        <v>312.1606437</v>
      </c>
      <c r="F81" s="102">
        <v>7607.369617</v>
      </c>
      <c r="G81" s="102">
        <v>1582.33288</v>
      </c>
      <c r="H81" s="102">
        <v>6025.036736</v>
      </c>
      <c r="I81" s="102">
        <v>3012.518368</v>
      </c>
      <c r="J81" s="102">
        <v>3012.518368</v>
      </c>
    </row>
    <row r="82" ht="15.0" customHeight="1">
      <c r="A82" s="106">
        <v>80.0</v>
      </c>
      <c r="B82" s="80">
        <v>129119.6881</v>
      </c>
      <c r="C82" s="80">
        <v>137228.4045</v>
      </c>
      <c r="D82" s="80">
        <v>8108.716414</v>
      </c>
      <c r="E82" s="80">
        <v>319.6177112</v>
      </c>
      <c r="F82" s="80">
        <v>7789.098703</v>
      </c>
      <c r="G82" s="80">
        <v>1620.13253</v>
      </c>
      <c r="H82" s="80">
        <v>6168.966172</v>
      </c>
      <c r="I82" s="80">
        <v>3084.483086</v>
      </c>
      <c r="J82" s="80">
        <v>3084.483086</v>
      </c>
    </row>
    <row r="83" ht="15.0" customHeight="1">
      <c r="A83" s="105">
        <v>81.0</v>
      </c>
      <c r="B83" s="102">
        <v>132204.1712</v>
      </c>
      <c r="C83" s="102">
        <v>140506.5932</v>
      </c>
      <c r="D83" s="102">
        <v>8302.421952</v>
      </c>
      <c r="E83" s="102">
        <v>327.2529172</v>
      </c>
      <c r="F83" s="102">
        <v>7975.169034</v>
      </c>
      <c r="G83" s="102">
        <v>1658.835159</v>
      </c>
      <c r="H83" s="102">
        <v>6316.333875</v>
      </c>
      <c r="I83" s="102">
        <v>3158.166938</v>
      </c>
      <c r="J83" s="102">
        <v>3158.166938</v>
      </c>
    </row>
    <row r="84" ht="15.0" customHeight="1">
      <c r="A84" s="106">
        <v>82.0</v>
      </c>
      <c r="B84" s="80">
        <v>135362.3381</v>
      </c>
      <c r="C84" s="80">
        <v>143863.093</v>
      </c>
      <c r="D84" s="80">
        <v>8500.754835</v>
      </c>
      <c r="E84" s="80">
        <v>335.0705173</v>
      </c>
      <c r="F84" s="80">
        <v>8165.684318</v>
      </c>
      <c r="G84" s="80">
        <v>1698.462338</v>
      </c>
      <c r="H84" s="80">
        <v>6467.22198</v>
      </c>
      <c r="I84" s="80">
        <v>3233.61099</v>
      </c>
      <c r="J84" s="80">
        <v>3233.61099</v>
      </c>
    </row>
    <row r="85" ht="15.0" customHeight="1">
      <c r="A85" s="105">
        <v>83.0</v>
      </c>
      <c r="B85" s="102">
        <v>138595.9491</v>
      </c>
      <c r="C85" s="102">
        <v>147299.7747</v>
      </c>
      <c r="D85" s="102">
        <v>8703.825605</v>
      </c>
      <c r="E85" s="102">
        <v>343.0748686</v>
      </c>
      <c r="F85" s="102">
        <v>8360.750737</v>
      </c>
      <c r="G85" s="102">
        <v>1739.036153</v>
      </c>
      <c r="H85" s="102">
        <v>6621.714584</v>
      </c>
      <c r="I85" s="102">
        <v>3310.857292</v>
      </c>
      <c r="J85" s="102">
        <v>3310.857292</v>
      </c>
    </row>
    <row r="86" ht="15.0" customHeight="1">
      <c r="A86" s="106">
        <v>84.0</v>
      </c>
      <c r="B86" s="80">
        <v>141906.8064</v>
      </c>
      <c r="C86" s="80">
        <v>150818.5539</v>
      </c>
      <c r="D86" s="80">
        <v>8911.747443</v>
      </c>
      <c r="E86" s="80">
        <v>351.2704323</v>
      </c>
      <c r="F86" s="80">
        <v>8560.477011</v>
      </c>
      <c r="G86" s="80">
        <v>1780.579218</v>
      </c>
      <c r="H86" s="80">
        <v>6779.897793</v>
      </c>
      <c r="I86" s="80">
        <v>3389.948896</v>
      </c>
      <c r="J86" s="80">
        <v>3389.948896</v>
      </c>
    </row>
    <row r="87" ht="15.0" customHeight="1">
      <c r="A87" s="105">
        <v>85.0</v>
      </c>
      <c r="B87" s="102">
        <v>145296.7553</v>
      </c>
      <c r="C87" s="102">
        <v>154421.3916</v>
      </c>
      <c r="D87" s="102">
        <v>9124.636234</v>
      </c>
      <c r="E87" s="102">
        <v>359.6617762</v>
      </c>
      <c r="F87" s="102">
        <v>8764.974458</v>
      </c>
      <c r="G87" s="102">
        <v>1823.114687</v>
      </c>
      <c r="H87" s="102">
        <v>6941.859771</v>
      </c>
      <c r="I87" s="102">
        <v>3470.929885</v>
      </c>
      <c r="J87" s="102">
        <v>3470.929885</v>
      </c>
    </row>
    <row r="88" ht="15.0" customHeight="1">
      <c r="A88" s="106">
        <v>86.0</v>
      </c>
      <c r="B88" s="80">
        <v>148767.6852</v>
      </c>
      <c r="C88" s="80">
        <v>158110.2958</v>
      </c>
      <c r="D88" s="80">
        <v>9342.610631</v>
      </c>
      <c r="E88" s="80">
        <v>368.2535772</v>
      </c>
      <c r="F88" s="80">
        <v>8974.357054</v>
      </c>
      <c r="G88" s="80">
        <v>1866.666267</v>
      </c>
      <c r="H88" s="80">
        <v>7107.690786</v>
      </c>
      <c r="I88" s="80">
        <v>3553.845393</v>
      </c>
      <c r="J88" s="80">
        <v>3553.845393</v>
      </c>
    </row>
    <row r="89" ht="15.0" customHeight="1">
      <c r="A89" s="105">
        <v>87.0</v>
      </c>
      <c r="B89" s="102">
        <v>152321.5306</v>
      </c>
      <c r="C89" s="102">
        <v>161887.3227</v>
      </c>
      <c r="D89" s="102">
        <v>9565.792122</v>
      </c>
      <c r="E89" s="102">
        <v>377.050624</v>
      </c>
      <c r="F89" s="102">
        <v>9188.741498</v>
      </c>
      <c r="G89" s="102">
        <v>1911.258231</v>
      </c>
      <c r="H89" s="102">
        <v>7277.483266</v>
      </c>
      <c r="I89" s="102">
        <v>3638.741633</v>
      </c>
      <c r="J89" s="102">
        <v>3638.741633</v>
      </c>
    </row>
    <row r="90" ht="15.0" customHeight="1">
      <c r="A90" s="106">
        <v>88.0</v>
      </c>
      <c r="B90" s="80">
        <v>155960.2722</v>
      </c>
      <c r="C90" s="80">
        <v>165754.5773</v>
      </c>
      <c r="D90" s="80">
        <v>9794.305096</v>
      </c>
      <c r="E90" s="80">
        <v>386.0578195</v>
      </c>
      <c r="F90" s="80">
        <v>9408.247277</v>
      </c>
      <c r="G90" s="80">
        <v>1956.915434</v>
      </c>
      <c r="H90" s="80">
        <v>7451.331843</v>
      </c>
      <c r="I90" s="80">
        <v>3725.665922</v>
      </c>
      <c r="J90" s="80">
        <v>3725.665922</v>
      </c>
    </row>
    <row r="91" ht="15.0" customHeight="1">
      <c r="A91" s="105">
        <v>89.0</v>
      </c>
      <c r="B91" s="102">
        <v>159685.9382</v>
      </c>
      <c r="C91" s="102">
        <v>169714.2151</v>
      </c>
      <c r="D91" s="102">
        <v>10028.27692</v>
      </c>
      <c r="E91" s="102">
        <v>395.2801839</v>
      </c>
      <c r="F91" s="102">
        <v>9632.996732</v>
      </c>
      <c r="G91" s="102">
        <v>2003.66332</v>
      </c>
      <c r="H91" s="102">
        <v>7629.333412</v>
      </c>
      <c r="I91" s="102">
        <v>3814.666706</v>
      </c>
      <c r="J91" s="102">
        <v>3814.666706</v>
      </c>
    </row>
    <row r="92" ht="15.0" customHeight="1">
      <c r="A92" s="106">
        <v>90.0</v>
      </c>
      <c r="B92" s="80">
        <v>163500.6049</v>
      </c>
      <c r="C92" s="80">
        <v>173768.4428</v>
      </c>
      <c r="D92" s="80">
        <v>10267.83799</v>
      </c>
      <c r="E92" s="80">
        <v>404.7228572</v>
      </c>
      <c r="F92" s="80">
        <v>9863.115128</v>
      </c>
      <c r="G92" s="80">
        <v>2051.527947</v>
      </c>
      <c r="H92" s="80">
        <v>7811.587181</v>
      </c>
      <c r="I92" s="80">
        <v>3905.793591</v>
      </c>
      <c r="J92" s="80">
        <v>3905.793591</v>
      </c>
    </row>
    <row r="93" ht="15.0" customHeight="1">
      <c r="A93" s="105">
        <v>91.0</v>
      </c>
      <c r="B93" s="102">
        <v>167406.3984</v>
      </c>
      <c r="C93" s="102">
        <v>177919.5203</v>
      </c>
      <c r="D93" s="102">
        <v>10513.12182</v>
      </c>
      <c r="E93" s="102">
        <v>414.3911025</v>
      </c>
      <c r="F93" s="102">
        <v>10098.73072</v>
      </c>
      <c r="G93" s="102">
        <v>2100.53599</v>
      </c>
      <c r="H93" s="102">
        <v>7998.19473</v>
      </c>
      <c r="I93" s="102">
        <v>3999.097365</v>
      </c>
      <c r="J93" s="102">
        <v>3999.097365</v>
      </c>
    </row>
    <row r="94" ht="15.0" customHeight="1">
      <c r="A94" s="106">
        <v>92.0</v>
      </c>
      <c r="B94" s="80">
        <v>171405.4958</v>
      </c>
      <c r="C94" s="80">
        <v>182169.761</v>
      </c>
      <c r="D94" s="80">
        <v>10764.26514</v>
      </c>
      <c r="E94" s="80">
        <v>424.2903081</v>
      </c>
      <c r="F94" s="80">
        <v>10339.97483</v>
      </c>
      <c r="G94" s="80">
        <v>2150.714764</v>
      </c>
      <c r="H94" s="80">
        <v>8189.260065</v>
      </c>
      <c r="I94" s="80">
        <v>4094.630032</v>
      </c>
      <c r="J94" s="80">
        <v>4094.630032</v>
      </c>
    </row>
    <row r="95" ht="15.0" customHeight="1">
      <c r="A95" s="105">
        <v>93.0</v>
      </c>
      <c r="B95" s="102">
        <v>175500.1258</v>
      </c>
      <c r="C95" s="102">
        <v>186521.5337</v>
      </c>
      <c r="D95" s="102">
        <v>11021.4079</v>
      </c>
      <c r="E95" s="102">
        <v>434.4259915</v>
      </c>
      <c r="F95" s="102">
        <v>10586.98191</v>
      </c>
      <c r="G95" s="102">
        <v>2202.092238</v>
      </c>
      <c r="H95" s="102">
        <v>8384.889674</v>
      </c>
      <c r="I95" s="102">
        <v>4192.444837</v>
      </c>
      <c r="J95" s="102">
        <v>4192.444837</v>
      </c>
    </row>
    <row r="96" ht="15.0" customHeight="1">
      <c r="A96" s="106">
        <v>94.0</v>
      </c>
      <c r="B96" s="80">
        <v>179692.5707</v>
      </c>
      <c r="C96" s="80">
        <v>190977.2641</v>
      </c>
      <c r="D96" s="80">
        <v>11284.69344</v>
      </c>
      <c r="E96" s="80">
        <v>444.8038018</v>
      </c>
      <c r="F96" s="80">
        <v>10839.88964</v>
      </c>
      <c r="G96" s="80">
        <v>2254.697045</v>
      </c>
      <c r="H96" s="80">
        <v>8585.192593</v>
      </c>
      <c r="I96" s="80">
        <v>4292.596296</v>
      </c>
      <c r="J96" s="80">
        <v>4292.596296</v>
      </c>
    </row>
    <row r="97" ht="15.0" customHeight="1">
      <c r="A97" s="105">
        <v>95.0</v>
      </c>
      <c r="B97" s="102">
        <v>183985.167</v>
      </c>
      <c r="C97" s="102">
        <v>195539.4355</v>
      </c>
      <c r="D97" s="102">
        <v>11554.26849</v>
      </c>
      <c r="E97" s="102">
        <v>455.4295229</v>
      </c>
      <c r="F97" s="102">
        <v>11098.83896</v>
      </c>
      <c r="G97" s="102">
        <v>2308.558504</v>
      </c>
      <c r="H97" s="102">
        <v>8790.280459</v>
      </c>
      <c r="I97" s="102">
        <v>4395.14023</v>
      </c>
      <c r="J97" s="102">
        <v>4395.14023</v>
      </c>
    </row>
    <row r="98" ht="15.0" customHeight="1">
      <c r="A98" s="106">
        <v>96.0</v>
      </c>
      <c r="B98" s="80">
        <v>188380.3072</v>
      </c>
      <c r="C98" s="80">
        <v>200210.5905</v>
      </c>
      <c r="D98" s="80">
        <v>11830.28329</v>
      </c>
      <c r="E98" s="80">
        <v>466.3090773</v>
      </c>
      <c r="F98" s="80">
        <v>11363.97422</v>
      </c>
      <c r="G98" s="80">
        <v>2363.706637</v>
      </c>
      <c r="H98" s="80">
        <v>9000.267579</v>
      </c>
      <c r="I98" s="80">
        <v>4500.133789</v>
      </c>
      <c r="J98" s="80">
        <v>4500.133789</v>
      </c>
    </row>
    <row r="99" ht="15.0" customHeight="1">
      <c r="A99" s="105">
        <v>97.0</v>
      </c>
      <c r="B99" s="102">
        <v>192880.441</v>
      </c>
      <c r="C99" s="102">
        <v>204993.3327</v>
      </c>
      <c r="D99" s="102">
        <v>12112.89169</v>
      </c>
      <c r="E99" s="102">
        <v>477.4485284</v>
      </c>
      <c r="F99" s="102">
        <v>11635.44317</v>
      </c>
      <c r="G99" s="102">
        <v>2420.172179</v>
      </c>
      <c r="H99" s="102">
        <v>9215.270988</v>
      </c>
      <c r="I99" s="102">
        <v>4607.635494</v>
      </c>
      <c r="J99" s="102">
        <v>4607.635494</v>
      </c>
    </row>
    <row r="100" ht="15.0" customHeight="1">
      <c r="A100" s="106">
        <v>98.0</v>
      </c>
      <c r="B100" s="80">
        <v>197488.0765</v>
      </c>
      <c r="C100" s="80">
        <v>209890.3277</v>
      </c>
      <c r="D100" s="80">
        <v>12402.2512</v>
      </c>
      <c r="E100" s="80">
        <v>488.854085</v>
      </c>
      <c r="F100" s="80">
        <v>11913.39712</v>
      </c>
      <c r="G100" s="80">
        <v>2477.986601</v>
      </c>
      <c r="H100" s="80">
        <v>9435.410518</v>
      </c>
      <c r="I100" s="80">
        <v>4717.705259</v>
      </c>
      <c r="J100" s="80">
        <v>4717.705259</v>
      </c>
    </row>
    <row r="101" ht="15.0" customHeight="1">
      <c r="A101" s="105">
        <v>99.0</v>
      </c>
      <c r="B101" s="102">
        <v>202205.7818</v>
      </c>
      <c r="C101" s="102">
        <v>214904.3048</v>
      </c>
      <c r="D101" s="102">
        <v>12698.52309</v>
      </c>
      <c r="E101" s="102">
        <v>500.5321039</v>
      </c>
      <c r="F101" s="102">
        <v>12197.99099</v>
      </c>
      <c r="G101" s="102">
        <v>2537.182126</v>
      </c>
      <c r="H101" s="102">
        <v>9660.808864</v>
      </c>
      <c r="I101" s="102">
        <v>4830.404432</v>
      </c>
      <c r="J101" s="102">
        <v>4830.404432</v>
      </c>
    </row>
    <row r="102" ht="15.0" customHeight="1">
      <c r="A102" s="106">
        <v>100.0</v>
      </c>
      <c r="B102" s="80">
        <v>207036.1862</v>
      </c>
      <c r="C102" s="80">
        <v>220038.0587</v>
      </c>
      <c r="D102" s="80">
        <v>13001.87249</v>
      </c>
      <c r="E102" s="80">
        <v>512.4890938</v>
      </c>
      <c r="F102" s="80">
        <v>12489.3834</v>
      </c>
      <c r="G102" s="80">
        <v>2597.791747</v>
      </c>
      <c r="H102" s="80">
        <v>9891.591652</v>
      </c>
      <c r="I102" s="80">
        <v>4945.795826</v>
      </c>
      <c r="J102" s="80">
        <v>4945.795826</v>
      </c>
    </row>
    <row r="103" ht="15.0" customHeight="1">
      <c r="A103" s="105">
        <v>101.0</v>
      </c>
      <c r="B103" s="102">
        <v>211981.982</v>
      </c>
      <c r="C103" s="102">
        <v>225294.4505</v>
      </c>
      <c r="D103" s="102">
        <v>13312.46847</v>
      </c>
      <c r="E103" s="102">
        <v>524.731719</v>
      </c>
      <c r="F103" s="102">
        <v>12787.73675</v>
      </c>
      <c r="G103" s="102">
        <v>2659.849244</v>
      </c>
      <c r="H103" s="102">
        <v>10127.88751</v>
      </c>
      <c r="I103" s="102">
        <v>5063.943753</v>
      </c>
      <c r="J103" s="102">
        <v>5063.943753</v>
      </c>
    </row>
    <row r="104" ht="15.0" customHeight="1">
      <c r="A104" s="106">
        <v>102.0</v>
      </c>
      <c r="B104" s="80">
        <v>217045.9258</v>
      </c>
      <c r="C104" s="80">
        <v>230676.4099</v>
      </c>
      <c r="D104" s="80">
        <v>13630.48414</v>
      </c>
      <c r="E104" s="80">
        <v>537.2668028</v>
      </c>
      <c r="F104" s="80">
        <v>13093.21734</v>
      </c>
      <c r="G104" s="80">
        <v>2723.389206</v>
      </c>
      <c r="H104" s="80">
        <v>10369.82813</v>
      </c>
      <c r="I104" s="80">
        <v>5184.914065</v>
      </c>
      <c r="J104" s="80">
        <v>5184.914065</v>
      </c>
    </row>
    <row r="105" ht="15.0" customHeight="1">
      <c r="A105" s="105">
        <v>103.0</v>
      </c>
      <c r="B105" s="102">
        <v>222230.8398</v>
      </c>
      <c r="C105" s="102">
        <v>236186.9366</v>
      </c>
      <c r="D105" s="102">
        <v>13956.09674</v>
      </c>
      <c r="E105" s="102">
        <v>550.1013317</v>
      </c>
      <c r="F105" s="102">
        <v>13405.99541</v>
      </c>
      <c r="G105" s="102">
        <v>2788.447045</v>
      </c>
      <c r="H105" s="102">
        <v>10617.54836</v>
      </c>
      <c r="I105" s="102">
        <v>5308.774182</v>
      </c>
      <c r="J105" s="102">
        <v>5308.774182</v>
      </c>
    </row>
    <row r="106" ht="15.0" customHeight="1">
      <c r="A106" s="106">
        <v>104.0</v>
      </c>
      <c r="B106" s="80">
        <v>227539.614</v>
      </c>
      <c r="C106" s="80">
        <v>241829.1018</v>
      </c>
      <c r="D106" s="80">
        <v>14289.48776</v>
      </c>
      <c r="E106" s="80">
        <v>563.2424589</v>
      </c>
      <c r="F106" s="80">
        <v>13726.2453</v>
      </c>
      <c r="G106" s="80">
        <v>2855.059023</v>
      </c>
      <c r="H106" s="80">
        <v>10871.18628</v>
      </c>
      <c r="I106" s="80">
        <v>5435.593139</v>
      </c>
      <c r="J106" s="80">
        <v>5435.593139</v>
      </c>
    </row>
    <row r="107" ht="15.0" customHeight="1">
      <c r="A107" s="105">
        <v>105.0</v>
      </c>
      <c r="B107" s="102">
        <v>232975.2071</v>
      </c>
      <c r="C107" s="102">
        <v>247606.0502</v>
      </c>
      <c r="D107" s="102">
        <v>14630.84301</v>
      </c>
      <c r="E107" s="102">
        <v>576.6975088</v>
      </c>
      <c r="F107" s="102">
        <v>14054.1455</v>
      </c>
      <c r="G107" s="102">
        <v>2923.262264</v>
      </c>
      <c r="H107" s="102">
        <v>11130.88324</v>
      </c>
      <c r="I107" s="102">
        <v>5565.441618</v>
      </c>
      <c r="J107" s="102">
        <v>5565.441618</v>
      </c>
    </row>
    <row r="108" ht="15.0" customHeight="1">
      <c r="A108" s="106">
        <v>106.0</v>
      </c>
      <c r="B108" s="80">
        <v>238540.6488</v>
      </c>
      <c r="C108" s="80">
        <v>253521.0015</v>
      </c>
      <c r="D108" s="80">
        <v>14980.35274</v>
      </c>
      <c r="E108" s="80">
        <v>590.4739803</v>
      </c>
      <c r="F108" s="80">
        <v>14389.87876</v>
      </c>
      <c r="G108" s="80">
        <v>2993.094783</v>
      </c>
      <c r="H108" s="80">
        <v>11396.78398</v>
      </c>
      <c r="I108" s="80">
        <v>5698.39199</v>
      </c>
      <c r="J108" s="80">
        <v>5698.39199</v>
      </c>
    </row>
    <row r="109" ht="15.0" customHeight="1">
      <c r="A109" s="105">
        <v>107.0</v>
      </c>
      <c r="B109" s="102">
        <v>244239.0408</v>
      </c>
      <c r="C109" s="102">
        <v>259577.2525</v>
      </c>
      <c r="D109" s="102">
        <v>15338.21176</v>
      </c>
      <c r="E109" s="102">
        <v>604.5795519</v>
      </c>
      <c r="F109" s="102">
        <v>14733.63221</v>
      </c>
      <c r="G109" s="102">
        <v>3064.595499</v>
      </c>
      <c r="H109" s="102">
        <v>11669.03671</v>
      </c>
      <c r="I109" s="102">
        <v>5834.518354</v>
      </c>
      <c r="J109" s="102">
        <v>5834.518354</v>
      </c>
    </row>
    <row r="110" ht="15.0" customHeight="1">
      <c r="A110" s="106">
        <v>108.0</v>
      </c>
      <c r="B110" s="80">
        <v>250073.5591</v>
      </c>
      <c r="C110" s="80">
        <v>265778.1786</v>
      </c>
      <c r="D110" s="80">
        <v>15704.61951</v>
      </c>
      <c r="E110" s="80">
        <v>619.0220853</v>
      </c>
      <c r="F110" s="80">
        <v>15085.59743</v>
      </c>
      <c r="G110" s="80">
        <v>3137.804265</v>
      </c>
      <c r="H110" s="80">
        <v>11947.79316</v>
      </c>
      <c r="I110" s="80">
        <v>5973.896581</v>
      </c>
      <c r="J110" s="80">
        <v>5973.896581</v>
      </c>
    </row>
    <row r="111" ht="15.0" customHeight="1">
      <c r="A111" s="105">
        <v>109.0</v>
      </c>
      <c r="B111" s="102">
        <v>256047.4557</v>
      </c>
      <c r="C111" s="102">
        <v>272127.2359</v>
      </c>
      <c r="D111" s="102">
        <v>16079.78022</v>
      </c>
      <c r="E111" s="102">
        <v>633.8096299</v>
      </c>
      <c r="F111" s="102">
        <v>15445.97059</v>
      </c>
      <c r="G111" s="102">
        <v>3212.761882</v>
      </c>
      <c r="H111" s="102">
        <v>12233.20871</v>
      </c>
      <c r="I111" s="102">
        <v>6116.604353</v>
      </c>
      <c r="J111" s="102">
        <v>6116.604353</v>
      </c>
    </row>
    <row r="112" ht="15.0" customHeight="1">
      <c r="A112" s="106">
        <v>110.0</v>
      </c>
      <c r="B112" s="80">
        <v>262164.06</v>
      </c>
      <c r="C112" s="80">
        <v>278627.963</v>
      </c>
      <c r="D112" s="80">
        <v>16463.90297</v>
      </c>
      <c r="E112" s="80">
        <v>648.9504277</v>
      </c>
      <c r="F112" s="80">
        <v>15814.95254</v>
      </c>
      <c r="G112" s="80">
        <v>3289.510129</v>
      </c>
      <c r="H112" s="80">
        <v>12525.44241</v>
      </c>
      <c r="I112" s="80">
        <v>6262.721207</v>
      </c>
      <c r="J112" s="80">
        <v>6262.721207</v>
      </c>
    </row>
    <row r="113" ht="15.0" customHeight="1">
      <c r="A113" s="105">
        <v>111.0</v>
      </c>
      <c r="B113" s="102">
        <v>268426.7813</v>
      </c>
      <c r="C113" s="102">
        <v>285283.9831</v>
      </c>
      <c r="D113" s="102">
        <v>16857.20186</v>
      </c>
      <c r="E113" s="102">
        <v>664.4529172</v>
      </c>
      <c r="F113" s="102">
        <v>16192.74895</v>
      </c>
      <c r="G113" s="102">
        <v>3368.091781</v>
      </c>
      <c r="H113" s="102">
        <v>12824.65716</v>
      </c>
      <c r="I113" s="102">
        <v>6412.328582</v>
      </c>
      <c r="J113" s="102">
        <v>6412.328582</v>
      </c>
    </row>
    <row r="114" ht="15.0" customHeight="1">
      <c r="A114" s="106">
        <v>112.0</v>
      </c>
      <c r="B114" s="80">
        <v>274839.1098</v>
      </c>
      <c r="C114" s="80">
        <v>292099.0059</v>
      </c>
      <c r="D114" s="80">
        <v>17259.8961</v>
      </c>
      <c r="E114" s="80">
        <v>680.3257389</v>
      </c>
      <c r="F114" s="80">
        <v>16579.57036</v>
      </c>
      <c r="G114" s="80">
        <v>3448.550635</v>
      </c>
      <c r="H114" s="80">
        <v>13131.01972</v>
      </c>
      <c r="I114" s="80">
        <v>6565.509862</v>
      </c>
      <c r="J114" s="80">
        <v>6565.509862</v>
      </c>
    </row>
    <row r="115" ht="15.0" customHeight="1">
      <c r="A115" s="105">
        <v>113.0</v>
      </c>
      <c r="B115" s="102">
        <v>281404.6197</v>
      </c>
      <c r="C115" s="102">
        <v>299076.8298</v>
      </c>
      <c r="D115" s="102">
        <v>17672.21012</v>
      </c>
      <c r="E115" s="102">
        <v>696.5777394</v>
      </c>
      <c r="F115" s="102">
        <v>16975.63238</v>
      </c>
      <c r="G115" s="102">
        <v>3530.931535</v>
      </c>
      <c r="H115" s="102">
        <v>13444.70084</v>
      </c>
      <c r="I115" s="102">
        <v>6722.350421</v>
      </c>
      <c r="J115" s="102">
        <v>6722.350421</v>
      </c>
    </row>
    <row r="116" ht="15.0" customHeight="1">
      <c r="A116" s="106">
        <v>114.0</v>
      </c>
      <c r="B116" s="80">
        <v>288126.9701</v>
      </c>
      <c r="C116" s="80">
        <v>306221.3438</v>
      </c>
      <c r="D116" s="80">
        <v>18094.37372</v>
      </c>
      <c r="E116" s="80">
        <v>713.2179767</v>
      </c>
      <c r="F116" s="80">
        <v>17381.15575</v>
      </c>
      <c r="G116" s="80">
        <v>3615.280395</v>
      </c>
      <c r="H116" s="80">
        <v>13765.87535</v>
      </c>
      <c r="I116" s="80">
        <v>6882.937676</v>
      </c>
      <c r="J116" s="80">
        <v>6882.937676</v>
      </c>
    </row>
    <row r="117" ht="15.0" customHeight="1">
      <c r="A117" s="105">
        <v>115.0</v>
      </c>
      <c r="B117" s="102">
        <v>295009.9078</v>
      </c>
      <c r="C117" s="102">
        <v>313536.53</v>
      </c>
      <c r="D117" s="102">
        <v>18526.62221</v>
      </c>
      <c r="E117" s="102">
        <v>730.2557254</v>
      </c>
      <c r="F117" s="102">
        <v>17796.36648</v>
      </c>
      <c r="G117" s="102">
        <v>3701.644229</v>
      </c>
      <c r="H117" s="102">
        <v>14094.72226</v>
      </c>
      <c r="I117" s="102">
        <v>7047.361128</v>
      </c>
      <c r="J117" s="102">
        <v>7047.361128</v>
      </c>
    </row>
    <row r="118" ht="15.0" customHeight="1">
      <c r="A118" s="106">
        <v>116.0</v>
      </c>
      <c r="B118" s="80">
        <v>302057.2689</v>
      </c>
      <c r="C118" s="80">
        <v>321026.4654</v>
      </c>
      <c r="D118" s="80">
        <v>18969.19649</v>
      </c>
      <c r="E118" s="80">
        <v>747.7004812</v>
      </c>
      <c r="F118" s="80">
        <v>18221.49601</v>
      </c>
      <c r="G118" s="80">
        <v>3790.071169</v>
      </c>
      <c r="H118" s="80">
        <v>14431.42484</v>
      </c>
      <c r="I118" s="80">
        <v>7215.712419</v>
      </c>
      <c r="J118" s="80">
        <v>7215.712419</v>
      </c>
    </row>
    <row r="119" ht="15.0" customHeight="1">
      <c r="A119" s="105">
        <v>117.0</v>
      </c>
      <c r="B119" s="102">
        <v>309272.9813</v>
      </c>
      <c r="C119" s="102">
        <v>328695.3246</v>
      </c>
      <c r="D119" s="102">
        <v>19422.34323</v>
      </c>
      <c r="E119" s="102">
        <v>765.5619671</v>
      </c>
      <c r="F119" s="102">
        <v>18656.78126</v>
      </c>
      <c r="G119" s="102">
        <v>3880.610502</v>
      </c>
      <c r="H119" s="102">
        <v>14776.17076</v>
      </c>
      <c r="I119" s="102">
        <v>7388.085379</v>
      </c>
      <c r="J119" s="102">
        <v>7388.085379</v>
      </c>
    </row>
    <row r="120" ht="15.0" customHeight="1">
      <c r="A120" s="106">
        <v>118.0</v>
      </c>
      <c r="B120" s="80">
        <v>316661.0667</v>
      </c>
      <c r="C120" s="80">
        <v>336547.3817</v>
      </c>
      <c r="D120" s="80">
        <v>19886.31499</v>
      </c>
      <c r="E120" s="80">
        <v>783.8501381</v>
      </c>
      <c r="F120" s="80">
        <v>19102.46485</v>
      </c>
      <c r="G120" s="80">
        <v>3973.312689</v>
      </c>
      <c r="H120" s="80">
        <v>15129.15216</v>
      </c>
      <c r="I120" s="80">
        <v>7564.576081</v>
      </c>
      <c r="J120" s="80">
        <v>7564.576081</v>
      </c>
    </row>
    <row r="121" ht="15.0" customHeight="1">
      <c r="A121" s="105">
        <v>119.0</v>
      </c>
      <c r="B121" s="102">
        <v>324225.6428</v>
      </c>
      <c r="C121" s="102">
        <v>344587.0132</v>
      </c>
      <c r="D121" s="102">
        <v>20361.37037</v>
      </c>
      <c r="E121" s="102">
        <v>802.5751872</v>
      </c>
      <c r="F121" s="102">
        <v>19558.79518</v>
      </c>
      <c r="G121" s="102">
        <v>4068.229398</v>
      </c>
      <c r="H121" s="102">
        <v>15490.56578</v>
      </c>
      <c r="I121" s="102">
        <v>7745.282892</v>
      </c>
      <c r="J121" s="102">
        <v>7745.282892</v>
      </c>
    </row>
    <row r="122" ht="15.0" customHeight="1">
      <c r="A122" s="106">
        <v>120.0</v>
      </c>
      <c r="B122" s="80">
        <v>331970.9257</v>
      </c>
      <c r="C122" s="80">
        <v>352818.6998</v>
      </c>
      <c r="D122" s="80">
        <v>20847.77413</v>
      </c>
      <c r="E122" s="80">
        <v>821.7475506</v>
      </c>
      <c r="F122" s="80">
        <v>20026.02658</v>
      </c>
      <c r="G122" s="80">
        <v>4165.413529</v>
      </c>
      <c r="H122" s="80">
        <v>15860.61305</v>
      </c>
      <c r="I122" s="80">
        <v>7930.306527</v>
      </c>
      <c r="J122" s="80">
        <v>7930.306527</v>
      </c>
    </row>
    <row r="123" ht="15.0" customHeight="1">
      <c r="A123" s="105">
        <v>121.0</v>
      </c>
      <c r="B123" s="102">
        <v>339901.2322</v>
      </c>
      <c r="C123" s="102">
        <v>361247.0296</v>
      </c>
      <c r="D123" s="102">
        <v>21345.79738</v>
      </c>
      <c r="E123" s="102">
        <v>841.3779142</v>
      </c>
      <c r="F123" s="102">
        <v>20504.41947</v>
      </c>
      <c r="G123" s="102">
        <v>4264.91925</v>
      </c>
      <c r="H123" s="102">
        <v>16239.50022</v>
      </c>
      <c r="I123" s="102">
        <v>8119.75011</v>
      </c>
      <c r="J123" s="102">
        <v>8119.75011</v>
      </c>
    </row>
    <row r="124" ht="15.0" customHeight="1">
      <c r="A124" s="106">
        <v>122.0</v>
      </c>
      <c r="B124" s="80">
        <v>348020.9823</v>
      </c>
      <c r="C124" s="80">
        <v>369876.7</v>
      </c>
      <c r="D124" s="80">
        <v>21855.71769</v>
      </c>
      <c r="E124" s="80">
        <v>861.4772188</v>
      </c>
      <c r="F124" s="80">
        <v>20994.24047</v>
      </c>
      <c r="G124" s="80">
        <v>4366.802018</v>
      </c>
      <c r="H124" s="80">
        <v>16627.43845</v>
      </c>
      <c r="I124" s="80">
        <v>8313.719227</v>
      </c>
      <c r="J124" s="80">
        <v>8313.719227</v>
      </c>
    </row>
    <row r="125" ht="15.0" customHeight="1">
      <c r="A125" s="105">
        <v>123.0</v>
      </c>
      <c r="B125" s="102">
        <v>356334.7016</v>
      </c>
      <c r="C125" s="102">
        <v>378712.5208</v>
      </c>
      <c r="D125" s="102">
        <v>22377.81926</v>
      </c>
      <c r="E125" s="102">
        <v>882.0566668</v>
      </c>
      <c r="F125" s="102">
        <v>21495.76259</v>
      </c>
      <c r="G125" s="102">
        <v>4471.118619</v>
      </c>
      <c r="H125" s="102">
        <v>17024.64397</v>
      </c>
      <c r="I125" s="102">
        <v>8512.321986</v>
      </c>
      <c r="J125" s="102">
        <v>8512.321986</v>
      </c>
    </row>
    <row r="126" ht="15.0" customHeight="1">
      <c r="A126" s="106">
        <v>124.0</v>
      </c>
      <c r="B126" s="80">
        <v>364847.0235</v>
      </c>
      <c r="C126" s="80">
        <v>387759.4166</v>
      </c>
      <c r="D126" s="80">
        <v>22912.39308</v>
      </c>
      <c r="E126" s="80">
        <v>903.1277282</v>
      </c>
      <c r="F126" s="80">
        <v>22009.26535</v>
      </c>
      <c r="G126" s="80">
        <v>4577.927193</v>
      </c>
      <c r="H126" s="80">
        <v>17431.33816</v>
      </c>
      <c r="I126" s="80">
        <v>8715.669079</v>
      </c>
      <c r="J126" s="80">
        <v>8715.669079</v>
      </c>
    </row>
    <row r="127" ht="15.0" customHeight="1">
      <c r="A127" s="105">
        <v>125.0</v>
      </c>
      <c r="B127" s="102">
        <v>373562.6926</v>
      </c>
      <c r="C127" s="102">
        <v>397022.4297</v>
      </c>
      <c r="D127" s="102">
        <v>23459.7371</v>
      </c>
      <c r="E127" s="102">
        <v>924.7021468</v>
      </c>
      <c r="F127" s="102">
        <v>22535.03495</v>
      </c>
      <c r="G127" s="102">
        <v>4687.28727</v>
      </c>
      <c r="H127" s="102">
        <v>17847.74768</v>
      </c>
      <c r="I127" s="102">
        <v>8923.87384</v>
      </c>
      <c r="J127" s="102">
        <v>8923.87384</v>
      </c>
    </row>
    <row r="128" ht="15.0" customHeight="1">
      <c r="A128" s="106">
        <v>126.0</v>
      </c>
      <c r="B128" s="80">
        <v>382486.5665</v>
      </c>
      <c r="C128" s="80">
        <v>406506.7228</v>
      </c>
      <c r="D128" s="80">
        <v>24020.15637</v>
      </c>
      <c r="E128" s="80">
        <v>946.7919472</v>
      </c>
      <c r="F128" s="80">
        <v>23073.36443</v>
      </c>
      <c r="G128" s="80">
        <v>4799.259801</v>
      </c>
      <c r="H128" s="80">
        <v>18274.10463</v>
      </c>
      <c r="I128" s="80">
        <v>9137.052313</v>
      </c>
      <c r="J128" s="80">
        <v>9137.052313</v>
      </c>
    </row>
    <row r="129" ht="15.0" customHeight="1">
      <c r="A129" s="105">
        <v>127.0</v>
      </c>
      <c r="B129" s="102">
        <v>391623.6188</v>
      </c>
      <c r="C129" s="102">
        <v>416217.582</v>
      </c>
      <c r="D129" s="102">
        <v>24593.96326</v>
      </c>
      <c r="E129" s="102">
        <v>969.409441</v>
      </c>
      <c r="F129" s="102">
        <v>23624.55382</v>
      </c>
      <c r="G129" s="102">
        <v>4913.907194</v>
      </c>
      <c r="H129" s="102">
        <v>18710.64662</v>
      </c>
      <c r="I129" s="102">
        <v>9355.323312</v>
      </c>
      <c r="J129" s="102">
        <v>9355.323312</v>
      </c>
    </row>
    <row r="130" ht="15.0" customHeight="1">
      <c r="A130" s="106">
        <v>128.0</v>
      </c>
      <c r="B130" s="80">
        <v>400978.9421</v>
      </c>
      <c r="C130" s="80">
        <v>426160.4196</v>
      </c>
      <c r="D130" s="80">
        <v>25181.47756</v>
      </c>
      <c r="E130" s="80">
        <v>992.5672341</v>
      </c>
      <c r="F130" s="80">
        <v>24188.91033</v>
      </c>
      <c r="G130" s="80">
        <v>5031.293348</v>
      </c>
      <c r="H130" s="80">
        <v>19157.61698</v>
      </c>
      <c r="I130" s="80">
        <v>9578.80849</v>
      </c>
      <c r="J130" s="80">
        <v>9578.80849</v>
      </c>
    </row>
    <row r="131" ht="15.0" customHeight="1">
      <c r="A131" s="105">
        <v>129.0</v>
      </c>
      <c r="B131" s="102">
        <v>410557.7506</v>
      </c>
      <c r="C131" s="102">
        <v>436340.7773</v>
      </c>
      <c r="D131" s="102">
        <v>25783.02674</v>
      </c>
      <c r="E131" s="102">
        <v>1016.278233</v>
      </c>
      <c r="F131" s="102">
        <v>24766.7485</v>
      </c>
      <c r="G131" s="102">
        <v>5151.483689</v>
      </c>
      <c r="H131" s="102">
        <v>19615.26481</v>
      </c>
      <c r="I131" s="102">
        <v>9807.632407</v>
      </c>
      <c r="J131" s="102">
        <v>9807.632407</v>
      </c>
    </row>
    <row r="132" ht="15.0" customHeight="1">
      <c r="A132" s="106">
        <v>130.0</v>
      </c>
      <c r="B132" s="80">
        <v>420365.383</v>
      </c>
      <c r="C132" s="80">
        <v>446764.329</v>
      </c>
      <c r="D132" s="80">
        <v>26398.94605</v>
      </c>
      <c r="E132" s="80">
        <v>1040.555654</v>
      </c>
      <c r="F132" s="80">
        <v>25358.3904</v>
      </c>
      <c r="G132" s="80">
        <v>5274.545203</v>
      </c>
      <c r="H132" s="80">
        <v>20083.84519</v>
      </c>
      <c r="I132" s="80">
        <v>10041.9226</v>
      </c>
      <c r="J132" s="80">
        <v>10041.9226</v>
      </c>
    </row>
    <row r="133" ht="15.0" customHeight="1">
      <c r="A133" s="105">
        <v>131.0</v>
      </c>
      <c r="B133" s="102">
        <v>430407.3056</v>
      </c>
      <c r="C133" s="102">
        <v>457436.8844</v>
      </c>
      <c r="D133" s="102">
        <v>27029.57879</v>
      </c>
      <c r="E133" s="102">
        <v>1065.413028</v>
      </c>
      <c r="F133" s="102">
        <v>25964.16576</v>
      </c>
      <c r="G133" s="102">
        <v>5400.546479</v>
      </c>
      <c r="H133" s="102">
        <v>20563.61928</v>
      </c>
      <c r="I133" s="102">
        <v>10281.80964</v>
      </c>
      <c r="J133" s="102">
        <v>10281.80964</v>
      </c>
    </row>
    <row r="134" ht="15.0" customHeight="1">
      <c r="A134" s="106">
        <v>132.0</v>
      </c>
      <c r="B134" s="80">
        <v>440689.1152</v>
      </c>
      <c r="C134" s="80">
        <v>468364.3917</v>
      </c>
      <c r="D134" s="80">
        <v>27675.27644</v>
      </c>
      <c r="E134" s="80">
        <v>1090.864208</v>
      </c>
      <c r="F134" s="80">
        <v>26584.41223</v>
      </c>
      <c r="G134" s="80">
        <v>5529.557743</v>
      </c>
      <c r="H134" s="80">
        <v>21054.85448</v>
      </c>
      <c r="I134" s="80">
        <v>10527.42724</v>
      </c>
      <c r="J134" s="80">
        <v>10527.42724</v>
      </c>
    </row>
    <row r="135" ht="15.0" customHeight="1">
      <c r="A135" s="105">
        <v>133.0</v>
      </c>
      <c r="B135" s="102">
        <v>451216.5425</v>
      </c>
      <c r="C135" s="102">
        <v>479552.9413</v>
      </c>
      <c r="D135" s="102">
        <v>28336.39887</v>
      </c>
      <c r="E135" s="102">
        <v>1116.923381</v>
      </c>
      <c r="F135" s="102">
        <v>27219.47549</v>
      </c>
      <c r="G135" s="102">
        <v>5661.650901</v>
      </c>
      <c r="H135" s="102">
        <v>21557.82459</v>
      </c>
      <c r="I135" s="102">
        <v>10778.91229</v>
      </c>
      <c r="J135" s="102">
        <v>10778.91229</v>
      </c>
    </row>
    <row r="136" ht="15.0" customHeight="1">
      <c r="A136" s="106">
        <v>134.0</v>
      </c>
      <c r="B136" s="80">
        <v>461995.4548</v>
      </c>
      <c r="C136" s="80">
        <v>491008.7693</v>
      </c>
      <c r="D136" s="80">
        <v>29013.31456</v>
      </c>
      <c r="E136" s="80">
        <v>1143.605069</v>
      </c>
      <c r="F136" s="80">
        <v>27869.70949</v>
      </c>
      <c r="G136" s="80">
        <v>5796.899574</v>
      </c>
      <c r="H136" s="80">
        <v>22072.80992</v>
      </c>
      <c r="I136" s="80">
        <v>11036.40496</v>
      </c>
      <c r="J136" s="80">
        <v>11036.40496</v>
      </c>
    </row>
    <row r="137" ht="15.0" customHeight="1">
      <c r="A137" s="105">
        <v>135.0</v>
      </c>
      <c r="B137" s="102">
        <v>473031.8597</v>
      </c>
      <c r="C137" s="102">
        <v>502738.2605</v>
      </c>
      <c r="D137" s="102">
        <v>29706.40079</v>
      </c>
      <c r="E137" s="102">
        <v>1170.924144</v>
      </c>
      <c r="F137" s="102">
        <v>28535.47665</v>
      </c>
      <c r="G137" s="102">
        <v>5935.379142</v>
      </c>
      <c r="H137" s="102">
        <v>22600.0975</v>
      </c>
      <c r="I137" s="102">
        <v>11300.04875</v>
      </c>
      <c r="J137" s="102">
        <v>11300.04875</v>
      </c>
    </row>
    <row r="138" ht="15.0" customHeight="1">
      <c r="A138" s="106">
        <v>136.0</v>
      </c>
      <c r="B138" s="80">
        <v>484331.9085</v>
      </c>
      <c r="C138" s="80">
        <v>514747.9523</v>
      </c>
      <c r="D138" s="80">
        <v>30416.04385</v>
      </c>
      <c r="E138" s="80">
        <v>1198.895833</v>
      </c>
      <c r="F138" s="80">
        <v>29217.14802</v>
      </c>
      <c r="G138" s="80">
        <v>6077.166788</v>
      </c>
      <c r="H138" s="80">
        <v>23139.98123</v>
      </c>
      <c r="I138" s="80">
        <v>11569.99062</v>
      </c>
      <c r="J138" s="80">
        <v>11569.99062</v>
      </c>
    </row>
    <row r="139" ht="15.0" customHeight="1">
      <c r="A139" s="105">
        <v>137.0</v>
      </c>
      <c r="B139" s="102">
        <v>495901.8991</v>
      </c>
      <c r="C139" s="102">
        <v>527044.5383</v>
      </c>
      <c r="D139" s="102">
        <v>31142.63926</v>
      </c>
      <c r="E139" s="102">
        <v>1227.535725</v>
      </c>
      <c r="F139" s="102">
        <v>29915.10354</v>
      </c>
      <c r="G139" s="102">
        <v>6222.341536</v>
      </c>
      <c r="H139" s="102">
        <v>23692.762</v>
      </c>
      <c r="I139" s="102">
        <v>11846.381</v>
      </c>
      <c r="J139" s="102">
        <v>11846.381</v>
      </c>
    </row>
    <row r="140" ht="15.0" customHeight="1">
      <c r="A140" s="106">
        <v>138.0</v>
      </c>
      <c r="B140" s="80">
        <v>507748.2801</v>
      </c>
      <c r="C140" s="80">
        <v>539634.8721</v>
      </c>
      <c r="D140" s="80">
        <v>31886.59199</v>
      </c>
      <c r="E140" s="80">
        <v>1256.859783</v>
      </c>
      <c r="F140" s="80">
        <v>30629.73221</v>
      </c>
      <c r="G140" s="80">
        <v>6370.984299</v>
      </c>
      <c r="H140" s="80">
        <v>24258.74791</v>
      </c>
      <c r="I140" s="80">
        <v>12129.37395</v>
      </c>
      <c r="J140" s="80">
        <v>12129.37395</v>
      </c>
    </row>
    <row r="141" ht="15.0" customHeight="1">
      <c r="A141" s="105">
        <v>139.0</v>
      </c>
      <c r="B141" s="102">
        <v>519877.654</v>
      </c>
      <c r="C141" s="102">
        <v>552525.9707</v>
      </c>
      <c r="D141" s="102">
        <v>32648.31667</v>
      </c>
      <c r="E141" s="102">
        <v>1286.88435</v>
      </c>
      <c r="F141" s="102">
        <v>31361.43232</v>
      </c>
      <c r="G141" s="102">
        <v>6523.177923</v>
      </c>
      <c r="H141" s="102">
        <v>24838.2544</v>
      </c>
      <c r="I141" s="102">
        <v>12419.1272</v>
      </c>
      <c r="J141" s="102">
        <v>12419.1272</v>
      </c>
    </row>
    <row r="142" ht="15.0" customHeight="1">
      <c r="A142" s="106">
        <v>140.0</v>
      </c>
      <c r="B142" s="80">
        <v>532296.7812</v>
      </c>
      <c r="C142" s="80">
        <v>565725.0191</v>
      </c>
      <c r="D142" s="80">
        <v>33428.23786</v>
      </c>
      <c r="E142" s="80">
        <v>1317.62616</v>
      </c>
      <c r="F142" s="80">
        <v>32110.6117</v>
      </c>
      <c r="G142" s="80">
        <v>6679.007234</v>
      </c>
      <c r="H142" s="80">
        <v>25431.60447</v>
      </c>
      <c r="I142" s="80">
        <v>12715.80223</v>
      </c>
      <c r="J142" s="80">
        <v>12715.80223</v>
      </c>
    </row>
    <row r="143" ht="15.0" customHeight="1">
      <c r="A143" s="105">
        <v>141.0</v>
      </c>
      <c r="B143" s="102">
        <v>545012.5835</v>
      </c>
      <c r="C143" s="102">
        <v>579239.3737</v>
      </c>
      <c r="D143" s="102">
        <v>34226.79024</v>
      </c>
      <c r="E143" s="102">
        <v>1349.102349</v>
      </c>
      <c r="F143" s="102">
        <v>32877.68789</v>
      </c>
      <c r="G143" s="102">
        <v>6838.559082</v>
      </c>
      <c r="H143" s="102">
        <v>26039.12881</v>
      </c>
      <c r="I143" s="102">
        <v>13019.56441</v>
      </c>
      <c r="J143" s="102">
        <v>13019.56441</v>
      </c>
    </row>
    <row r="144" ht="15.0" customHeight="1">
      <c r="A144" s="106">
        <v>142.0</v>
      </c>
      <c r="B144" s="80">
        <v>558032.1479</v>
      </c>
      <c r="C144" s="80">
        <v>593076.5668</v>
      </c>
      <c r="D144" s="80">
        <v>35044.41889</v>
      </c>
      <c r="E144" s="80">
        <v>1381.330458</v>
      </c>
      <c r="F144" s="80">
        <v>33663.08843</v>
      </c>
      <c r="G144" s="80">
        <v>7001.922393</v>
      </c>
      <c r="H144" s="80">
        <v>26661.16604</v>
      </c>
      <c r="I144" s="80">
        <v>13330.58302</v>
      </c>
      <c r="J144" s="80">
        <v>13330.58302</v>
      </c>
    </row>
    <row r="145" ht="15.0" customHeight="1">
      <c r="A145" s="105">
        <v>143.0</v>
      </c>
      <c r="B145" s="102">
        <v>571362.7309</v>
      </c>
      <c r="C145" s="102">
        <v>607244.3104</v>
      </c>
      <c r="D145" s="102">
        <v>35881.5795</v>
      </c>
      <c r="E145" s="102">
        <v>1414.32845</v>
      </c>
      <c r="F145" s="102">
        <v>34467.25105</v>
      </c>
      <c r="G145" s="102">
        <v>7169.188219</v>
      </c>
      <c r="H145" s="102">
        <v>27298.06283</v>
      </c>
      <c r="I145" s="102">
        <v>13649.03142</v>
      </c>
      <c r="J145" s="102">
        <v>13649.03142</v>
      </c>
    </row>
    <row r="146" ht="15.0" customHeight="1">
      <c r="A146" s="106">
        <v>144.0</v>
      </c>
      <c r="B146" s="80">
        <v>585011.7623</v>
      </c>
      <c r="C146" s="80">
        <v>621750.501</v>
      </c>
      <c r="D146" s="80">
        <v>36738.73867</v>
      </c>
      <c r="E146" s="80">
        <v>1448.114716</v>
      </c>
      <c r="F146" s="80">
        <v>35290.62396</v>
      </c>
      <c r="G146" s="80">
        <v>7340.449783</v>
      </c>
      <c r="H146" s="80">
        <v>27950.17417</v>
      </c>
      <c r="I146" s="80">
        <v>13975.08709</v>
      </c>
      <c r="J146" s="80">
        <v>13975.08709</v>
      </c>
    </row>
    <row r="147" ht="15.0" customHeight="1">
      <c r="A147" s="105">
        <v>145.0</v>
      </c>
      <c r="B147" s="102">
        <v>598986.8494</v>
      </c>
      <c r="C147" s="102">
        <v>636603.2235</v>
      </c>
      <c r="D147" s="102">
        <v>37616.37414</v>
      </c>
      <c r="E147" s="102">
        <v>1482.708088</v>
      </c>
      <c r="F147" s="102">
        <v>36133.66605</v>
      </c>
      <c r="G147" s="102">
        <v>7515.802539</v>
      </c>
      <c r="H147" s="102">
        <v>28617.86352</v>
      </c>
      <c r="I147" s="102">
        <v>14308.93176</v>
      </c>
      <c r="J147" s="102">
        <v>14308.93176</v>
      </c>
    </row>
    <row r="148" ht="15.0" customHeight="1">
      <c r="A148" s="106">
        <v>146.0</v>
      </c>
      <c r="B148" s="80">
        <v>613295.7812</v>
      </c>
      <c r="C148" s="80">
        <v>651810.7562</v>
      </c>
      <c r="D148" s="80">
        <v>38514.97506</v>
      </c>
      <c r="E148" s="80">
        <v>1518.127845</v>
      </c>
      <c r="F148" s="80">
        <v>36996.84721</v>
      </c>
      <c r="G148" s="80">
        <v>7695.34422</v>
      </c>
      <c r="H148" s="80">
        <v>29301.50299</v>
      </c>
      <c r="I148" s="80">
        <v>14650.7515</v>
      </c>
      <c r="J148" s="80">
        <v>14650.7515</v>
      </c>
    </row>
    <row r="149" ht="15.0" customHeight="1">
      <c r="A149" s="105">
        <v>147.0</v>
      </c>
      <c r="B149" s="102">
        <v>627946.5326</v>
      </c>
      <c r="C149" s="102">
        <v>667381.5749</v>
      </c>
      <c r="D149" s="102">
        <v>39435.04225</v>
      </c>
      <c r="E149" s="102">
        <v>1554.393729</v>
      </c>
      <c r="F149" s="102">
        <v>37880.64852</v>
      </c>
      <c r="G149" s="102">
        <v>7879.174892</v>
      </c>
      <c r="H149" s="102">
        <v>30001.47363</v>
      </c>
      <c r="I149" s="102">
        <v>15000.73681</v>
      </c>
      <c r="J149" s="102">
        <v>15000.73681</v>
      </c>
    </row>
    <row r="150" ht="15.0" customHeight="1">
      <c r="A150" s="106">
        <v>148.0</v>
      </c>
      <c r="B150" s="80">
        <v>642947.2695</v>
      </c>
      <c r="C150" s="80">
        <v>683324.358</v>
      </c>
      <c r="D150" s="80">
        <v>40377.08852</v>
      </c>
      <c r="E150" s="80">
        <v>1591.525953</v>
      </c>
      <c r="F150" s="80">
        <v>38785.56257</v>
      </c>
      <c r="G150" s="80">
        <v>8067.397014</v>
      </c>
      <c r="H150" s="80">
        <v>30718.16555</v>
      </c>
      <c r="I150" s="80">
        <v>15359.08278</v>
      </c>
      <c r="J150" s="80">
        <v>15359.08278</v>
      </c>
    </row>
    <row r="151" ht="15.0" customHeight="1">
      <c r="A151" s="105">
        <v>149.0</v>
      </c>
      <c r="B151" s="102">
        <v>658306.3522</v>
      </c>
      <c r="C151" s="102">
        <v>699647.9912</v>
      </c>
      <c r="D151" s="102">
        <v>41341.63892</v>
      </c>
      <c r="E151" s="102">
        <v>1629.545212</v>
      </c>
      <c r="F151" s="102">
        <v>39712.09371</v>
      </c>
      <c r="G151" s="102">
        <v>8260.115491</v>
      </c>
      <c r="H151" s="102">
        <v>31451.97822</v>
      </c>
      <c r="I151" s="102">
        <v>15725.98911</v>
      </c>
      <c r="J151" s="102">
        <v>15725.98911</v>
      </c>
    </row>
    <row r="152" ht="15.0" customHeight="1">
      <c r="A152" s="106">
        <v>150.0</v>
      </c>
      <c r="B152" s="80">
        <v>674032.3413</v>
      </c>
      <c r="C152" s="80">
        <v>716361.5724</v>
      </c>
      <c r="D152" s="80">
        <v>42329.23104</v>
      </c>
      <c r="E152" s="80">
        <v>1668.472696</v>
      </c>
      <c r="F152" s="80">
        <v>40660.75834</v>
      </c>
      <c r="G152" s="80">
        <v>8457.437735</v>
      </c>
      <c r="H152" s="80">
        <v>32203.32061</v>
      </c>
      <c r="I152" s="80">
        <v>16101.6603</v>
      </c>
      <c r="J152" s="80">
        <v>16101.6603</v>
      </c>
    </row>
    <row r="153" ht="15.0" customHeight="1">
      <c r="A153" s="105">
        <v>151.0</v>
      </c>
      <c r="B153" s="102">
        <v>690134.0017</v>
      </c>
      <c r="C153" s="102">
        <v>733474.417</v>
      </c>
      <c r="D153" s="102">
        <v>43340.4153</v>
      </c>
      <c r="E153" s="102">
        <v>1708.330102</v>
      </c>
      <c r="F153" s="102">
        <v>41632.0852</v>
      </c>
      <c r="G153" s="102">
        <v>8659.473722</v>
      </c>
      <c r="H153" s="102">
        <v>32972.61148</v>
      </c>
      <c r="I153" s="102">
        <v>16486.30574</v>
      </c>
      <c r="J153" s="102">
        <v>16486.30574</v>
      </c>
    </row>
    <row r="154" ht="15.0" customHeight="1">
      <c r="A154" s="106">
        <v>152.0</v>
      </c>
      <c r="B154" s="80">
        <v>706620.3074</v>
      </c>
      <c r="C154" s="80">
        <v>750996.0627</v>
      </c>
      <c r="D154" s="80">
        <v>44375.7553</v>
      </c>
      <c r="E154" s="80">
        <v>1749.139644</v>
      </c>
      <c r="F154" s="80">
        <v>42626.61566</v>
      </c>
      <c r="G154" s="80">
        <v>8866.336057</v>
      </c>
      <c r="H154" s="80">
        <v>33760.2796</v>
      </c>
      <c r="I154" s="80">
        <v>16880.1398</v>
      </c>
      <c r="J154" s="80">
        <v>16880.1398</v>
      </c>
    </row>
    <row r="155" ht="15.0" customHeight="1">
      <c r="A155" s="105">
        <v>153.0</v>
      </c>
      <c r="B155" s="102">
        <v>723500.4472</v>
      </c>
      <c r="C155" s="102">
        <v>768936.2753</v>
      </c>
      <c r="D155" s="102">
        <v>45435.82808</v>
      </c>
      <c r="E155" s="102">
        <v>1790.924067</v>
      </c>
      <c r="F155" s="102">
        <v>43644.90402</v>
      </c>
      <c r="G155" s="102">
        <v>9078.140035</v>
      </c>
      <c r="H155" s="102">
        <v>34566.76398</v>
      </c>
      <c r="I155" s="102">
        <v>17283.38199</v>
      </c>
      <c r="J155" s="102">
        <v>17283.38199</v>
      </c>
    </row>
    <row r="156" ht="15.0" customHeight="1">
      <c r="A156" s="106">
        <v>154.0</v>
      </c>
      <c r="B156" s="80">
        <v>740783.8292</v>
      </c>
      <c r="C156" s="80">
        <v>787305.0537</v>
      </c>
      <c r="D156" s="80">
        <v>46521.22447</v>
      </c>
      <c r="E156" s="80">
        <v>1833.706659</v>
      </c>
      <c r="F156" s="80">
        <v>44687.51781</v>
      </c>
      <c r="G156" s="80">
        <v>9295.003705</v>
      </c>
      <c r="H156" s="80">
        <v>35392.51411</v>
      </c>
      <c r="I156" s="80">
        <v>17696.25705</v>
      </c>
      <c r="J156" s="80">
        <v>17696.25705</v>
      </c>
    </row>
    <row r="157" ht="15.0" customHeight="1">
      <c r="A157" s="105">
        <v>155.0</v>
      </c>
      <c r="B157" s="102">
        <v>758480.0862</v>
      </c>
      <c r="C157" s="102">
        <v>806112.6357</v>
      </c>
      <c r="D157" s="102">
        <v>47632.54942</v>
      </c>
      <c r="E157" s="102">
        <v>1877.511266</v>
      </c>
      <c r="F157" s="102">
        <v>45755.03815</v>
      </c>
      <c r="G157" s="102">
        <v>9517.047935</v>
      </c>
      <c r="H157" s="102">
        <v>36237.99021</v>
      </c>
      <c r="I157" s="102">
        <v>18118.99511</v>
      </c>
      <c r="J157" s="102">
        <v>18118.99511</v>
      </c>
    </row>
    <row r="158" ht="15.0" customHeight="1">
      <c r="A158" s="106">
        <v>156.0</v>
      </c>
      <c r="B158" s="80">
        <v>776599.0813</v>
      </c>
      <c r="C158" s="80">
        <v>825369.5037</v>
      </c>
      <c r="D158" s="80">
        <v>48770.42231</v>
      </c>
      <c r="E158" s="80">
        <v>1922.362302</v>
      </c>
      <c r="F158" s="80">
        <v>46848.06001</v>
      </c>
      <c r="G158" s="80">
        <v>9744.396481</v>
      </c>
      <c r="H158" s="80">
        <v>37103.66353</v>
      </c>
      <c r="I158" s="80">
        <v>18551.83176</v>
      </c>
      <c r="J158" s="80">
        <v>18551.83176</v>
      </c>
    </row>
    <row r="159" ht="15.0" customHeight="1">
      <c r="A159" s="105">
        <v>157.0</v>
      </c>
      <c r="B159" s="102">
        <v>795150.9131</v>
      </c>
      <c r="C159" s="102">
        <v>845086.3905</v>
      </c>
      <c r="D159" s="102">
        <v>49935.47734</v>
      </c>
      <c r="E159" s="102">
        <v>1968.284764</v>
      </c>
      <c r="F159" s="102">
        <v>47967.19258</v>
      </c>
      <c r="G159" s="102">
        <v>9977.176056</v>
      </c>
      <c r="H159" s="102">
        <v>37990.01652</v>
      </c>
      <c r="I159" s="102">
        <v>18995.00826</v>
      </c>
      <c r="J159" s="102">
        <v>18995.00826</v>
      </c>
    </row>
    <row r="160" ht="15.0" customHeight="1">
      <c r="A160" s="106">
        <v>158.0</v>
      </c>
      <c r="B160" s="80">
        <v>814145.9214</v>
      </c>
      <c r="C160" s="80">
        <v>865274.2852</v>
      </c>
      <c r="D160" s="80">
        <v>51128.36386</v>
      </c>
      <c r="E160" s="80">
        <v>2015.304248</v>
      </c>
      <c r="F160" s="80">
        <v>49113.05961</v>
      </c>
      <c r="G160" s="80">
        <v>10215.5164</v>
      </c>
      <c r="H160" s="80">
        <v>38897.54321</v>
      </c>
      <c r="I160" s="80">
        <v>19448.77161</v>
      </c>
      <c r="J160" s="80">
        <v>19448.77161</v>
      </c>
    </row>
    <row r="161" ht="15.0" customHeight="1">
      <c r="A161" s="105">
        <v>159.0</v>
      </c>
      <c r="B161" s="102">
        <v>833594.693</v>
      </c>
      <c r="C161" s="102">
        <v>885944.4397</v>
      </c>
      <c r="D161" s="102">
        <v>52349.74672</v>
      </c>
      <c r="E161" s="102">
        <v>2063.446959</v>
      </c>
      <c r="F161" s="102">
        <v>50286.29976</v>
      </c>
      <c r="G161" s="102">
        <v>10459.55035</v>
      </c>
      <c r="H161" s="102">
        <v>39826.74941</v>
      </c>
      <c r="I161" s="102">
        <v>19913.3747</v>
      </c>
      <c r="J161" s="102">
        <v>19913.3747</v>
      </c>
    </row>
    <row r="162" ht="15.0" customHeight="1">
      <c r="A162" s="106">
        <v>160.0</v>
      </c>
      <c r="B162" s="80">
        <v>853508.0677</v>
      </c>
      <c r="C162" s="80">
        <v>907108.3743</v>
      </c>
      <c r="D162" s="80">
        <v>53600.30665</v>
      </c>
      <c r="E162" s="80">
        <v>2112.73973</v>
      </c>
      <c r="F162" s="80">
        <v>51487.56692</v>
      </c>
      <c r="G162" s="80">
        <v>10709.41392</v>
      </c>
      <c r="H162" s="80">
        <v>40778.153</v>
      </c>
      <c r="I162" s="80">
        <v>20389.0765</v>
      </c>
      <c r="J162" s="80">
        <v>20389.0765</v>
      </c>
    </row>
    <row r="163" ht="15.0" customHeight="1">
      <c r="A163" s="105">
        <v>161.0</v>
      </c>
      <c r="B163" s="102">
        <v>873897.1442</v>
      </c>
      <c r="C163" s="102">
        <v>928777.8848</v>
      </c>
      <c r="D163" s="102">
        <v>54880.74065</v>
      </c>
      <c r="E163" s="102">
        <v>2163.210035</v>
      </c>
      <c r="F163" s="102">
        <v>52717.53062</v>
      </c>
      <c r="G163" s="102">
        <v>10965.24637</v>
      </c>
      <c r="H163" s="102">
        <v>41752.28425</v>
      </c>
      <c r="I163" s="102">
        <v>20876.14213</v>
      </c>
      <c r="J163" s="102">
        <v>20876.14213</v>
      </c>
    </row>
    <row r="164" ht="15.0" customHeight="1">
      <c r="A164" s="106">
        <v>162.0</v>
      </c>
      <c r="B164" s="80">
        <v>894773.2863</v>
      </c>
      <c r="C164" s="80">
        <v>950965.0487</v>
      </c>
      <c r="D164" s="80">
        <v>56191.76238</v>
      </c>
      <c r="E164" s="80">
        <v>2214.886002</v>
      </c>
      <c r="F164" s="80">
        <v>53976.87638</v>
      </c>
      <c r="G164" s="80">
        <v>11227.19029</v>
      </c>
      <c r="H164" s="80">
        <v>42749.68609</v>
      </c>
      <c r="I164" s="80">
        <v>21374.84305</v>
      </c>
      <c r="J164" s="80">
        <v>21374.84305</v>
      </c>
    </row>
    <row r="165" ht="15.0" customHeight="1">
      <c r="A165" s="105">
        <v>163.0</v>
      </c>
      <c r="B165" s="102">
        <v>916148.1294</v>
      </c>
      <c r="C165" s="102">
        <v>973682.2319</v>
      </c>
      <c r="D165" s="102">
        <v>57534.10252</v>
      </c>
      <c r="E165" s="102">
        <v>2267.796433</v>
      </c>
      <c r="F165" s="102">
        <v>55266.30609</v>
      </c>
      <c r="G165" s="102">
        <v>11495.39167</v>
      </c>
      <c r="H165" s="102">
        <v>43770.91442</v>
      </c>
      <c r="I165" s="102">
        <v>21885.45721</v>
      </c>
      <c r="J165" s="102">
        <v>21885.45721</v>
      </c>
    </row>
    <row r="166" ht="15.0" customHeight="1">
      <c r="A166" s="106">
        <v>164.0</v>
      </c>
      <c r="B166" s="80">
        <v>938033.5866</v>
      </c>
      <c r="C166" s="80">
        <v>996942.0958</v>
      </c>
      <c r="D166" s="80">
        <v>58908.50924</v>
      </c>
      <c r="E166" s="80">
        <v>2321.970819</v>
      </c>
      <c r="F166" s="80">
        <v>56586.53842</v>
      </c>
      <c r="G166" s="80">
        <v>11769.99999</v>
      </c>
      <c r="H166" s="80">
        <v>44816.53843</v>
      </c>
      <c r="I166" s="80">
        <v>22408.26921</v>
      </c>
      <c r="J166" s="80">
        <v>22408.26921</v>
      </c>
    </row>
    <row r="167" ht="15.0" customHeight="1">
      <c r="A167" s="105">
        <v>165.0</v>
      </c>
      <c r="B167" s="102">
        <v>960441.8558</v>
      </c>
      <c r="C167" s="102">
        <v>1020757.604</v>
      </c>
      <c r="D167" s="102">
        <v>60315.74854</v>
      </c>
      <c r="E167" s="102">
        <v>2377.439352</v>
      </c>
      <c r="F167" s="102">
        <v>57938.30919</v>
      </c>
      <c r="G167" s="102">
        <v>12051.16831</v>
      </c>
      <c r="H167" s="102">
        <v>45887.14088</v>
      </c>
      <c r="I167" s="102">
        <v>22943.57044</v>
      </c>
      <c r="J167" s="102">
        <v>22943.57044</v>
      </c>
    </row>
    <row r="168" ht="15.0" customHeight="1">
      <c r="A168" s="106">
        <v>166.0</v>
      </c>
      <c r="B168" s="80">
        <v>983385.4262</v>
      </c>
      <c r="C168" s="80">
        <v>1045142.031</v>
      </c>
      <c r="D168" s="80">
        <v>61756.60477</v>
      </c>
      <c r="E168" s="80">
        <v>2434.232949</v>
      </c>
      <c r="F168" s="80">
        <v>59322.37182</v>
      </c>
      <c r="G168" s="80">
        <v>12339.05334</v>
      </c>
      <c r="H168" s="80">
        <v>46983.31848</v>
      </c>
      <c r="I168" s="80">
        <v>23491.65924</v>
      </c>
      <c r="J168" s="80">
        <v>23491.65924</v>
      </c>
    </row>
    <row r="169" ht="15.0" customHeight="1">
      <c r="A169" s="105">
        <v>167.0</v>
      </c>
      <c r="B169" s="102">
        <v>1006877.085</v>
      </c>
      <c r="C169" s="102">
        <v>1070108.966</v>
      </c>
      <c r="D169" s="102">
        <v>63231.88097</v>
      </c>
      <c r="E169" s="102">
        <v>2492.383262</v>
      </c>
      <c r="F169" s="102">
        <v>60739.4977</v>
      </c>
      <c r="G169" s="102">
        <v>12633.81552</v>
      </c>
      <c r="H169" s="102">
        <v>48105.68218</v>
      </c>
      <c r="I169" s="102">
        <v>24052.84109</v>
      </c>
      <c r="J169" s="102">
        <v>24052.84109</v>
      </c>
    </row>
    <row r="170" ht="15.0" customHeight="1">
      <c r="A170" s="106">
        <v>168.0</v>
      </c>
      <c r="B170" s="80">
        <v>1030929.927</v>
      </c>
      <c r="C170" s="80">
        <v>1095672.326</v>
      </c>
      <c r="D170" s="80">
        <v>64742.39939</v>
      </c>
      <c r="E170" s="80">
        <v>2551.922703</v>
      </c>
      <c r="F170" s="80">
        <v>62190.47668</v>
      </c>
      <c r="G170" s="80">
        <v>12935.61915</v>
      </c>
      <c r="H170" s="80">
        <v>49254.85753</v>
      </c>
      <c r="I170" s="80">
        <v>24627.42877</v>
      </c>
      <c r="J170" s="80">
        <v>24627.42877</v>
      </c>
    </row>
    <row r="171" ht="15.0" customHeight="1">
      <c r="A171" s="105">
        <v>169.0</v>
      </c>
      <c r="B171" s="102">
        <v>1055557.355</v>
      </c>
      <c r="C171" s="102">
        <v>1121846.357</v>
      </c>
      <c r="D171" s="102">
        <v>66289.00191</v>
      </c>
      <c r="E171" s="102">
        <v>2612.884455</v>
      </c>
      <c r="F171" s="102">
        <v>63676.11746</v>
      </c>
      <c r="G171" s="102">
        <v>13244.63243</v>
      </c>
      <c r="H171" s="102">
        <v>50431.48503</v>
      </c>
      <c r="I171" s="102">
        <v>25215.74251</v>
      </c>
      <c r="J171" s="102">
        <v>25215.74251</v>
      </c>
    </row>
    <row r="172" ht="15.0" customHeight="1">
      <c r="A172" s="106">
        <v>170.0</v>
      </c>
      <c r="B172" s="80">
        <v>1080773.098</v>
      </c>
      <c r="C172" s="80">
        <v>1148645.648</v>
      </c>
      <c r="D172" s="80">
        <v>67872.55054</v>
      </c>
      <c r="E172" s="80">
        <v>2675.302495</v>
      </c>
      <c r="F172" s="80">
        <v>65197.24805</v>
      </c>
      <c r="G172" s="80">
        <v>13561.02759</v>
      </c>
      <c r="H172" s="80">
        <v>51636.22045</v>
      </c>
      <c r="I172" s="80">
        <v>25818.11023</v>
      </c>
      <c r="J172" s="80">
        <v>25818.11023</v>
      </c>
    </row>
    <row r="173" ht="15.0" customHeight="1">
      <c r="A173" s="105">
        <v>171.0</v>
      </c>
      <c r="B173" s="102">
        <v>1106591.208</v>
      </c>
      <c r="C173" s="102">
        <v>1176085.136</v>
      </c>
      <c r="D173" s="102">
        <v>69493.92787</v>
      </c>
      <c r="E173" s="102">
        <v>2739.211613</v>
      </c>
      <c r="F173" s="102">
        <v>66754.71625</v>
      </c>
      <c r="G173" s="102">
        <v>13884.98098</v>
      </c>
      <c r="H173" s="102">
        <v>52869.73527</v>
      </c>
      <c r="I173" s="102">
        <v>26434.86764</v>
      </c>
      <c r="J173" s="102">
        <v>26434.86764</v>
      </c>
    </row>
    <row r="174" ht="15.0" customHeight="1">
      <c r="A174" s="106">
        <v>172.0</v>
      </c>
      <c r="B174" s="80">
        <v>1133026.076</v>
      </c>
      <c r="C174" s="80">
        <v>1204180.113</v>
      </c>
      <c r="D174" s="80">
        <v>71154.03755</v>
      </c>
      <c r="E174" s="80">
        <v>2804.647427</v>
      </c>
      <c r="F174" s="80">
        <v>68349.39013</v>
      </c>
      <c r="G174" s="80">
        <v>14216.67315</v>
      </c>
      <c r="H174" s="80">
        <v>54132.71698</v>
      </c>
      <c r="I174" s="80">
        <v>27066.35849</v>
      </c>
      <c r="J174" s="80">
        <v>27066.35849</v>
      </c>
    </row>
    <row r="175" ht="15.0" customHeight="1">
      <c r="A175" s="105">
        <v>173.0</v>
      </c>
      <c r="B175" s="102">
        <v>1160092.434</v>
      </c>
      <c r="C175" s="102">
        <v>1232946.239</v>
      </c>
      <c r="D175" s="102">
        <v>72853.80487</v>
      </c>
      <c r="E175" s="102">
        <v>2871.646408</v>
      </c>
      <c r="F175" s="102">
        <v>69982.15846</v>
      </c>
      <c r="G175" s="102">
        <v>14556.28896</v>
      </c>
      <c r="H175" s="102">
        <v>55425.8695</v>
      </c>
      <c r="I175" s="102">
        <v>27712.93475</v>
      </c>
      <c r="J175" s="102">
        <v>27712.93475</v>
      </c>
    </row>
    <row r="176" ht="15.0" customHeight="1">
      <c r="A176" s="106">
        <v>174.0</v>
      </c>
      <c r="B176" s="80">
        <v>1187805.369</v>
      </c>
      <c r="C176" s="80">
        <v>1262399.546</v>
      </c>
      <c r="D176" s="80">
        <v>74594.17717</v>
      </c>
      <c r="E176" s="80">
        <v>2940.245898</v>
      </c>
      <c r="F176" s="80">
        <v>71653.93127</v>
      </c>
      <c r="G176" s="80">
        <v>14904.0177</v>
      </c>
      <c r="H176" s="80">
        <v>56749.91357</v>
      </c>
      <c r="I176" s="80">
        <v>28374.95678</v>
      </c>
      <c r="J176" s="80">
        <v>28374.95678</v>
      </c>
    </row>
    <row r="177" ht="15.0" customHeight="1">
      <c r="A177" s="105">
        <v>175.0</v>
      </c>
      <c r="B177" s="102">
        <v>1216180.326</v>
      </c>
      <c r="C177" s="102">
        <v>1292556.45</v>
      </c>
      <c r="D177" s="102">
        <v>76376.12445</v>
      </c>
      <c r="E177" s="102">
        <v>3010.484131</v>
      </c>
      <c r="F177" s="102">
        <v>73365.64032</v>
      </c>
      <c r="G177" s="102">
        <v>15260.05319</v>
      </c>
      <c r="H177" s="102">
        <v>58105.58714</v>
      </c>
      <c r="I177" s="102">
        <v>29052.79357</v>
      </c>
      <c r="J177" s="102">
        <v>29052.79357</v>
      </c>
    </row>
    <row r="178" ht="15.0" customHeight="1">
      <c r="A178" s="106">
        <v>176.0</v>
      </c>
      <c r="B178" s="80">
        <v>1245233.119</v>
      </c>
      <c r="C178" s="80">
        <v>1323433.759</v>
      </c>
      <c r="D178" s="80">
        <v>78200.63989</v>
      </c>
      <c r="E178" s="80">
        <v>3082.400254</v>
      </c>
      <c r="F178" s="80">
        <v>75118.23964</v>
      </c>
      <c r="G178" s="80">
        <v>15624.59384</v>
      </c>
      <c r="H178" s="80">
        <v>59493.64579</v>
      </c>
      <c r="I178" s="80">
        <v>29746.8229</v>
      </c>
      <c r="J178" s="80">
        <v>29746.8229</v>
      </c>
    </row>
    <row r="179" ht="15.0" customHeight="1">
      <c r="A179" s="105">
        <v>177.0</v>
      </c>
      <c r="B179" s="102">
        <v>1274979.942</v>
      </c>
      <c r="C179" s="102">
        <v>1355048.683</v>
      </c>
      <c r="D179" s="102">
        <v>80068.74037</v>
      </c>
      <c r="E179" s="102">
        <v>3156.03435</v>
      </c>
      <c r="F179" s="102">
        <v>76912.70602</v>
      </c>
      <c r="G179" s="102">
        <v>15997.84285</v>
      </c>
      <c r="H179" s="102">
        <v>60914.86317</v>
      </c>
      <c r="I179" s="102">
        <v>30457.43158</v>
      </c>
      <c r="J179" s="102">
        <v>30457.43158</v>
      </c>
    </row>
    <row r="180" ht="15.0" customHeight="1">
      <c r="A180" s="106">
        <v>178.0</v>
      </c>
      <c r="B180" s="80">
        <v>1305437.374</v>
      </c>
      <c r="C180" s="80">
        <v>1387418.841</v>
      </c>
      <c r="D180" s="80">
        <v>81981.46707</v>
      </c>
      <c r="E180" s="80">
        <v>3231.427458</v>
      </c>
      <c r="F180" s="80">
        <v>78750.03961</v>
      </c>
      <c r="G180" s="80">
        <v>16380.00824</v>
      </c>
      <c r="H180" s="80">
        <v>62370.03137</v>
      </c>
      <c r="I180" s="80">
        <v>31185.01569</v>
      </c>
      <c r="J180" s="80">
        <v>31185.01569</v>
      </c>
    </row>
    <row r="181" ht="15.0" customHeight="1">
      <c r="A181" s="105">
        <v>179.0</v>
      </c>
      <c r="B181" s="102">
        <v>1336622.389</v>
      </c>
      <c r="C181" s="102">
        <v>1420562.276</v>
      </c>
      <c r="D181" s="102">
        <v>83939.88606</v>
      </c>
      <c r="E181" s="102">
        <v>3308.621598</v>
      </c>
      <c r="F181" s="102">
        <v>80631.26446</v>
      </c>
      <c r="G181" s="102">
        <v>16771.30301</v>
      </c>
      <c r="H181" s="102">
        <v>63859.96145</v>
      </c>
      <c r="I181" s="102">
        <v>31929.98073</v>
      </c>
      <c r="J181" s="102">
        <v>31929.98073</v>
      </c>
    </row>
    <row r="182" ht="15.0" customHeight="1">
      <c r="A182" s="106">
        <v>180.0</v>
      </c>
      <c r="B182" s="80">
        <v>1368552.37</v>
      </c>
      <c r="C182" s="80">
        <v>1454497.459</v>
      </c>
      <c r="D182" s="80">
        <v>85945.08885</v>
      </c>
      <c r="E182" s="80">
        <v>3387.659795</v>
      </c>
      <c r="F182" s="80">
        <v>82557.42905</v>
      </c>
      <c r="G182" s="80">
        <v>17171.94524</v>
      </c>
      <c r="H182" s="80">
        <v>65385.48381</v>
      </c>
      <c r="I182" s="80">
        <v>32692.7419</v>
      </c>
      <c r="J182" s="80">
        <v>32692.7419</v>
      </c>
    </row>
    <row r="183" ht="15.0" customHeight="1">
      <c r="A183" s="105">
        <v>181.0</v>
      </c>
      <c r="B183" s="102">
        <v>1401245.112</v>
      </c>
      <c r="C183" s="102">
        <v>1489243.305</v>
      </c>
      <c r="D183" s="102">
        <v>87998.19304</v>
      </c>
      <c r="E183" s="102">
        <v>3468.586101</v>
      </c>
      <c r="F183" s="102">
        <v>84529.60694</v>
      </c>
      <c r="G183" s="102">
        <v>17582.15824</v>
      </c>
      <c r="H183" s="102">
        <v>66947.44869</v>
      </c>
      <c r="I183" s="102">
        <v>33473.72435</v>
      </c>
      <c r="J183" s="102">
        <v>33473.72435</v>
      </c>
    </row>
    <row r="184" ht="15.0" customHeight="1">
      <c r="A184" s="106">
        <v>182.0</v>
      </c>
      <c r="B184" s="80">
        <v>1434718.836</v>
      </c>
      <c r="C184" s="80">
        <v>1524819.179</v>
      </c>
      <c r="D184" s="80">
        <v>90100.34293</v>
      </c>
      <c r="E184" s="80">
        <v>3551.445619</v>
      </c>
      <c r="F184" s="80">
        <v>86548.89731</v>
      </c>
      <c r="G184" s="80">
        <v>18002.17064</v>
      </c>
      <c r="H184" s="80">
        <v>68546.72667</v>
      </c>
      <c r="I184" s="80">
        <v>34273.36333</v>
      </c>
      <c r="J184" s="80">
        <v>34273.36333</v>
      </c>
    </row>
    <row r="185" ht="15.0" customHeight="1">
      <c r="A185" s="105">
        <v>183.0</v>
      </c>
      <c r="B185" s="102">
        <v>1468992.2</v>
      </c>
      <c r="C185" s="102">
        <v>1561244.91</v>
      </c>
      <c r="D185" s="102">
        <v>92252.71015</v>
      </c>
      <c r="E185" s="102">
        <v>3636.284532</v>
      </c>
      <c r="F185" s="102">
        <v>88616.42561</v>
      </c>
      <c r="G185" s="102">
        <v>18432.21653</v>
      </c>
      <c r="H185" s="102">
        <v>70184.20909</v>
      </c>
      <c r="I185" s="102">
        <v>35092.10454</v>
      </c>
      <c r="J185" s="102">
        <v>35092.10454</v>
      </c>
    </row>
    <row r="186" ht="15.0" customHeight="1">
      <c r="A186" s="106">
        <v>184.0</v>
      </c>
      <c r="B186" s="80">
        <v>1504084.304</v>
      </c>
      <c r="C186" s="80">
        <v>1598540.799</v>
      </c>
      <c r="D186" s="80">
        <v>94456.49431</v>
      </c>
      <c r="E186" s="80">
        <v>3723.150124</v>
      </c>
      <c r="F186" s="80">
        <v>90733.34419</v>
      </c>
      <c r="G186" s="80">
        <v>18872.53559</v>
      </c>
      <c r="H186" s="80">
        <v>71860.8086</v>
      </c>
      <c r="I186" s="80">
        <v>35930.4043</v>
      </c>
      <c r="J186" s="80">
        <v>35930.4043</v>
      </c>
    </row>
    <row r="187" ht="15.0" customHeight="1">
      <c r="A187" s="105">
        <v>185.0</v>
      </c>
      <c r="B187" s="102">
        <v>1540014.709</v>
      </c>
      <c r="C187" s="102">
        <v>1636727.632</v>
      </c>
      <c r="D187" s="102">
        <v>96712.9237</v>
      </c>
      <c r="E187" s="102">
        <v>3812.090809</v>
      </c>
      <c r="F187" s="102">
        <v>92900.83289</v>
      </c>
      <c r="G187" s="102">
        <v>19323.37324</v>
      </c>
      <c r="H187" s="102">
        <v>73577.45965</v>
      </c>
      <c r="I187" s="102">
        <v>36788.72982</v>
      </c>
      <c r="J187" s="102">
        <v>36788.72982</v>
      </c>
    </row>
    <row r="188" ht="15.0" customHeight="1">
      <c r="A188" s="106">
        <v>186.0</v>
      </c>
      <c r="B188" s="80">
        <v>1576803.438</v>
      </c>
      <c r="C188" s="80">
        <v>1675826.694</v>
      </c>
      <c r="D188" s="80">
        <v>99023.25593</v>
      </c>
      <c r="E188" s="80">
        <v>3903.156159</v>
      </c>
      <c r="F188" s="80">
        <v>95120.09977</v>
      </c>
      <c r="G188" s="80">
        <v>19784.98075</v>
      </c>
      <c r="H188" s="80">
        <v>75335.11902</v>
      </c>
      <c r="I188" s="80">
        <v>37667.55951</v>
      </c>
      <c r="J188" s="80">
        <v>37667.55951</v>
      </c>
    </row>
    <row r="189" ht="15.0" customHeight="1">
      <c r="A189" s="105">
        <v>187.0</v>
      </c>
      <c r="B189" s="102">
        <v>1614470.998</v>
      </c>
      <c r="C189" s="102">
        <v>1715859.777</v>
      </c>
      <c r="D189" s="102">
        <v>101388.7787</v>
      </c>
      <c r="E189" s="102">
        <v>3996.396929</v>
      </c>
      <c r="F189" s="102">
        <v>97392.38174</v>
      </c>
      <c r="G189" s="102">
        <v>20257.6154</v>
      </c>
      <c r="H189" s="102">
        <v>77134.76634</v>
      </c>
      <c r="I189" s="102">
        <v>38567.38317</v>
      </c>
      <c r="J189" s="102">
        <v>38567.38317</v>
      </c>
    </row>
    <row r="190" ht="15.0" customHeight="1">
      <c r="A190" s="106">
        <v>188.0</v>
      </c>
      <c r="B190" s="80">
        <v>1653038.381</v>
      </c>
      <c r="C190" s="80">
        <v>1756849.191</v>
      </c>
      <c r="D190" s="80">
        <v>103810.8103</v>
      </c>
      <c r="E190" s="80">
        <v>4091.865087</v>
      </c>
      <c r="F190" s="80">
        <v>99718.94525</v>
      </c>
      <c r="G190" s="80">
        <v>20741.54061</v>
      </c>
      <c r="H190" s="80">
        <v>78977.40464</v>
      </c>
      <c r="I190" s="80">
        <v>39488.70232</v>
      </c>
      <c r="J190" s="80">
        <v>39488.70232</v>
      </c>
    </row>
    <row r="191" ht="15.0" customHeight="1">
      <c r="A191" s="105">
        <v>189.0</v>
      </c>
      <c r="B191" s="102">
        <v>1692527.083</v>
      </c>
      <c r="C191" s="102">
        <v>1798817.784</v>
      </c>
      <c r="D191" s="102">
        <v>106290.7008</v>
      </c>
      <c r="E191" s="102">
        <v>4189.613841</v>
      </c>
      <c r="F191" s="102">
        <v>102101.087</v>
      </c>
      <c r="G191" s="102">
        <v>21237.0261</v>
      </c>
      <c r="H191" s="102">
        <v>80864.0609</v>
      </c>
      <c r="I191" s="102">
        <v>40432.03045</v>
      </c>
      <c r="J191" s="102">
        <v>40432.03045</v>
      </c>
    </row>
    <row r="192" ht="15.0" customHeight="1">
      <c r="A192" s="106">
        <v>190.0</v>
      </c>
      <c r="B192" s="80">
        <v>1732959.114</v>
      </c>
      <c r="C192" s="80">
        <v>1841788.946</v>
      </c>
      <c r="D192" s="80">
        <v>108829.8324</v>
      </c>
      <c r="E192" s="80">
        <v>4289.697672</v>
      </c>
      <c r="F192" s="80">
        <v>104540.1347</v>
      </c>
      <c r="G192" s="80">
        <v>21744.34801</v>
      </c>
      <c r="H192" s="80">
        <v>82795.78667</v>
      </c>
      <c r="I192" s="80">
        <v>41397.89333</v>
      </c>
      <c r="J192" s="80">
        <v>41397.89333</v>
      </c>
    </row>
    <row r="193" ht="15.0" customHeight="1">
      <c r="A193" s="105">
        <v>191.0</v>
      </c>
      <c r="B193" s="102">
        <v>1774357.007</v>
      </c>
      <c r="C193" s="102">
        <v>1885786.627</v>
      </c>
      <c r="D193" s="102">
        <v>111429.6201</v>
      </c>
      <c r="E193" s="102">
        <v>4392.172361</v>
      </c>
      <c r="F193" s="102">
        <v>107037.4477</v>
      </c>
      <c r="G193" s="102">
        <v>22263.78912</v>
      </c>
      <c r="H193" s="102">
        <v>84773.65857</v>
      </c>
      <c r="I193" s="102">
        <v>42386.82929</v>
      </c>
      <c r="J193" s="102">
        <v>42386.82929</v>
      </c>
    </row>
    <row r="194" ht="15.0" customHeight="1">
      <c r="A194" s="106">
        <v>192.0</v>
      </c>
      <c r="B194" s="80">
        <v>1816743.836</v>
      </c>
      <c r="C194" s="80">
        <v>1930835.349</v>
      </c>
      <c r="D194" s="80">
        <v>114091.5129</v>
      </c>
      <c r="E194" s="80">
        <v>4497.095023</v>
      </c>
      <c r="F194" s="80">
        <v>109594.4179</v>
      </c>
      <c r="G194" s="80">
        <v>22795.63893</v>
      </c>
      <c r="H194" s="80">
        <v>86798.77898</v>
      </c>
      <c r="I194" s="80">
        <v>43399.38949</v>
      </c>
      <c r="J194" s="80">
        <v>43399.38949</v>
      </c>
    </row>
    <row r="195" ht="15.0" customHeight="1">
      <c r="A195" s="105">
        <v>193.0</v>
      </c>
      <c r="B195" s="102">
        <v>1860143.226</v>
      </c>
      <c r="C195" s="102">
        <v>1976960.221</v>
      </c>
      <c r="D195" s="102">
        <v>116816.9946</v>
      </c>
      <c r="E195" s="102">
        <v>4604.524136</v>
      </c>
      <c r="F195" s="102">
        <v>112212.4705</v>
      </c>
      <c r="G195" s="102">
        <v>23340.19385</v>
      </c>
      <c r="H195" s="102">
        <v>88872.2766</v>
      </c>
      <c r="I195" s="102">
        <v>44436.1383</v>
      </c>
      <c r="J195" s="102">
        <v>44436.1383</v>
      </c>
    </row>
    <row r="196" ht="15.0" customHeight="1">
      <c r="A196" s="106">
        <v>194.0</v>
      </c>
      <c r="B196" s="80">
        <v>1904579.364</v>
      </c>
      <c r="C196" s="80">
        <v>2024186.948</v>
      </c>
      <c r="D196" s="80">
        <v>119607.5841</v>
      </c>
      <c r="E196" s="80">
        <v>4714.519575</v>
      </c>
      <c r="F196" s="80">
        <v>114893.0645</v>
      </c>
      <c r="G196" s="80">
        <v>23897.75742</v>
      </c>
      <c r="H196" s="80">
        <v>90995.30709</v>
      </c>
      <c r="I196" s="80">
        <v>45497.65354</v>
      </c>
      <c r="J196" s="80">
        <v>45497.65354</v>
      </c>
    </row>
    <row r="197" ht="15.0" customHeight="1">
      <c r="A197" s="105">
        <v>195.0</v>
      </c>
      <c r="B197" s="102">
        <v>1950077.018</v>
      </c>
      <c r="C197" s="102">
        <v>2072541.855</v>
      </c>
      <c r="D197" s="102">
        <v>122464.8367</v>
      </c>
      <c r="E197" s="102">
        <v>4827.142647</v>
      </c>
      <c r="F197" s="102">
        <v>117637.6941</v>
      </c>
      <c r="G197" s="102">
        <v>24468.64037</v>
      </c>
      <c r="H197" s="102">
        <v>93169.05371</v>
      </c>
      <c r="I197" s="102">
        <v>46584.52685</v>
      </c>
      <c r="J197" s="102">
        <v>46584.52685</v>
      </c>
    </row>
    <row r="198" ht="15.0" customHeight="1">
      <c r="A198" s="106">
        <v>196.0</v>
      </c>
      <c r="B198" s="80">
        <v>1996661.545</v>
      </c>
      <c r="C198" s="80">
        <v>2122051.89</v>
      </c>
      <c r="D198" s="80">
        <v>125390.345</v>
      </c>
      <c r="E198" s="80">
        <v>4942.456121</v>
      </c>
      <c r="F198" s="80">
        <v>120447.8889</v>
      </c>
      <c r="G198" s="80">
        <v>25053.16089</v>
      </c>
      <c r="H198" s="80">
        <v>95394.728</v>
      </c>
      <c r="I198" s="80">
        <v>47697.364</v>
      </c>
      <c r="J198" s="80">
        <v>47697.364</v>
      </c>
    </row>
    <row r="199" ht="15.0" customHeight="1">
      <c r="A199" s="105">
        <v>197.0</v>
      </c>
      <c r="B199" s="102">
        <v>2044358.909</v>
      </c>
      <c r="C199" s="102">
        <v>2172744.648</v>
      </c>
      <c r="D199" s="102">
        <v>128385.7395</v>
      </c>
      <c r="E199" s="102">
        <v>5060.524268</v>
      </c>
      <c r="F199" s="102">
        <v>123325.2152</v>
      </c>
      <c r="G199" s="102">
        <v>25651.64476</v>
      </c>
      <c r="H199" s="102">
        <v>97673.57044</v>
      </c>
      <c r="I199" s="102">
        <v>48836.78522</v>
      </c>
      <c r="J199" s="102">
        <v>48836.78522</v>
      </c>
    </row>
    <row r="200" ht="15.0" customHeight="1">
      <c r="A200" s="106">
        <v>198.0</v>
      </c>
      <c r="B200" s="80">
        <v>2093195.694</v>
      </c>
      <c r="C200" s="80">
        <v>2224648.383</v>
      </c>
      <c r="D200" s="80">
        <v>131452.6896</v>
      </c>
      <c r="E200" s="80">
        <v>5181.412893</v>
      </c>
      <c r="F200" s="80">
        <v>126271.2767</v>
      </c>
      <c r="G200" s="80">
        <v>26264.42555</v>
      </c>
      <c r="H200" s="80">
        <v>100006.8511</v>
      </c>
      <c r="I200" s="80">
        <v>50003.42557</v>
      </c>
      <c r="J200" s="80">
        <v>50003.42557</v>
      </c>
    </row>
    <row r="201" ht="15.0" customHeight="1">
      <c r="A201" s="105">
        <v>199.0</v>
      </c>
      <c r="B201" s="102">
        <v>2143199.119</v>
      </c>
      <c r="C201" s="102">
        <v>2277792.024</v>
      </c>
      <c r="D201" s="102">
        <v>134592.9047</v>
      </c>
      <c r="E201" s="102">
        <v>5305.189372</v>
      </c>
      <c r="F201" s="102">
        <v>129287.7153</v>
      </c>
      <c r="G201" s="102">
        <v>26891.84479</v>
      </c>
      <c r="H201" s="102">
        <v>102395.8705</v>
      </c>
      <c r="I201" s="102">
        <v>51197.93527</v>
      </c>
      <c r="J201" s="102">
        <v>51197.93527</v>
      </c>
    </row>
    <row r="202" ht="15.0" customHeight="1">
      <c r="A202" s="106">
        <v>200.0</v>
      </c>
      <c r="B202" s="80">
        <v>2194397.055</v>
      </c>
      <c r="C202" s="80">
        <v>2332205.19</v>
      </c>
      <c r="D202" s="80">
        <v>137808.135</v>
      </c>
      <c r="E202" s="80">
        <v>5431.922693</v>
      </c>
      <c r="F202" s="80">
        <v>132376.2123</v>
      </c>
      <c r="G202" s="80">
        <v>27534.25217</v>
      </c>
      <c r="H202" s="80">
        <v>104841.9602</v>
      </c>
      <c r="I202" s="80">
        <v>52420.98009</v>
      </c>
      <c r="J202" s="80">
        <v>52420.98009</v>
      </c>
    </row>
    <row r="203" ht="15.0" customHeight="1">
      <c r="A203" s="105">
        <v>201.0</v>
      </c>
      <c r="B203" s="102">
        <v>2246818.035</v>
      </c>
      <c r="C203" s="102">
        <v>2387918.207</v>
      </c>
      <c r="D203" s="102">
        <v>141100.1726</v>
      </c>
      <c r="E203" s="102">
        <v>5561.683491</v>
      </c>
      <c r="F203" s="102">
        <v>135538.4891</v>
      </c>
      <c r="G203" s="102">
        <v>28192.00573</v>
      </c>
      <c r="H203" s="102">
        <v>107346.4834</v>
      </c>
      <c r="I203" s="102">
        <v>53673.24168</v>
      </c>
      <c r="J203" s="102">
        <v>53673.24168</v>
      </c>
    </row>
    <row r="204" ht="15.0" customHeight="1">
      <c r="A204" s="106">
        <v>202.0</v>
      </c>
      <c r="B204" s="80">
        <v>2300491.277</v>
      </c>
      <c r="C204" s="80">
        <v>2444962.129</v>
      </c>
      <c r="D204" s="80">
        <v>144470.8522</v>
      </c>
      <c r="E204" s="80">
        <v>5694.544086</v>
      </c>
      <c r="F204" s="80">
        <v>138776.3081</v>
      </c>
      <c r="G204" s="80">
        <v>28865.47208</v>
      </c>
      <c r="H204" s="80">
        <v>109910.836</v>
      </c>
      <c r="I204" s="80">
        <v>54955.418</v>
      </c>
      <c r="J204" s="80">
        <v>54955.418</v>
      </c>
    </row>
    <row r="205" ht="15.0" customHeight="1">
      <c r="A205" s="105">
        <v>203.0</v>
      </c>
      <c r="B205" s="102">
        <v>2355446.695</v>
      </c>
      <c r="C205" s="102">
        <v>2503368.747</v>
      </c>
      <c r="D205" s="102">
        <v>147922.0524</v>
      </c>
      <c r="E205" s="102">
        <v>5830.57853</v>
      </c>
      <c r="F205" s="102">
        <v>142091.4739</v>
      </c>
      <c r="G205" s="102">
        <v>29555.02657</v>
      </c>
      <c r="H205" s="102">
        <v>112536.4473</v>
      </c>
      <c r="I205" s="102">
        <v>56268.22366</v>
      </c>
      <c r="J205" s="102">
        <v>56268.22366</v>
      </c>
    </row>
    <row r="206" ht="15.0" customHeight="1">
      <c r="A206" s="106">
        <v>204.0</v>
      </c>
      <c r="B206" s="80">
        <v>2411714.918</v>
      </c>
      <c r="C206" s="80">
        <v>2563170.615</v>
      </c>
      <c r="D206" s="80">
        <v>151455.6969</v>
      </c>
      <c r="E206" s="80">
        <v>5969.86264</v>
      </c>
      <c r="F206" s="80">
        <v>145485.8342</v>
      </c>
      <c r="G206" s="80">
        <v>30261.05352</v>
      </c>
      <c r="H206" s="80">
        <v>115224.7807</v>
      </c>
      <c r="I206" s="80">
        <v>57612.39035</v>
      </c>
      <c r="J206" s="80">
        <v>57612.39035</v>
      </c>
    </row>
    <row r="207" ht="15.0" customHeight="1">
      <c r="A207" s="105">
        <v>205.0</v>
      </c>
      <c r="B207" s="102">
        <v>2469327.309</v>
      </c>
      <c r="C207" s="102">
        <v>2624401.063</v>
      </c>
      <c r="D207" s="102">
        <v>155073.755</v>
      </c>
      <c r="E207" s="102">
        <v>6112.474046</v>
      </c>
      <c r="F207" s="102">
        <v>148961.2809</v>
      </c>
      <c r="G207" s="102">
        <v>30983.94643</v>
      </c>
      <c r="H207" s="102">
        <v>117977.3345</v>
      </c>
      <c r="I207" s="102">
        <v>58988.66725</v>
      </c>
      <c r="J207" s="102">
        <v>58988.66725</v>
      </c>
    </row>
    <row r="208" ht="15.0" customHeight="1">
      <c r="A208" s="106">
        <v>206.0</v>
      </c>
      <c r="B208" s="80">
        <v>2528315.976</v>
      </c>
      <c r="C208" s="80">
        <v>2687094.219</v>
      </c>
      <c r="D208" s="80">
        <v>158778.2433</v>
      </c>
      <c r="E208" s="80">
        <v>6258.492234</v>
      </c>
      <c r="F208" s="80">
        <v>152519.751</v>
      </c>
      <c r="G208" s="80">
        <v>31724.10822</v>
      </c>
      <c r="H208" s="80">
        <v>120795.6428</v>
      </c>
      <c r="I208" s="80">
        <v>60397.82141</v>
      </c>
      <c r="J208" s="80">
        <v>60397.82141</v>
      </c>
    </row>
    <row r="209" ht="15.0" customHeight="1">
      <c r="A209" s="105">
        <v>207.0</v>
      </c>
      <c r="B209" s="102">
        <v>2588713.797</v>
      </c>
      <c r="C209" s="102">
        <v>2751285.024</v>
      </c>
      <c r="D209" s="102">
        <v>162571.2265</v>
      </c>
      <c r="E209" s="102">
        <v>6407.998585</v>
      </c>
      <c r="F209" s="102">
        <v>156163.2279</v>
      </c>
      <c r="G209" s="102">
        <v>32481.9514</v>
      </c>
      <c r="H209" s="102">
        <v>123681.2765</v>
      </c>
      <c r="I209" s="102">
        <v>61840.63824</v>
      </c>
      <c r="J209" s="102">
        <v>61840.63824</v>
      </c>
    </row>
    <row r="210" ht="15.0" customHeight="1">
      <c r="A210" s="106">
        <v>208.0</v>
      </c>
      <c r="B210" s="80">
        <v>2650554.435</v>
      </c>
      <c r="C210" s="80">
        <v>2817009.254</v>
      </c>
      <c r="D210" s="80">
        <v>166454.8185</v>
      </c>
      <c r="E210" s="80">
        <v>6561.076427</v>
      </c>
      <c r="F210" s="80">
        <v>159893.7421</v>
      </c>
      <c r="G210" s="80">
        <v>33257.89836</v>
      </c>
      <c r="H210" s="80">
        <v>126635.8438</v>
      </c>
      <c r="I210" s="80">
        <v>63317.92188</v>
      </c>
      <c r="J210" s="80">
        <v>63317.92188</v>
      </c>
    </row>
    <row r="211" ht="15.0" customHeight="1">
      <c r="A211" s="105">
        <v>209.0</v>
      </c>
      <c r="B211" s="102">
        <v>2713872.357</v>
      </c>
      <c r="C211" s="102">
        <v>2884303.541</v>
      </c>
      <c r="D211" s="102">
        <v>170431.184</v>
      </c>
      <c r="E211" s="102">
        <v>6717.811078</v>
      </c>
      <c r="F211" s="102">
        <v>163713.373</v>
      </c>
      <c r="G211" s="102">
        <v>34052.38158</v>
      </c>
      <c r="H211" s="102">
        <v>129660.9914</v>
      </c>
      <c r="I211" s="102">
        <v>64830.49569</v>
      </c>
      <c r="J211" s="102">
        <v>64830.49569</v>
      </c>
    </row>
    <row r="212" ht="15.0" customHeight="1">
      <c r="A212" s="106">
        <v>210.0</v>
      </c>
      <c r="B212" s="80">
        <v>2778702.853</v>
      </c>
      <c r="C212" s="80">
        <v>2953205.392</v>
      </c>
      <c r="D212" s="80">
        <v>174502.5392</v>
      </c>
      <c r="E212" s="80">
        <v>6878.289894</v>
      </c>
      <c r="F212" s="80">
        <v>167624.2493</v>
      </c>
      <c r="G212" s="80">
        <v>34865.84385</v>
      </c>
      <c r="H212" s="80">
        <v>132758.4054</v>
      </c>
      <c r="I212" s="80">
        <v>66379.20271</v>
      </c>
      <c r="J212" s="80">
        <v>66379.20271</v>
      </c>
    </row>
    <row r="213" ht="15.0" customHeight="1">
      <c r="A213" s="105">
        <v>211.0</v>
      </c>
      <c r="B213" s="102">
        <v>2845082.056</v>
      </c>
      <c r="C213" s="102">
        <v>3023753.209</v>
      </c>
      <c r="D213" s="102">
        <v>178671.1531</v>
      </c>
      <c r="E213" s="102">
        <v>7042.602317</v>
      </c>
      <c r="F213" s="102">
        <v>171628.5508</v>
      </c>
      <c r="G213" s="102">
        <v>35698.73856</v>
      </c>
      <c r="H213" s="102">
        <v>135929.8122</v>
      </c>
      <c r="I213" s="102">
        <v>67964.90611</v>
      </c>
      <c r="J213" s="102">
        <v>67964.90611</v>
      </c>
    </row>
    <row r="214" ht="15.0" customHeight="1">
      <c r="A214" s="106">
        <v>212.0</v>
      </c>
      <c r="B214" s="80">
        <v>2913046.962</v>
      </c>
      <c r="C214" s="80">
        <v>3095986.311</v>
      </c>
      <c r="D214" s="80">
        <v>182939.3492</v>
      </c>
      <c r="E214" s="80">
        <v>7210.839927</v>
      </c>
      <c r="F214" s="80">
        <v>175728.5093</v>
      </c>
      <c r="G214" s="80">
        <v>36551.52993</v>
      </c>
      <c r="H214" s="80">
        <v>139176.9793</v>
      </c>
      <c r="I214" s="80">
        <v>69588.48967</v>
      </c>
      <c r="J214" s="80">
        <v>69588.48967</v>
      </c>
    </row>
    <row r="215" ht="15.0" customHeight="1">
      <c r="A215" s="105">
        <v>213.0</v>
      </c>
      <c r="B215" s="102">
        <v>2982635.451</v>
      </c>
      <c r="C215" s="102">
        <v>3169944.958</v>
      </c>
      <c r="D215" s="102">
        <v>187309.5064</v>
      </c>
      <c r="E215" s="102">
        <v>7383.096491</v>
      </c>
      <c r="F215" s="102">
        <v>179926.4099</v>
      </c>
      <c r="G215" s="102">
        <v>37424.69325</v>
      </c>
      <c r="H215" s="102">
        <v>142501.7166</v>
      </c>
      <c r="I215" s="102">
        <v>71250.85831</v>
      </c>
      <c r="J215" s="102">
        <v>71250.85831</v>
      </c>
    </row>
    <row r="216" ht="15.0" customHeight="1">
      <c r="A216" s="106">
        <v>214.0</v>
      </c>
      <c r="B216" s="80">
        <v>3053886.31</v>
      </c>
      <c r="C216" s="80">
        <v>3245670.37</v>
      </c>
      <c r="D216" s="80">
        <v>191784.0603</v>
      </c>
      <c r="E216" s="80">
        <v>7559.468016</v>
      </c>
      <c r="F216" s="80">
        <v>184224.5922</v>
      </c>
      <c r="G216" s="80">
        <v>38318.71519</v>
      </c>
      <c r="H216" s="80">
        <v>145905.8771</v>
      </c>
      <c r="I216" s="80">
        <v>72952.93853</v>
      </c>
      <c r="J216" s="80">
        <v>72952.93853</v>
      </c>
    </row>
    <row r="217" ht="15.0" customHeight="1">
      <c r="A217" s="105">
        <v>215.0</v>
      </c>
      <c r="B217" s="102">
        <v>3126839.248</v>
      </c>
      <c r="C217" s="102">
        <v>3323204.753</v>
      </c>
      <c r="D217" s="102">
        <v>196365.5048</v>
      </c>
      <c r="E217" s="102">
        <v>7740.052802</v>
      </c>
      <c r="F217" s="102">
        <v>188625.452</v>
      </c>
      <c r="G217" s="102">
        <v>39234.09401</v>
      </c>
      <c r="H217" s="102">
        <v>149391.358</v>
      </c>
      <c r="I217" s="102">
        <v>74695.67899</v>
      </c>
      <c r="J217" s="102">
        <v>74695.67899</v>
      </c>
    </row>
    <row r="218" ht="15.0" customHeight="1">
      <c r="A218" s="106">
        <v>216.0</v>
      </c>
      <c r="B218" s="80">
        <v>3201534.927</v>
      </c>
      <c r="C218" s="80">
        <v>3402591.321</v>
      </c>
      <c r="D218" s="80">
        <v>201056.3934</v>
      </c>
      <c r="E218" s="80">
        <v>7924.951498</v>
      </c>
      <c r="F218" s="80">
        <v>193131.4419</v>
      </c>
      <c r="G218" s="80">
        <v>40171.33992</v>
      </c>
      <c r="H218" s="80">
        <v>152960.102</v>
      </c>
      <c r="I218" s="80">
        <v>76480.05101</v>
      </c>
      <c r="J218" s="80">
        <v>76480.05101</v>
      </c>
    </row>
    <row r="219" ht="15.0" customHeight="1">
      <c r="A219" s="105">
        <v>217.0</v>
      </c>
      <c r="B219" s="102">
        <v>3278014.978</v>
      </c>
      <c r="C219" s="102">
        <v>3483874.319</v>
      </c>
      <c r="D219" s="102">
        <v>205859.3406</v>
      </c>
      <c r="E219" s="102">
        <v>8114.267157</v>
      </c>
      <c r="F219" s="102">
        <v>197745.0735</v>
      </c>
      <c r="G219" s="102">
        <v>41130.97528</v>
      </c>
      <c r="H219" s="102">
        <v>156614.0982</v>
      </c>
      <c r="I219" s="102">
        <v>78307.0491</v>
      </c>
      <c r="J219" s="102">
        <v>78307.0491</v>
      </c>
    </row>
    <row r="220" ht="15.0" customHeight="1">
      <c r="A220" s="106">
        <v>218.0</v>
      </c>
      <c r="B220" s="80">
        <v>3356322.027</v>
      </c>
      <c r="C220" s="80">
        <v>3567099.051</v>
      </c>
      <c r="D220" s="80">
        <v>210777.0233</v>
      </c>
      <c r="E220" s="80">
        <v>8308.105294</v>
      </c>
      <c r="F220" s="80">
        <v>202468.918</v>
      </c>
      <c r="G220" s="80">
        <v>42113.53495</v>
      </c>
      <c r="H220" s="80">
        <v>160355.3831</v>
      </c>
      <c r="I220" s="80">
        <v>80177.69154</v>
      </c>
      <c r="J220" s="80">
        <v>80177.69154</v>
      </c>
    </row>
    <row r="221" ht="15.0" customHeight="1">
      <c r="A221" s="105">
        <v>219.0</v>
      </c>
      <c r="B221" s="102">
        <v>3436499.719</v>
      </c>
      <c r="C221" s="102">
        <v>3652311.901</v>
      </c>
      <c r="D221" s="102">
        <v>215812.1824</v>
      </c>
      <c r="E221" s="102">
        <v>8506.573944</v>
      </c>
      <c r="F221" s="102">
        <v>207305.6084</v>
      </c>
      <c r="G221" s="102">
        <v>43119.56655</v>
      </c>
      <c r="H221" s="102">
        <v>164186.0419</v>
      </c>
      <c r="I221" s="102">
        <v>82093.02093</v>
      </c>
      <c r="J221" s="102">
        <v>82093.02093</v>
      </c>
    </row>
    <row r="222" ht="15.0" customHeight="1">
      <c r="A222" s="106">
        <v>220.0</v>
      </c>
      <c r="B222" s="80">
        <v>3518592.74</v>
      </c>
      <c r="C222" s="80">
        <v>3739560.364</v>
      </c>
      <c r="D222" s="80">
        <v>220967.6241</v>
      </c>
      <c r="E222" s="80">
        <v>8709.783725</v>
      </c>
      <c r="F222" s="80">
        <v>212257.8403</v>
      </c>
      <c r="G222" s="80">
        <v>44149.63079</v>
      </c>
      <c r="H222" s="80">
        <v>168108.2095</v>
      </c>
      <c r="I222" s="80">
        <v>84054.10477</v>
      </c>
      <c r="J222" s="80">
        <v>84054.10477</v>
      </c>
    </row>
    <row r="223" ht="15.0" customHeight="1">
      <c r="A223" s="105">
        <v>221.0</v>
      </c>
      <c r="B223" s="102">
        <v>3602646.845</v>
      </c>
      <c r="C223" s="102">
        <v>3828893.066</v>
      </c>
      <c r="D223" s="102">
        <v>226246.2218</v>
      </c>
      <c r="E223" s="102">
        <v>8917.847893</v>
      </c>
      <c r="F223" s="102">
        <v>217328.374</v>
      </c>
      <c r="G223" s="102">
        <v>45204.30178</v>
      </c>
      <c r="H223" s="102">
        <v>172124.0722</v>
      </c>
      <c r="I223" s="102">
        <v>86062.03608</v>
      </c>
      <c r="J223" s="102">
        <v>86062.03608</v>
      </c>
    </row>
    <row r="224" ht="15.0" customHeight="1">
      <c r="A224" s="106">
        <v>222.0</v>
      </c>
      <c r="B224" s="80">
        <v>3688708.881</v>
      </c>
      <c r="C224" s="80">
        <v>3920359.798</v>
      </c>
      <c r="D224" s="80">
        <v>231650.9177</v>
      </c>
      <c r="E224" s="80">
        <v>9130.882415</v>
      </c>
      <c r="F224" s="80">
        <v>222520.0353</v>
      </c>
      <c r="G224" s="80">
        <v>46284.16734</v>
      </c>
      <c r="H224" s="80">
        <v>176235.868</v>
      </c>
      <c r="I224" s="80">
        <v>88117.93398</v>
      </c>
      <c r="J224" s="80">
        <v>88117.93398</v>
      </c>
    </row>
    <row r="225" ht="15.0" customHeight="1">
      <c r="A225" s="105">
        <v>223.0</v>
      </c>
      <c r="B225" s="102">
        <v>3776826.815</v>
      </c>
      <c r="C225" s="102">
        <v>4014011.539</v>
      </c>
      <c r="D225" s="102">
        <v>237184.724</v>
      </c>
      <c r="E225" s="102">
        <v>9349.006024</v>
      </c>
      <c r="F225" s="102">
        <v>227835.7179</v>
      </c>
      <c r="G225" s="102">
        <v>47389.82933</v>
      </c>
      <c r="H225" s="102">
        <v>180445.8886</v>
      </c>
      <c r="I225" s="102">
        <v>90222.9443</v>
      </c>
      <c r="J225" s="102">
        <v>90222.9443</v>
      </c>
    </row>
    <row r="226" ht="15.0" customHeight="1">
      <c r="A226" s="106">
        <v>224.0</v>
      </c>
      <c r="B226" s="80">
        <v>3867049.759</v>
      </c>
      <c r="C226" s="80">
        <v>4109900.484</v>
      </c>
      <c r="D226" s="80">
        <v>242850.7249</v>
      </c>
      <c r="E226" s="80">
        <v>9572.340291</v>
      </c>
      <c r="F226" s="80">
        <v>233278.3846</v>
      </c>
      <c r="G226" s="80">
        <v>48521.90399</v>
      </c>
      <c r="H226" s="80">
        <v>184756.4806</v>
      </c>
      <c r="I226" s="80">
        <v>92378.24029</v>
      </c>
      <c r="J226" s="80">
        <v>92378.24029</v>
      </c>
    </row>
    <row r="227" ht="15.0" customHeight="1">
      <c r="A227" s="105">
        <v>225.0</v>
      </c>
      <c r="B227" s="102">
        <v>3959427.999</v>
      </c>
      <c r="C227" s="102">
        <v>4208080.078</v>
      </c>
      <c r="D227" s="102">
        <v>248652.0784</v>
      </c>
      <c r="E227" s="102">
        <v>9801.009692</v>
      </c>
      <c r="F227" s="102">
        <v>238851.0687</v>
      </c>
      <c r="G227" s="102">
        <v>49681.02228</v>
      </c>
      <c r="H227" s="102">
        <v>189170.0464</v>
      </c>
      <c r="I227" s="102">
        <v>94585.02319</v>
      </c>
      <c r="J227" s="102">
        <v>94585.02319</v>
      </c>
    </row>
    <row r="228" ht="15.0" customHeight="1">
      <c r="A228" s="106">
        <v>226.0</v>
      </c>
      <c r="B228" s="80">
        <v>4054013.023</v>
      </c>
      <c r="C228" s="80">
        <v>4308605.04</v>
      </c>
      <c r="D228" s="80">
        <v>254592.0178</v>
      </c>
      <c r="E228" s="80">
        <v>10035.14168</v>
      </c>
      <c r="F228" s="80">
        <v>244556.8761</v>
      </c>
      <c r="G228" s="80">
        <v>50867.83024</v>
      </c>
      <c r="H228" s="80">
        <v>193689.0459</v>
      </c>
      <c r="I228" s="80">
        <v>96844.52295</v>
      </c>
      <c r="J228" s="80">
        <v>96844.52295</v>
      </c>
    </row>
    <row r="229" ht="15.0" customHeight="1">
      <c r="A229" s="105">
        <v>227.0</v>
      </c>
      <c r="B229" s="102">
        <v>4150857.545</v>
      </c>
      <c r="C229" s="102">
        <v>4411531.399</v>
      </c>
      <c r="D229" s="102">
        <v>260673.8539</v>
      </c>
      <c r="E229" s="102">
        <v>10274.86673</v>
      </c>
      <c r="F229" s="102">
        <v>250398.9871</v>
      </c>
      <c r="G229" s="102">
        <v>52082.98932</v>
      </c>
      <c r="H229" s="102">
        <v>198315.9978</v>
      </c>
      <c r="I229" s="102">
        <v>99157.9989</v>
      </c>
      <c r="J229" s="102">
        <v>99157.9989</v>
      </c>
    </row>
    <row r="230" ht="15.0" customHeight="1">
      <c r="A230" s="106">
        <v>228.0</v>
      </c>
      <c r="B230" s="80">
        <v>4250015.544</v>
      </c>
      <c r="C230" s="80">
        <v>4516916.521</v>
      </c>
      <c r="D230" s="80">
        <v>266900.9762</v>
      </c>
      <c r="E230" s="80">
        <v>10520.31848</v>
      </c>
      <c r="F230" s="80">
        <v>256380.6577</v>
      </c>
      <c r="G230" s="80">
        <v>53327.1768</v>
      </c>
      <c r="H230" s="80">
        <v>203053.4809</v>
      </c>
      <c r="I230" s="80">
        <v>101526.7405</v>
      </c>
      <c r="J230" s="80">
        <v>101526.7405</v>
      </c>
    </row>
    <row r="231" ht="15.0" customHeight="1">
      <c r="A231" s="105">
        <v>229.0</v>
      </c>
      <c r="B231" s="102">
        <v>4351542.285</v>
      </c>
      <c r="C231" s="102">
        <v>4624819.14</v>
      </c>
      <c r="D231" s="102">
        <v>273276.8555</v>
      </c>
      <c r="E231" s="102">
        <v>10771.63371</v>
      </c>
      <c r="F231" s="102">
        <v>262505.2218</v>
      </c>
      <c r="G231" s="102">
        <v>54601.08613</v>
      </c>
      <c r="H231" s="102">
        <v>207904.1356</v>
      </c>
      <c r="I231" s="102">
        <v>103952.0678</v>
      </c>
      <c r="J231" s="102">
        <v>103952.0678</v>
      </c>
    </row>
    <row r="232" ht="15.0" customHeight="1">
      <c r="A232" s="106">
        <v>230.0</v>
      </c>
      <c r="B232" s="80">
        <v>4455494.353</v>
      </c>
      <c r="C232" s="80">
        <v>4735299.398</v>
      </c>
      <c r="D232" s="80">
        <v>279805.0453</v>
      </c>
      <c r="E232" s="80">
        <v>11028.9525</v>
      </c>
      <c r="F232" s="80">
        <v>268776.0928</v>
      </c>
      <c r="G232" s="80">
        <v>55905.42731</v>
      </c>
      <c r="H232" s="80">
        <v>212870.6655</v>
      </c>
      <c r="I232" s="80">
        <v>106435.3328</v>
      </c>
      <c r="J232" s="80">
        <v>106435.3328</v>
      </c>
    </row>
    <row r="233" ht="15.0" customHeight="1">
      <c r="A233" s="105">
        <v>231.0</v>
      </c>
      <c r="B233" s="102">
        <v>4561929.685</v>
      </c>
      <c r="C233" s="102">
        <v>4848418.87</v>
      </c>
      <c r="D233" s="102">
        <v>286489.1842</v>
      </c>
      <c r="E233" s="102">
        <v>11292.41827</v>
      </c>
      <c r="F233" s="102">
        <v>275196.766</v>
      </c>
      <c r="G233" s="102">
        <v>57240.92732</v>
      </c>
      <c r="H233" s="102">
        <v>217955.8387</v>
      </c>
      <c r="I233" s="102">
        <v>108977.9193</v>
      </c>
      <c r="J233" s="102">
        <v>108977.9193</v>
      </c>
    </row>
    <row r="234" ht="15.0" customHeight="1">
      <c r="A234" s="106">
        <v>232.0</v>
      </c>
      <c r="B234" s="80">
        <v>4670907.605</v>
      </c>
      <c r="C234" s="80">
        <v>4964240.602</v>
      </c>
      <c r="D234" s="80">
        <v>293332.9976</v>
      </c>
      <c r="E234" s="80">
        <v>11562.17785</v>
      </c>
      <c r="F234" s="80">
        <v>281770.8197</v>
      </c>
      <c r="G234" s="80">
        <v>58608.3305</v>
      </c>
      <c r="H234" s="80">
        <v>223162.4892</v>
      </c>
      <c r="I234" s="80">
        <v>111581.2446</v>
      </c>
      <c r="J234" s="80">
        <v>111581.2446</v>
      </c>
    </row>
    <row r="235" ht="15.0" customHeight="1">
      <c r="A235" s="105">
        <v>233.0</v>
      </c>
      <c r="B235" s="102">
        <v>4782488.849</v>
      </c>
      <c r="C235" s="102">
        <v>5082829.149</v>
      </c>
      <c r="D235" s="102">
        <v>300340.2997</v>
      </c>
      <c r="E235" s="102">
        <v>11838.3816</v>
      </c>
      <c r="F235" s="102">
        <v>288501.9181</v>
      </c>
      <c r="G235" s="102">
        <v>60008.39897</v>
      </c>
      <c r="H235" s="102">
        <v>228493.5192</v>
      </c>
      <c r="I235" s="102">
        <v>114246.7596</v>
      </c>
      <c r="J235" s="102">
        <v>114246.7596</v>
      </c>
    </row>
    <row r="236" ht="15.0" customHeight="1">
      <c r="A236" s="106">
        <v>234.0</v>
      </c>
      <c r="B236" s="80">
        <v>4896735.609</v>
      </c>
      <c r="C236" s="80">
        <v>5204250.605</v>
      </c>
      <c r="D236" s="80">
        <v>307514.9962</v>
      </c>
      <c r="E236" s="80">
        <v>12121.18346</v>
      </c>
      <c r="F236" s="80">
        <v>295393.8128</v>
      </c>
      <c r="G236" s="80">
        <v>61441.91306</v>
      </c>
      <c r="H236" s="80">
        <v>233951.8997</v>
      </c>
      <c r="I236" s="80">
        <v>116975.9499</v>
      </c>
      <c r="J236" s="80">
        <v>116975.9499</v>
      </c>
    </row>
    <row r="237" ht="15.0" customHeight="1">
      <c r="A237" s="105">
        <v>235.0</v>
      </c>
      <c r="B237" s="102">
        <v>5013711.559</v>
      </c>
      <c r="C237" s="102">
        <v>5328572.645</v>
      </c>
      <c r="D237" s="102">
        <v>314861.0859</v>
      </c>
      <c r="E237" s="102">
        <v>12410.74104</v>
      </c>
      <c r="F237" s="102">
        <v>302450.3448</v>
      </c>
      <c r="G237" s="102">
        <v>62909.67173</v>
      </c>
      <c r="H237" s="102">
        <v>239540.6731</v>
      </c>
      <c r="I237" s="102">
        <v>119770.3366</v>
      </c>
      <c r="J237" s="102">
        <v>119770.3366</v>
      </c>
    </row>
    <row r="238" ht="15.0" customHeight="1">
      <c r="A238" s="106">
        <v>236.0</v>
      </c>
      <c r="B238" s="80">
        <v>5133481.895</v>
      </c>
      <c r="C238" s="80">
        <v>5455864.558</v>
      </c>
      <c r="D238" s="80">
        <v>322382.663</v>
      </c>
      <c r="E238" s="80">
        <v>12707.21574</v>
      </c>
      <c r="F238" s="80">
        <v>309675.4473</v>
      </c>
      <c r="G238" s="80">
        <v>64412.49303</v>
      </c>
      <c r="H238" s="80">
        <v>245262.9542</v>
      </c>
      <c r="I238" s="80">
        <v>122631.4771</v>
      </c>
      <c r="J238" s="80">
        <v>122631.4771</v>
      </c>
    </row>
    <row r="239" ht="15.0" customHeight="1">
      <c r="A239" s="105">
        <v>237.0</v>
      </c>
      <c r="B239" s="102">
        <v>5256113.372</v>
      </c>
      <c r="C239" s="102">
        <v>5586197.292</v>
      </c>
      <c r="D239" s="102">
        <v>330083.9198</v>
      </c>
      <c r="E239" s="102">
        <v>13010.7728</v>
      </c>
      <c r="F239" s="102">
        <v>317073.147</v>
      </c>
      <c r="G239" s="102">
        <v>65951.21457</v>
      </c>
      <c r="H239" s="102">
        <v>251121.9324</v>
      </c>
      <c r="I239" s="102">
        <v>125560.9662</v>
      </c>
      <c r="J239" s="102">
        <v>125560.9662</v>
      </c>
    </row>
    <row r="240" ht="15.0" customHeight="1">
      <c r="A240" s="106">
        <v>238.0</v>
      </c>
      <c r="B240" s="80">
        <v>5381674.339</v>
      </c>
      <c r="C240" s="80">
        <v>5719643.487</v>
      </c>
      <c r="D240" s="80">
        <v>337969.1485</v>
      </c>
      <c r="E240" s="80">
        <v>13321.58139</v>
      </c>
      <c r="F240" s="80">
        <v>324647.5671</v>
      </c>
      <c r="G240" s="80">
        <v>67526.69395</v>
      </c>
      <c r="H240" s="80">
        <v>257120.8731</v>
      </c>
      <c r="I240" s="80">
        <v>128560.4366</v>
      </c>
      <c r="J240" s="80">
        <v>128560.4366</v>
      </c>
    </row>
    <row r="241" ht="15.0" customHeight="1">
      <c r="A241" s="105">
        <v>239.0</v>
      </c>
      <c r="B241" s="102">
        <v>5510234.775</v>
      </c>
      <c r="C241" s="102">
        <v>5856277.519</v>
      </c>
      <c r="D241" s="102">
        <v>346042.7439</v>
      </c>
      <c r="E241" s="102">
        <v>13639.81475</v>
      </c>
      <c r="F241" s="102">
        <v>332402.9291</v>
      </c>
      <c r="G241" s="102">
        <v>69139.80926</v>
      </c>
      <c r="H241" s="102">
        <v>263263.1199</v>
      </c>
      <c r="I241" s="102">
        <v>131631.5599</v>
      </c>
      <c r="J241" s="102">
        <v>131631.5599</v>
      </c>
    </row>
    <row r="242" ht="15.0" customHeight="1">
      <c r="A242" s="106">
        <v>240.0</v>
      </c>
      <c r="B242" s="80">
        <v>5641866.335</v>
      </c>
      <c r="C242" s="80">
        <v>5996175.541</v>
      </c>
      <c r="D242" s="80">
        <v>354309.2058</v>
      </c>
      <c r="E242" s="80">
        <v>13965.65025</v>
      </c>
      <c r="F242" s="80">
        <v>340343.5556</v>
      </c>
      <c r="G242" s="80">
        <v>70791.45956</v>
      </c>
      <c r="H242" s="80">
        <v>269552.096</v>
      </c>
      <c r="I242" s="80">
        <v>134776.048</v>
      </c>
      <c r="J242" s="80">
        <v>134776.048</v>
      </c>
    </row>
    <row r="243" ht="15.0" customHeight="1">
      <c r="A243" s="105">
        <v>241.0</v>
      </c>
      <c r="B243" s="102">
        <v>5776642.383</v>
      </c>
      <c r="C243" s="102">
        <v>6139415.525</v>
      </c>
      <c r="D243" s="102">
        <v>362773.1417</v>
      </c>
      <c r="E243" s="102">
        <v>14299.26949</v>
      </c>
      <c r="F243" s="102">
        <v>348473.8722</v>
      </c>
      <c r="G243" s="102">
        <v>72482.56541</v>
      </c>
      <c r="H243" s="102">
        <v>275991.3068</v>
      </c>
      <c r="I243" s="102">
        <v>137995.6534</v>
      </c>
      <c r="J243" s="102">
        <v>137995.6534</v>
      </c>
    </row>
    <row r="244" ht="15.0" customHeight="1">
      <c r="A244" s="106">
        <v>242.0</v>
      </c>
      <c r="B244" s="80">
        <v>5914638.037</v>
      </c>
      <c r="C244" s="80">
        <v>6286077.305</v>
      </c>
      <c r="D244" s="80">
        <v>371439.2687</v>
      </c>
      <c r="E244" s="80">
        <v>14640.85841</v>
      </c>
      <c r="F244" s="80">
        <v>356798.4103</v>
      </c>
      <c r="G244" s="80">
        <v>74214.06934</v>
      </c>
      <c r="H244" s="80">
        <v>282584.3409</v>
      </c>
      <c r="I244" s="80">
        <v>141292.1705</v>
      </c>
      <c r="J244" s="80">
        <v>141292.1705</v>
      </c>
    </row>
    <row r="245" ht="15.0" customHeight="1">
      <c r="A245" s="105">
        <v>243.0</v>
      </c>
      <c r="B245" s="102">
        <v>6055930.207</v>
      </c>
      <c r="C245" s="102">
        <v>6436242.624</v>
      </c>
      <c r="D245" s="102">
        <v>380312.417</v>
      </c>
      <c r="E245" s="102">
        <v>14990.6074</v>
      </c>
      <c r="F245" s="102">
        <v>365321.8096</v>
      </c>
      <c r="G245" s="102">
        <v>75986.9364</v>
      </c>
      <c r="H245" s="102">
        <v>289334.8732</v>
      </c>
      <c r="I245" s="102">
        <v>144667.4366</v>
      </c>
      <c r="J245" s="102">
        <v>144667.4366</v>
      </c>
    </row>
    <row r="246" ht="15.0" customHeight="1">
      <c r="A246" s="106">
        <v>244.0</v>
      </c>
      <c r="B246" s="80">
        <v>6200597.644</v>
      </c>
      <c r="C246" s="80">
        <v>6589995.176</v>
      </c>
      <c r="D246" s="80">
        <v>389397.532</v>
      </c>
      <c r="E246" s="80">
        <v>15348.71138</v>
      </c>
      <c r="F246" s="80">
        <v>374048.8206</v>
      </c>
      <c r="G246" s="80">
        <v>77802.15469</v>
      </c>
      <c r="H246" s="80">
        <v>296246.6659</v>
      </c>
      <c r="I246" s="80">
        <v>148123.333</v>
      </c>
      <c r="J246" s="80">
        <v>148123.333</v>
      </c>
    </row>
    <row r="247" ht="15.0" customHeight="1">
      <c r="A247" s="105">
        <v>245.0</v>
      </c>
      <c r="B247" s="102">
        <v>6348720.977</v>
      </c>
      <c r="C247" s="102">
        <v>6747420.654</v>
      </c>
      <c r="D247" s="102">
        <v>398699.6773</v>
      </c>
      <c r="E247" s="102">
        <v>15715.36996</v>
      </c>
      <c r="F247" s="102">
        <v>382984.3074</v>
      </c>
      <c r="G247" s="102">
        <v>79660.73593</v>
      </c>
      <c r="H247" s="102">
        <v>303323.5714</v>
      </c>
      <c r="I247" s="102">
        <v>151661.7857</v>
      </c>
      <c r="J247" s="102">
        <v>151661.7857</v>
      </c>
    </row>
    <row r="248" ht="15.0" customHeight="1">
      <c r="A248" s="106">
        <v>246.0</v>
      </c>
      <c r="B248" s="80">
        <v>6500382.762</v>
      </c>
      <c r="C248" s="80">
        <v>6908606.8</v>
      </c>
      <c r="D248" s="80">
        <v>408224.0375</v>
      </c>
      <c r="E248" s="80">
        <v>16090.78747</v>
      </c>
      <c r="F248" s="80">
        <v>392133.25</v>
      </c>
      <c r="G248" s="80">
        <v>81563.716</v>
      </c>
      <c r="H248" s="80">
        <v>310569.534</v>
      </c>
      <c r="I248" s="80">
        <v>155284.767</v>
      </c>
      <c r="J248" s="80">
        <v>155284.767</v>
      </c>
    </row>
    <row r="249" ht="15.0" customHeight="1">
      <c r="A249" s="105">
        <v>247.0</v>
      </c>
      <c r="B249" s="102">
        <v>6655667.529</v>
      </c>
      <c r="C249" s="102">
        <v>7073643.45</v>
      </c>
      <c r="D249" s="102">
        <v>417975.9208</v>
      </c>
      <c r="E249" s="102">
        <v>16475.17318</v>
      </c>
      <c r="F249" s="102">
        <v>401500.7477</v>
      </c>
      <c r="G249" s="102">
        <v>83512.15551</v>
      </c>
      <c r="H249" s="102">
        <v>317988.5922</v>
      </c>
      <c r="I249" s="102">
        <v>158994.2961</v>
      </c>
      <c r="J249" s="102">
        <v>158994.2961</v>
      </c>
    </row>
    <row r="250" ht="15.0" customHeight="1">
      <c r="A250" s="106">
        <v>248.0</v>
      </c>
      <c r="B250" s="80">
        <v>6814661.825</v>
      </c>
      <c r="C250" s="80">
        <v>7242622.588</v>
      </c>
      <c r="D250" s="80">
        <v>427960.7626</v>
      </c>
      <c r="E250" s="80">
        <v>16868.7413</v>
      </c>
      <c r="F250" s="80">
        <v>411092.0213</v>
      </c>
      <c r="G250" s="80">
        <v>85507.14044</v>
      </c>
      <c r="H250" s="80">
        <v>325584.8809</v>
      </c>
      <c r="I250" s="80">
        <v>162792.4405</v>
      </c>
      <c r="J250" s="80">
        <v>162792.4405</v>
      </c>
    </row>
    <row r="251" ht="15.0" customHeight="1">
      <c r="A251" s="105">
        <v>249.0</v>
      </c>
      <c r="B251" s="102">
        <v>6977454.266</v>
      </c>
      <c r="C251" s="102">
        <v>7415638.394</v>
      </c>
      <c r="D251" s="102">
        <v>438184.1279</v>
      </c>
      <c r="E251" s="102">
        <v>17271.71119</v>
      </c>
      <c r="F251" s="102">
        <v>420912.4167</v>
      </c>
      <c r="G251" s="102">
        <v>87549.78267</v>
      </c>
      <c r="H251" s="102">
        <v>333362.634</v>
      </c>
      <c r="I251" s="102">
        <v>166681.317</v>
      </c>
      <c r="J251" s="102">
        <v>166681.317</v>
      </c>
    </row>
    <row r="252" ht="15.0" customHeight="1">
      <c r="A252" s="106">
        <v>250.0</v>
      </c>
      <c r="B252" s="80">
        <v>7144135.583</v>
      </c>
      <c r="C252" s="80">
        <v>7592787.297</v>
      </c>
      <c r="D252" s="80">
        <v>448651.7146</v>
      </c>
      <c r="E252" s="80">
        <v>17684.30746</v>
      </c>
      <c r="F252" s="80">
        <v>430967.4071</v>
      </c>
      <c r="G252" s="80">
        <v>89641.22069</v>
      </c>
      <c r="H252" s="80">
        <v>341326.1865</v>
      </c>
      <c r="I252" s="80">
        <v>170663.0932</v>
      </c>
      <c r="J252" s="80">
        <v>170663.0932</v>
      </c>
    </row>
    <row r="253" ht="15.0" customHeight="1">
      <c r="A253" s="105">
        <v>251.0</v>
      </c>
      <c r="B253" s="102">
        <v>7314798.676</v>
      </c>
      <c r="C253" s="102">
        <v>7774168.033</v>
      </c>
      <c r="D253" s="102">
        <v>459369.3569</v>
      </c>
      <c r="E253" s="102">
        <v>18106.76005</v>
      </c>
      <c r="F253" s="102">
        <v>441262.5968</v>
      </c>
      <c r="G253" s="102">
        <v>91782.62014</v>
      </c>
      <c r="H253" s="102">
        <v>349479.9767</v>
      </c>
      <c r="I253" s="102">
        <v>174739.9883</v>
      </c>
      <c r="J253" s="102">
        <v>174739.9883</v>
      </c>
    </row>
    <row r="254" ht="15.0" customHeight="1">
      <c r="A254" s="106">
        <v>252.0</v>
      </c>
      <c r="B254" s="80">
        <v>7489538.664</v>
      </c>
      <c r="C254" s="80">
        <v>7959881.693</v>
      </c>
      <c r="D254" s="80">
        <v>470343.0281</v>
      </c>
      <c r="E254" s="80">
        <v>18539.30443</v>
      </c>
      <c r="F254" s="80">
        <v>451803.7237</v>
      </c>
      <c r="G254" s="80">
        <v>93975.17453</v>
      </c>
      <c r="H254" s="80">
        <v>357828.5492</v>
      </c>
      <c r="I254" s="80">
        <v>178914.2746</v>
      </c>
      <c r="J254" s="80">
        <v>178914.2746</v>
      </c>
    </row>
    <row r="255" ht="15.0" customHeight="1">
      <c r="A255" s="105">
        <v>253.0</v>
      </c>
      <c r="B255" s="102">
        <v>7668452.939</v>
      </c>
      <c r="C255" s="102">
        <v>8150031.784</v>
      </c>
      <c r="D255" s="102">
        <v>481578.8446</v>
      </c>
      <c r="E255" s="102">
        <v>18982.18167</v>
      </c>
      <c r="F255" s="102">
        <v>462596.6629</v>
      </c>
      <c r="G255" s="102">
        <v>96220.10588</v>
      </c>
      <c r="H255" s="102">
        <v>366376.557</v>
      </c>
      <c r="I255" s="102">
        <v>183188.2785</v>
      </c>
      <c r="J255" s="102">
        <v>183188.2785</v>
      </c>
    </row>
    <row r="256" ht="15.0" customHeight="1">
      <c r="A256" s="106">
        <v>254.0</v>
      </c>
      <c r="B256" s="80">
        <v>7851641.218</v>
      </c>
      <c r="C256" s="80">
        <v>8344724.286</v>
      </c>
      <c r="D256" s="80">
        <v>493083.0685</v>
      </c>
      <c r="E256" s="80">
        <v>19435.6386</v>
      </c>
      <c r="F256" s="80">
        <v>473647.4299</v>
      </c>
      <c r="G256" s="80">
        <v>98518.66541</v>
      </c>
      <c r="H256" s="80">
        <v>375128.7644</v>
      </c>
      <c r="I256" s="80">
        <v>187564.3822</v>
      </c>
      <c r="J256" s="80">
        <v>187564.3822</v>
      </c>
    </row>
    <row r="257" ht="15.0" customHeight="1">
      <c r="A257" s="105">
        <v>255.0</v>
      </c>
      <c r="B257" s="102">
        <v>8039205.6</v>
      </c>
      <c r="C257" s="102">
        <v>8544067.711</v>
      </c>
      <c r="D257" s="102">
        <v>504862.1117</v>
      </c>
      <c r="E257" s="102">
        <v>19899.92797</v>
      </c>
      <c r="F257" s="102">
        <v>484962.1837</v>
      </c>
      <c r="G257" s="102">
        <v>100872.1342</v>
      </c>
      <c r="H257" s="102">
        <v>384090.0495</v>
      </c>
      <c r="I257" s="102">
        <v>192045.0247</v>
      </c>
      <c r="J257" s="102">
        <v>192045.0247</v>
      </c>
    </row>
    <row r="258" ht="15.0" customHeight="1">
      <c r="A258" s="106">
        <v>256.0</v>
      </c>
      <c r="B258" s="80">
        <v>8231250.625</v>
      </c>
      <c r="C258" s="80">
        <v>8748173.164</v>
      </c>
      <c r="D258" s="80">
        <v>516922.5392</v>
      </c>
      <c r="E258" s="80">
        <v>20375.30855</v>
      </c>
      <c r="F258" s="80">
        <v>496547.2307</v>
      </c>
      <c r="G258" s="80">
        <v>103281.824</v>
      </c>
      <c r="H258" s="80">
        <v>393265.4067</v>
      </c>
      <c r="I258" s="80">
        <v>196632.7033</v>
      </c>
      <c r="J258" s="80">
        <v>196632.7033</v>
      </c>
    </row>
    <row r="259" ht="15.0" customHeight="1">
      <c r="A259" s="105">
        <v>257.0</v>
      </c>
      <c r="B259" s="102">
        <v>8427883.328</v>
      </c>
      <c r="C259" s="102">
        <v>8957154.401</v>
      </c>
      <c r="D259" s="102">
        <v>529271.073</v>
      </c>
      <c r="E259" s="102">
        <v>20862.04527</v>
      </c>
      <c r="F259" s="102">
        <v>508409.0277</v>
      </c>
      <c r="G259" s="102">
        <v>105749.0778</v>
      </c>
      <c r="H259" s="102">
        <v>402659.95</v>
      </c>
      <c r="I259" s="102">
        <v>201329.975</v>
      </c>
      <c r="J259" s="102">
        <v>201329.975</v>
      </c>
    </row>
    <row r="260" ht="15.0" customHeight="1">
      <c r="A260" s="106">
        <v>258.0</v>
      </c>
      <c r="B260" s="80">
        <v>8629213.303</v>
      </c>
      <c r="C260" s="80">
        <v>9171127.898</v>
      </c>
      <c r="D260" s="80">
        <v>541914.5954</v>
      </c>
      <c r="E260" s="80">
        <v>21360.40944</v>
      </c>
      <c r="F260" s="80">
        <v>520554.186</v>
      </c>
      <c r="G260" s="80">
        <v>108275.2707</v>
      </c>
      <c r="H260" s="80">
        <v>412278.9153</v>
      </c>
      <c r="I260" s="80">
        <v>206139.4576</v>
      </c>
      <c r="J260" s="80">
        <v>206139.4576</v>
      </c>
    </row>
    <row r="261" ht="15.0" customHeight="1">
      <c r="A261" s="105">
        <v>259.0</v>
      </c>
      <c r="B261" s="102">
        <v>8835352.76</v>
      </c>
      <c r="C261" s="102">
        <v>9390212.914</v>
      </c>
      <c r="D261" s="102">
        <v>554860.1534</v>
      </c>
      <c r="E261" s="102">
        <v>21870.67881</v>
      </c>
      <c r="F261" s="102">
        <v>532989.4745</v>
      </c>
      <c r="G261" s="102">
        <v>110861.8107</v>
      </c>
      <c r="H261" s="102">
        <v>422127.6638</v>
      </c>
      <c r="I261" s="102">
        <v>211063.8319</v>
      </c>
      <c r="J261" s="102">
        <v>211063.8319</v>
      </c>
    </row>
    <row r="262" ht="15.0" customHeight="1">
      <c r="A262" s="106">
        <v>260.0</v>
      </c>
      <c r="B262" s="80">
        <v>9046416.592</v>
      </c>
      <c r="C262" s="80">
        <v>9614531.554</v>
      </c>
      <c r="D262" s="80">
        <v>568114.962</v>
      </c>
      <c r="E262" s="80">
        <v>22393.13778</v>
      </c>
      <c r="F262" s="80">
        <v>545721.8242</v>
      </c>
      <c r="G262" s="80">
        <v>113510.1394</v>
      </c>
      <c r="H262" s="80">
        <v>432211.6848</v>
      </c>
      <c r="I262" s="80">
        <v>216105.8424</v>
      </c>
      <c r="J262" s="80">
        <v>216105.8424</v>
      </c>
    </row>
    <row r="263" ht="15.0" customHeight="1">
      <c r="A263" s="105">
        <v>261.0</v>
      </c>
      <c r="B263" s="102">
        <v>9262522.435</v>
      </c>
      <c r="C263" s="102">
        <v>9844208.844</v>
      </c>
      <c r="D263" s="102">
        <v>581686.4089</v>
      </c>
      <c r="E263" s="102">
        <v>22928.07753</v>
      </c>
      <c r="F263" s="102">
        <v>558758.3314</v>
      </c>
      <c r="G263" s="102">
        <v>116221.7329</v>
      </c>
      <c r="H263" s="102">
        <v>442536.5984</v>
      </c>
      <c r="I263" s="102">
        <v>221268.2992</v>
      </c>
      <c r="J263" s="102">
        <v>221268.2992</v>
      </c>
    </row>
    <row r="264" ht="15.0" customHeight="1">
      <c r="A264" s="106">
        <v>262.0</v>
      </c>
      <c r="B264" s="80">
        <v>9483790.734</v>
      </c>
      <c r="C264" s="80">
        <v>1.007937279E7</v>
      </c>
      <c r="D264" s="80">
        <v>595582.0581</v>
      </c>
      <c r="E264" s="80">
        <v>23475.79623</v>
      </c>
      <c r="F264" s="80">
        <v>572106.2619</v>
      </c>
      <c r="G264" s="80">
        <v>118998.1025</v>
      </c>
      <c r="H264" s="80">
        <v>453108.1594</v>
      </c>
      <c r="I264" s="80">
        <v>226554.0797</v>
      </c>
      <c r="J264" s="80">
        <v>226554.0797</v>
      </c>
    </row>
    <row r="265" ht="15.0" customHeight="1">
      <c r="A265" s="105">
        <v>263.0</v>
      </c>
      <c r="B265" s="102">
        <v>9710344.814</v>
      </c>
      <c r="C265" s="102">
        <v>1.032015447E7</v>
      </c>
      <c r="D265" s="102">
        <v>609809.6543</v>
      </c>
      <c r="E265" s="102">
        <v>24036.59914</v>
      </c>
      <c r="F265" s="102">
        <v>585773.0552</v>
      </c>
      <c r="G265" s="102">
        <v>121840.7955</v>
      </c>
      <c r="H265" s="102">
        <v>463932.2597</v>
      </c>
      <c r="I265" s="102">
        <v>231966.1298</v>
      </c>
      <c r="J265" s="102">
        <v>231966.1298</v>
      </c>
    </row>
    <row r="266" ht="15.0" customHeight="1">
      <c r="A266" s="106">
        <v>264.0</v>
      </c>
      <c r="B266" s="80">
        <v>9942310.944</v>
      </c>
      <c r="C266" s="80">
        <v>1.056668807E7</v>
      </c>
      <c r="D266" s="80">
        <v>624377.1273</v>
      </c>
      <c r="E266" s="80">
        <v>24610.79882</v>
      </c>
      <c r="F266" s="80">
        <v>599766.3284</v>
      </c>
      <c r="G266" s="80">
        <v>124751.3963</v>
      </c>
      <c r="H266" s="80">
        <v>475014.9321</v>
      </c>
      <c r="I266" s="80">
        <v>237507.4661</v>
      </c>
      <c r="J266" s="80">
        <v>237507.4661</v>
      </c>
    </row>
    <row r="267" ht="15.0" customHeight="1">
      <c r="A267" s="105">
        <v>265.0</v>
      </c>
      <c r="B267" s="102">
        <v>1.017981841E7</v>
      </c>
      <c r="C267" s="102">
        <v>1.081911101E7</v>
      </c>
      <c r="D267" s="102">
        <v>639292.5961</v>
      </c>
      <c r="E267" s="102">
        <v>25198.7153</v>
      </c>
      <c r="F267" s="102">
        <v>614093.8808</v>
      </c>
      <c r="G267" s="102">
        <v>127731.5272</v>
      </c>
      <c r="H267" s="102">
        <v>486362.3536</v>
      </c>
      <c r="I267" s="102">
        <v>243181.1768</v>
      </c>
      <c r="J267" s="102">
        <v>243181.1768</v>
      </c>
    </row>
    <row r="268" ht="15.0" customHeight="1">
      <c r="A268" s="106">
        <v>266.0</v>
      </c>
      <c r="B268" s="80">
        <v>1.042299959E7</v>
      </c>
      <c r="C268" s="80">
        <v>1.107756396E7</v>
      </c>
      <c r="D268" s="80">
        <v>654564.374</v>
      </c>
      <c r="E268" s="80">
        <v>25800.67626</v>
      </c>
      <c r="F268" s="80">
        <v>628763.6978</v>
      </c>
      <c r="G268" s="80">
        <v>130782.8491</v>
      </c>
      <c r="H268" s="80">
        <v>497980.8486</v>
      </c>
      <c r="I268" s="80">
        <v>248990.4243</v>
      </c>
      <c r="J268" s="80">
        <v>248990.4243</v>
      </c>
    </row>
    <row r="269" ht="15.0" customHeight="1">
      <c r="A269" s="105">
        <v>267.0</v>
      </c>
      <c r="B269" s="102">
        <v>1.067199001E7</v>
      </c>
      <c r="C269" s="102">
        <v>1.134219098E7</v>
      </c>
      <c r="D269" s="102">
        <v>670200.9727</v>
      </c>
      <c r="E269" s="102">
        <v>26417.01719</v>
      </c>
      <c r="F269" s="102">
        <v>643783.9555</v>
      </c>
      <c r="G269" s="102">
        <v>133907.0627</v>
      </c>
      <c r="H269" s="102">
        <v>509876.8927</v>
      </c>
      <c r="I269" s="102">
        <v>254938.4464</v>
      </c>
      <c r="J269" s="102">
        <v>254938.4464</v>
      </c>
    </row>
    <row r="270" ht="15.0" customHeight="1">
      <c r="A270" s="106">
        <v>268.0</v>
      </c>
      <c r="B270" s="80">
        <v>1.092692846E7</v>
      </c>
      <c r="C270" s="80">
        <v>1.161313956E7</v>
      </c>
      <c r="D270" s="80">
        <v>686211.1071</v>
      </c>
      <c r="E270" s="80">
        <v>27048.08163</v>
      </c>
      <c r="F270" s="80">
        <v>659163.0255</v>
      </c>
      <c r="G270" s="80">
        <v>137105.9093</v>
      </c>
      <c r="H270" s="80">
        <v>522057.1162</v>
      </c>
      <c r="I270" s="80">
        <v>261028.5581</v>
      </c>
      <c r="J270" s="80">
        <v>261028.5581</v>
      </c>
    </row>
    <row r="271" ht="15.0" customHeight="1">
      <c r="A271" s="105">
        <v>269.0</v>
      </c>
      <c r="B271" s="102">
        <v>1.118795702E7</v>
      </c>
      <c r="C271" s="102">
        <v>1.189056072E7</v>
      </c>
      <c r="D271" s="102">
        <v>702603.7006</v>
      </c>
      <c r="E271" s="102">
        <v>27694.22128</v>
      </c>
      <c r="F271" s="102">
        <v>674909.4793</v>
      </c>
      <c r="G271" s="102">
        <v>140381.1717</v>
      </c>
      <c r="H271" s="102">
        <v>534528.3076</v>
      </c>
      <c r="I271" s="102">
        <v>267264.1538</v>
      </c>
      <c r="J271" s="102">
        <v>267264.1538</v>
      </c>
    </row>
    <row r="272" ht="15.0" customHeight="1">
      <c r="A272" s="106">
        <v>270.0</v>
      </c>
      <c r="B272" s="80">
        <v>1.145522117E7</v>
      </c>
      <c r="C272" s="80">
        <v>1.217460906E7</v>
      </c>
      <c r="D272" s="80">
        <v>719387.8894</v>
      </c>
      <c r="E272" s="80">
        <v>28355.79627</v>
      </c>
      <c r="F272" s="80">
        <v>691032.0931</v>
      </c>
      <c r="G272" s="80">
        <v>143734.6754</v>
      </c>
      <c r="H272" s="80">
        <v>547297.4178</v>
      </c>
      <c r="I272" s="80">
        <v>273648.7089</v>
      </c>
      <c r="J272" s="80">
        <v>273648.7089</v>
      </c>
    </row>
    <row r="273" ht="15.0" customHeight="1">
      <c r="A273" s="105">
        <v>271.0</v>
      </c>
      <c r="B273" s="102">
        <v>1.172886988E7</v>
      </c>
      <c r="C273" s="102">
        <v>1.246544291E7</v>
      </c>
      <c r="D273" s="102">
        <v>736573.0283</v>
      </c>
      <c r="E273" s="102">
        <v>29033.17534</v>
      </c>
      <c r="F273" s="102">
        <v>707539.853</v>
      </c>
      <c r="G273" s="102">
        <v>147168.2894</v>
      </c>
      <c r="H273" s="102">
        <v>560371.5636</v>
      </c>
      <c r="I273" s="102">
        <v>280185.7818</v>
      </c>
      <c r="J273" s="102">
        <v>280185.7818</v>
      </c>
    </row>
    <row r="274" ht="15.0" customHeight="1">
      <c r="A274" s="106">
        <v>272.0</v>
      </c>
      <c r="B274" s="80">
        <v>1.200905566E7</v>
      </c>
      <c r="C274" s="80">
        <v>1.276322436E7</v>
      </c>
      <c r="D274" s="80">
        <v>754168.6954</v>
      </c>
      <c r="E274" s="80">
        <v>29726.73602</v>
      </c>
      <c r="F274" s="80">
        <v>724441.9594</v>
      </c>
      <c r="G274" s="80">
        <v>150683.9276</v>
      </c>
      <c r="H274" s="80">
        <v>573758.0319</v>
      </c>
      <c r="I274" s="80">
        <v>286879.0159</v>
      </c>
      <c r="J274" s="80">
        <v>286879.0159</v>
      </c>
    </row>
    <row r="275" ht="15.0" customHeight="1">
      <c r="A275" s="105">
        <v>273.0</v>
      </c>
      <c r="B275" s="102">
        <v>1.229593468E7</v>
      </c>
      <c r="C275" s="102">
        <v>1.306811937E7</v>
      </c>
      <c r="D275" s="102">
        <v>772184.6976</v>
      </c>
      <c r="E275" s="102">
        <v>30436.86486</v>
      </c>
      <c r="F275" s="102">
        <v>741747.8328</v>
      </c>
      <c r="G275" s="102">
        <v>154283.5492</v>
      </c>
      <c r="H275" s="102">
        <v>587464.2836</v>
      </c>
      <c r="I275" s="102">
        <v>293732.1418</v>
      </c>
      <c r="J275" s="102">
        <v>293732.1418</v>
      </c>
    </row>
    <row r="276" ht="15.0" customHeight="1">
      <c r="A276" s="106">
        <v>274.0</v>
      </c>
      <c r="B276" s="80">
        <v>1.258966682E7</v>
      </c>
      <c r="C276" s="80">
        <v>1.338029789E7</v>
      </c>
      <c r="D276" s="80">
        <v>790631.0761</v>
      </c>
      <c r="E276" s="80">
        <v>31163.95765</v>
      </c>
      <c r="F276" s="80">
        <v>759467.1185</v>
      </c>
      <c r="G276" s="80">
        <v>157969.1606</v>
      </c>
      <c r="H276" s="80">
        <v>601497.9578</v>
      </c>
      <c r="I276" s="80">
        <v>300748.9789</v>
      </c>
      <c r="J276" s="80">
        <v>300748.9789</v>
      </c>
    </row>
    <row r="277" ht="15.0" customHeight="1">
      <c r="A277" s="105">
        <v>275.0</v>
      </c>
      <c r="B277" s="102">
        <v>1.28904158E7</v>
      </c>
      <c r="C277" s="102">
        <v>1.369993391E7</v>
      </c>
      <c r="D277" s="102">
        <v>809518.112</v>
      </c>
      <c r="E277" s="102">
        <v>31908.41965</v>
      </c>
      <c r="F277" s="102">
        <v>777609.6924</v>
      </c>
      <c r="G277" s="102">
        <v>161742.816</v>
      </c>
      <c r="H277" s="102">
        <v>615866.8763</v>
      </c>
      <c r="I277" s="102">
        <v>307933.4382</v>
      </c>
      <c r="J277" s="102">
        <v>307933.4382</v>
      </c>
    </row>
    <row r="278" ht="15.0" customHeight="1">
      <c r="A278" s="106">
        <v>276.0</v>
      </c>
      <c r="B278" s="80">
        <v>1.319834923E7</v>
      </c>
      <c r="C278" s="80">
        <v>1.402720557E7</v>
      </c>
      <c r="D278" s="80">
        <v>828856.3319</v>
      </c>
      <c r="E278" s="80">
        <v>32670.66576</v>
      </c>
      <c r="F278" s="80">
        <v>796185.6662</v>
      </c>
      <c r="G278" s="80">
        <v>165606.6186</v>
      </c>
      <c r="H278" s="80">
        <v>630579.0476</v>
      </c>
      <c r="I278" s="80">
        <v>315289.5238</v>
      </c>
      <c r="J278" s="80">
        <v>315289.5238</v>
      </c>
    </row>
    <row r="279" ht="15.0" customHeight="1">
      <c r="A279" s="105">
        <v>277.0</v>
      </c>
      <c r="B279" s="102">
        <v>1.351363876E7</v>
      </c>
      <c r="C279" s="102">
        <v>1.436229527E7</v>
      </c>
      <c r="D279" s="102">
        <v>848656.514</v>
      </c>
      <c r="E279" s="102">
        <v>33451.12084</v>
      </c>
      <c r="F279" s="102">
        <v>815205.3932</v>
      </c>
      <c r="G279" s="102">
        <v>169562.7218</v>
      </c>
      <c r="H279" s="102">
        <v>645642.6714</v>
      </c>
      <c r="I279" s="102">
        <v>322821.3357</v>
      </c>
      <c r="J279" s="102">
        <v>322821.3357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2B21"/>
    <pageSetUpPr/>
  </sheetPr>
  <sheetViews>
    <sheetView showGridLines="0" workbookViewId="0"/>
  </sheetViews>
  <sheetFormatPr customHeight="1" defaultColWidth="12.63" defaultRowHeight="15.0"/>
  <cols>
    <col customWidth="1" min="1" max="1" width="7.88"/>
    <col customWidth="1" min="2" max="4" width="14.0"/>
    <col customWidth="1" min="5" max="5" width="13.13"/>
    <col customWidth="1" min="6" max="6" width="15.75"/>
  </cols>
  <sheetData>
    <row r="1" ht="26.25" customHeight="1">
      <c r="A1" s="107" t="s">
        <v>767</v>
      </c>
      <c r="B1" s="2"/>
      <c r="C1" s="2"/>
      <c r="D1" s="2"/>
      <c r="E1" s="2"/>
      <c r="F1" s="2"/>
    </row>
    <row r="2" ht="21.75" customHeight="1">
      <c r="A2" s="108" t="s">
        <v>756</v>
      </c>
      <c r="B2" s="108" t="s">
        <v>768</v>
      </c>
      <c r="C2" s="108" t="s">
        <v>769</v>
      </c>
      <c r="D2" s="108" t="s">
        <v>770</v>
      </c>
      <c r="E2" s="108" t="s">
        <v>771</v>
      </c>
      <c r="F2" s="108" t="s">
        <v>772</v>
      </c>
    </row>
    <row r="3" ht="15.0" customHeight="1">
      <c r="A3" s="109">
        <v>1.0</v>
      </c>
      <c r="B3" s="102">
        <v>20000.0</v>
      </c>
      <c r="C3" s="102">
        <v>21256.0</v>
      </c>
      <c r="D3" s="102">
        <v>1256.0</v>
      </c>
      <c r="E3" s="102">
        <v>49.5072</v>
      </c>
      <c r="F3" s="102">
        <v>1206.4928</v>
      </c>
    </row>
    <row r="4" ht="15.0" customHeight="1">
      <c r="A4" s="110">
        <v>2.0</v>
      </c>
      <c r="B4" s="80">
        <v>21206.4928</v>
      </c>
      <c r="C4" s="80">
        <v>22538.26055</v>
      </c>
      <c r="D4" s="80">
        <v>1331.767748</v>
      </c>
      <c r="E4" s="80">
        <v>52.49370402</v>
      </c>
      <c r="F4" s="80">
        <v>1279.274044</v>
      </c>
    </row>
    <row r="5" ht="15.0" customHeight="1">
      <c r="A5" s="109">
        <v>3.0</v>
      </c>
      <c r="B5" s="102">
        <v>22485.76684</v>
      </c>
      <c r="C5" s="102">
        <v>23897.873</v>
      </c>
      <c r="D5" s="102">
        <v>1412.106158</v>
      </c>
      <c r="E5" s="102">
        <v>55.66036781</v>
      </c>
      <c r="F5" s="102">
        <v>1356.44579</v>
      </c>
    </row>
    <row r="6" ht="15.0" customHeight="1">
      <c r="A6" s="110">
        <v>4.0</v>
      </c>
      <c r="B6" s="80">
        <v>23842.21263</v>
      </c>
      <c r="C6" s="80">
        <v>25339.50359</v>
      </c>
      <c r="D6" s="80">
        <v>1497.290953</v>
      </c>
      <c r="E6" s="80">
        <v>59.01805947</v>
      </c>
      <c r="F6" s="80">
        <v>1438.272894</v>
      </c>
    </row>
    <row r="7" ht="15.0" customHeight="1">
      <c r="A7" s="109">
        <v>5.0</v>
      </c>
      <c r="B7" s="102">
        <v>25280.48553</v>
      </c>
      <c r="C7" s="102">
        <v>26868.10002</v>
      </c>
      <c r="D7" s="102">
        <v>1587.614491</v>
      </c>
      <c r="E7" s="102">
        <v>62.57830266</v>
      </c>
      <c r="F7" s="102">
        <v>1525.036188</v>
      </c>
    </row>
    <row r="8" ht="15.0" customHeight="1">
      <c r="A8" s="110">
        <v>6.0</v>
      </c>
      <c r="B8" s="80">
        <v>26805.52172</v>
      </c>
      <c r="C8" s="80">
        <v>28488.90848</v>
      </c>
      <c r="D8" s="80">
        <v>1683.386764</v>
      </c>
      <c r="E8" s="80">
        <v>66.35331624</v>
      </c>
      <c r="F8" s="80">
        <v>1617.033448</v>
      </c>
    </row>
    <row r="9" ht="15.0" customHeight="1">
      <c r="A9" s="109">
        <v>7.0</v>
      </c>
      <c r="B9" s="102">
        <v>28422.55516</v>
      </c>
      <c r="C9" s="102">
        <v>30207.49163</v>
      </c>
      <c r="D9" s="102">
        <v>1784.936464</v>
      </c>
      <c r="E9" s="102">
        <v>70.35605615</v>
      </c>
      <c r="F9" s="102">
        <v>1714.580408</v>
      </c>
    </row>
    <row r="10" ht="15.0" customHeight="1">
      <c r="A10" s="110">
        <v>8.0</v>
      </c>
      <c r="B10" s="80">
        <v>30137.13557</v>
      </c>
      <c r="C10" s="80">
        <v>32029.74769</v>
      </c>
      <c r="D10" s="80">
        <v>1892.612114</v>
      </c>
      <c r="E10" s="80">
        <v>74.60025991</v>
      </c>
      <c r="F10" s="80">
        <v>1818.011854</v>
      </c>
    </row>
    <row r="11" ht="15.0" customHeight="1">
      <c r="A11" s="109">
        <v>9.0</v>
      </c>
      <c r="B11" s="102">
        <v>31955.14743</v>
      </c>
      <c r="C11" s="102">
        <v>33961.93068</v>
      </c>
      <c r="D11" s="102">
        <v>2006.783258</v>
      </c>
      <c r="E11" s="102">
        <v>79.10049373</v>
      </c>
      <c r="F11" s="102">
        <v>1927.682765</v>
      </c>
    </row>
    <row r="12" ht="15.0" customHeight="1">
      <c r="A12" s="110">
        <v>10.0</v>
      </c>
      <c r="B12" s="80">
        <v>33882.83019</v>
      </c>
      <c r="C12" s="80">
        <v>36010.67193</v>
      </c>
      <c r="D12" s="80">
        <v>2127.841736</v>
      </c>
      <c r="E12" s="80">
        <v>83.87220254</v>
      </c>
      <c r="F12" s="80">
        <v>2043.969533</v>
      </c>
    </row>
    <row r="13" ht="15.0" customHeight="1">
      <c r="A13" s="109">
        <v>11.0</v>
      </c>
      <c r="B13" s="102">
        <v>35926.79972</v>
      </c>
      <c r="C13" s="102">
        <v>38183.00275</v>
      </c>
      <c r="D13" s="102">
        <v>2256.203023</v>
      </c>
      <c r="E13" s="102">
        <v>88.93176296</v>
      </c>
      <c r="F13" s="102">
        <v>2167.27126</v>
      </c>
    </row>
    <row r="14" ht="15.0" customHeight="1">
      <c r="A14" s="110">
        <v>12.0</v>
      </c>
      <c r="B14" s="80">
        <v>38094.07098</v>
      </c>
      <c r="C14" s="80">
        <v>40486.37864</v>
      </c>
      <c r="D14" s="80">
        <v>2392.307658</v>
      </c>
      <c r="E14" s="80">
        <v>94.29653955</v>
      </c>
      <c r="F14" s="80">
        <v>2298.011118</v>
      </c>
    </row>
    <row r="15" ht="15.0" customHeight="1">
      <c r="A15" s="109">
        <v>13.0</v>
      </c>
      <c r="B15" s="102">
        <v>40392.0821</v>
      </c>
      <c r="C15" s="102">
        <v>42928.70486</v>
      </c>
      <c r="D15" s="102">
        <v>2536.622756</v>
      </c>
      <c r="E15" s="102">
        <v>99.98494435</v>
      </c>
      <c r="F15" s="102">
        <v>2436.637812</v>
      </c>
    </row>
    <row r="16" ht="15.0" customHeight="1">
      <c r="A16" s="110">
        <v>14.0</v>
      </c>
      <c r="B16" s="80">
        <v>42828.71991</v>
      </c>
      <c r="C16" s="80">
        <v>45518.36352</v>
      </c>
      <c r="D16" s="80">
        <v>2689.643611</v>
      </c>
      <c r="E16" s="80">
        <v>106.0165001</v>
      </c>
      <c r="F16" s="80">
        <v>2583.62711</v>
      </c>
    </row>
    <row r="17" ht="15.0" customHeight="1">
      <c r="A17" s="109">
        <v>15.0</v>
      </c>
      <c r="B17" s="102">
        <v>45412.34702</v>
      </c>
      <c r="C17" s="102">
        <v>48264.24242</v>
      </c>
      <c r="D17" s="102">
        <v>2851.895393</v>
      </c>
      <c r="E17" s="102">
        <v>112.4119073</v>
      </c>
      <c r="F17" s="102">
        <v>2739.483486</v>
      </c>
    </row>
    <row r="18" ht="15.0" customHeight="1">
      <c r="A18" s="110">
        <v>16.0</v>
      </c>
      <c r="B18" s="80">
        <v>48151.83051</v>
      </c>
      <c r="C18" s="80">
        <v>51175.76547</v>
      </c>
      <c r="D18" s="80">
        <v>3023.934956</v>
      </c>
      <c r="E18" s="80">
        <v>119.1931152</v>
      </c>
      <c r="F18" s="80">
        <v>2904.741841</v>
      </c>
    </row>
    <row r="19" ht="15.0" customHeight="1">
      <c r="A19" s="109">
        <v>17.0</v>
      </c>
      <c r="B19" s="102">
        <v>51056.57235</v>
      </c>
      <c r="C19" s="102">
        <v>54262.92509</v>
      </c>
      <c r="D19" s="102">
        <v>3206.352744</v>
      </c>
      <c r="E19" s="102">
        <v>126.3833969</v>
      </c>
      <c r="F19" s="102">
        <v>3079.969347</v>
      </c>
    </row>
    <row r="20" ht="15.0" customHeight="1">
      <c r="A20" s="110">
        <v>18.0</v>
      </c>
      <c r="B20" s="80">
        <v>54136.5417</v>
      </c>
      <c r="C20" s="80">
        <v>57536.31652</v>
      </c>
      <c r="D20" s="80">
        <v>3399.774819</v>
      </c>
      <c r="E20" s="80">
        <v>134.0074299</v>
      </c>
      <c r="F20" s="80">
        <v>3265.767389</v>
      </c>
    </row>
    <row r="21" ht="15.0" customHeight="1">
      <c r="A21" s="109">
        <v>19.0</v>
      </c>
      <c r="B21" s="102">
        <v>57402.30909</v>
      </c>
      <c r="C21" s="102">
        <v>61007.1741</v>
      </c>
      <c r="D21" s="102">
        <v>3604.865011</v>
      </c>
      <c r="E21" s="102">
        <v>142.0913798</v>
      </c>
      <c r="F21" s="102">
        <v>3462.773631</v>
      </c>
    </row>
    <row r="22" ht="15.0" customHeight="1">
      <c r="A22" s="110">
        <v>20.0</v>
      </c>
      <c r="B22" s="80">
        <v>60865.08272</v>
      </c>
      <c r="C22" s="80">
        <v>64687.40991</v>
      </c>
      <c r="D22" s="80">
        <v>3822.327195</v>
      </c>
      <c r="E22" s="80">
        <v>150.6629912</v>
      </c>
      <c r="F22" s="80">
        <v>3671.664203</v>
      </c>
    </row>
    <row r="23" ht="15.0" customHeight="1">
      <c r="A23" s="109">
        <v>21.0</v>
      </c>
      <c r="B23" s="102">
        <v>64536.74692</v>
      </c>
      <c r="C23" s="102">
        <v>68589.65463</v>
      </c>
      <c r="D23" s="102">
        <v>4052.907707</v>
      </c>
      <c r="E23" s="102">
        <v>159.7516819</v>
      </c>
      <c r="F23" s="102">
        <v>3893.156025</v>
      </c>
    </row>
    <row r="24" ht="15.0" customHeight="1">
      <c r="A24" s="110">
        <v>22.0</v>
      </c>
      <c r="B24" s="80">
        <v>68429.90294</v>
      </c>
      <c r="C24" s="80">
        <v>72727.30085</v>
      </c>
      <c r="D24" s="80">
        <v>4297.397905</v>
      </c>
      <c r="E24" s="80">
        <v>169.3886446</v>
      </c>
      <c r="F24" s="80">
        <v>4128.00926</v>
      </c>
    </row>
    <row r="25" ht="15.0" customHeight="1">
      <c r="A25" s="109">
        <v>23.0</v>
      </c>
      <c r="B25" s="102">
        <v>72557.91221</v>
      </c>
      <c r="C25" s="102">
        <v>77114.54909</v>
      </c>
      <c r="D25" s="102">
        <v>4556.636886</v>
      </c>
      <c r="E25" s="102">
        <v>179.6069536</v>
      </c>
      <c r="F25" s="102">
        <v>4377.029933</v>
      </c>
    </row>
    <row r="26" ht="15.0" customHeight="1">
      <c r="A26" s="110">
        <v>24.0</v>
      </c>
      <c r="B26" s="80">
        <v>76934.94214</v>
      </c>
      <c r="C26" s="80">
        <v>81766.4565</v>
      </c>
      <c r="D26" s="80">
        <v>4831.514366</v>
      </c>
      <c r="E26" s="80">
        <v>190.4416784</v>
      </c>
      <c r="F26" s="80">
        <v>4641.072688</v>
      </c>
    </row>
    <row r="27" ht="15.0" customHeight="1">
      <c r="A27" s="109">
        <v>25.0</v>
      </c>
      <c r="B27" s="102">
        <v>81576.01483</v>
      </c>
      <c r="C27" s="102">
        <v>86698.98856</v>
      </c>
      <c r="D27" s="102">
        <v>5122.973731</v>
      </c>
      <c r="E27" s="102">
        <v>201.9300041</v>
      </c>
      <c r="F27" s="102">
        <v>4921.043727</v>
      </c>
    </row>
    <row r="28" ht="15.0" customHeight="1">
      <c r="A28" s="110">
        <v>26.0</v>
      </c>
      <c r="B28" s="80">
        <v>86497.05855</v>
      </c>
      <c r="C28" s="80">
        <v>91929.07383</v>
      </c>
      <c r="D28" s="80">
        <v>5432.015277</v>
      </c>
      <c r="E28" s="80">
        <v>214.1113589</v>
      </c>
      <c r="F28" s="80">
        <v>5217.903918</v>
      </c>
    </row>
    <row r="29" ht="15.0" customHeight="1">
      <c r="A29" s="109">
        <v>27.0</v>
      </c>
      <c r="B29" s="102">
        <v>91714.96247</v>
      </c>
      <c r="C29" s="102">
        <v>97474.66211</v>
      </c>
      <c r="D29" s="102">
        <v>5759.699643</v>
      </c>
      <c r="E29" s="102">
        <v>227.0275495</v>
      </c>
      <c r="F29" s="102">
        <v>5532.672094</v>
      </c>
    </row>
    <row r="30" ht="15.0" customHeight="1">
      <c r="A30" s="110">
        <v>28.0</v>
      </c>
      <c r="B30" s="80">
        <v>97247.63457</v>
      </c>
      <c r="C30" s="80">
        <v>103354.786</v>
      </c>
      <c r="D30" s="80">
        <v>6107.151451</v>
      </c>
      <c r="E30" s="80">
        <v>240.7229047</v>
      </c>
      <c r="F30" s="80">
        <v>5866.428546</v>
      </c>
    </row>
    <row r="31" ht="15.0" customHeight="1">
      <c r="A31" s="109">
        <v>29.0</v>
      </c>
      <c r="B31" s="102">
        <v>103114.0631</v>
      </c>
      <c r="C31" s="102">
        <v>109589.6263</v>
      </c>
      <c r="D31" s="102">
        <v>6475.563163</v>
      </c>
      <c r="E31" s="102">
        <v>255.2444273</v>
      </c>
      <c r="F31" s="102">
        <v>6220.318736</v>
      </c>
    </row>
    <row r="32" ht="15.0" customHeight="1">
      <c r="A32" s="110">
        <v>30.0</v>
      </c>
      <c r="B32" s="80">
        <v>109334.3818</v>
      </c>
      <c r="C32" s="80">
        <v>116200.581</v>
      </c>
      <c r="D32" s="80">
        <v>6866.19918</v>
      </c>
      <c r="E32" s="80">
        <v>270.6419554</v>
      </c>
      <c r="F32" s="80">
        <v>6595.557225</v>
      </c>
    </row>
    <row r="33" ht="15.0" customHeight="1">
      <c r="A33" s="109">
        <v>31.0</v>
      </c>
      <c r="B33" s="102">
        <v>115929.9391</v>
      </c>
      <c r="C33" s="102">
        <v>123210.3392</v>
      </c>
      <c r="D33" s="102">
        <v>7280.400174</v>
      </c>
      <c r="E33" s="102">
        <v>286.968334</v>
      </c>
      <c r="F33" s="102">
        <v>6993.43184</v>
      </c>
    </row>
    <row r="34" ht="15.0" customHeight="1">
      <c r="A34" s="110">
        <v>32.0</v>
      </c>
      <c r="B34" s="80">
        <v>122923.3709</v>
      </c>
      <c r="C34" s="80">
        <v>130642.9586</v>
      </c>
      <c r="D34" s="80">
        <v>7719.587693</v>
      </c>
      <c r="E34" s="80">
        <v>304.2795954</v>
      </c>
      <c r="F34" s="80">
        <v>7415.308098</v>
      </c>
    </row>
    <row r="35" ht="15.0" customHeight="1">
      <c r="A35" s="109">
        <v>33.0</v>
      </c>
      <c r="B35" s="102">
        <v>130338.679</v>
      </c>
      <c r="C35" s="102">
        <v>138523.9481</v>
      </c>
      <c r="D35" s="102">
        <v>8185.269042</v>
      </c>
      <c r="E35" s="102">
        <v>322.6351525</v>
      </c>
      <c r="F35" s="102">
        <v>7862.633889</v>
      </c>
    </row>
    <row r="36" ht="15.0" customHeight="1">
      <c r="A36" s="110">
        <v>34.0</v>
      </c>
      <c r="B36" s="80">
        <v>138201.3129</v>
      </c>
      <c r="C36" s="80">
        <v>146880.3553</v>
      </c>
      <c r="D36" s="80">
        <v>8679.04245</v>
      </c>
      <c r="E36" s="80">
        <v>342.0980019</v>
      </c>
      <c r="F36" s="80">
        <v>8336.944448</v>
      </c>
    </row>
    <row r="37" ht="15.0" customHeight="1">
      <c r="A37" s="109">
        <v>35.0</v>
      </c>
      <c r="B37" s="102">
        <v>146538.2573</v>
      </c>
      <c r="C37" s="102">
        <v>155740.8599</v>
      </c>
      <c r="D37" s="102">
        <v>9202.602561</v>
      </c>
      <c r="E37" s="102">
        <v>362.7349407</v>
      </c>
      <c r="F37" s="102">
        <v>8839.867621</v>
      </c>
    </row>
    <row r="38" ht="15.0" customHeight="1">
      <c r="A38" s="110">
        <v>36.0</v>
      </c>
      <c r="B38" s="80">
        <v>155378.125</v>
      </c>
      <c r="C38" s="80">
        <v>165135.8712</v>
      </c>
      <c r="D38" s="80">
        <v>9757.746248</v>
      </c>
      <c r="E38" s="80">
        <v>384.6167954</v>
      </c>
      <c r="F38" s="80">
        <v>9373.129453</v>
      </c>
    </row>
    <row r="39" ht="15.0" customHeight="1">
      <c r="A39" s="109">
        <v>37.0</v>
      </c>
      <c r="B39" s="102">
        <v>164751.2544</v>
      </c>
      <c r="C39" s="102">
        <v>175097.6332</v>
      </c>
      <c r="D39" s="102">
        <v>10346.37878</v>
      </c>
      <c r="E39" s="102">
        <v>407.8186651</v>
      </c>
      <c r="F39" s="102">
        <v>9938.560112</v>
      </c>
    </row>
    <row r="40" ht="15.0" customHeight="1">
      <c r="A40" s="110">
        <v>38.0</v>
      </c>
      <c r="B40" s="80">
        <v>174689.8145</v>
      </c>
      <c r="C40" s="80">
        <v>185660.3349</v>
      </c>
      <c r="D40" s="80">
        <v>10970.52035</v>
      </c>
      <c r="E40" s="80">
        <v>432.4201793</v>
      </c>
      <c r="F40" s="80">
        <v>10538.10017</v>
      </c>
    </row>
    <row r="41" ht="15.0" customHeight="1">
      <c r="A41" s="109">
        <v>39.0</v>
      </c>
      <c r="B41" s="102">
        <v>185227.9147</v>
      </c>
      <c r="C41" s="102">
        <v>196860.2277</v>
      </c>
      <c r="D41" s="102">
        <v>11632.31304</v>
      </c>
      <c r="E41" s="102">
        <v>458.5057709</v>
      </c>
      <c r="F41" s="102">
        <v>11173.80727</v>
      </c>
    </row>
    <row r="42" ht="15.0" customHeight="1">
      <c r="A42" s="110">
        <v>40.0</v>
      </c>
      <c r="B42" s="80">
        <v>196401.722</v>
      </c>
      <c r="C42" s="80">
        <v>208735.7501</v>
      </c>
      <c r="D42" s="80">
        <v>12334.02814</v>
      </c>
      <c r="E42" s="80">
        <v>486.1649665</v>
      </c>
      <c r="F42" s="80">
        <v>11847.86317</v>
      </c>
    </row>
    <row r="43" ht="15.0" customHeight="1">
      <c r="A43" s="109">
        <v>41.0</v>
      </c>
      <c r="B43" s="102">
        <v>208249.5852</v>
      </c>
      <c r="C43" s="102">
        <v>221327.6591</v>
      </c>
      <c r="D43" s="102">
        <v>13078.07395</v>
      </c>
      <c r="E43" s="102">
        <v>515.4926931</v>
      </c>
      <c r="F43" s="102">
        <v>12562.58125</v>
      </c>
    </row>
    <row r="44" ht="15.0" customHeight="1">
      <c r="A44" s="110">
        <v>42.0</v>
      </c>
      <c r="B44" s="80">
        <v>220812.1664</v>
      </c>
      <c r="C44" s="80">
        <v>234679.1705</v>
      </c>
      <c r="D44" s="80">
        <v>13867.00405</v>
      </c>
      <c r="E44" s="80">
        <v>546.5896042</v>
      </c>
      <c r="F44" s="80">
        <v>13320.41445</v>
      </c>
    </row>
    <row r="45" ht="15.0" customHeight="1">
      <c r="A45" s="109">
        <v>43.0</v>
      </c>
      <c r="B45" s="102">
        <v>234132.5809</v>
      </c>
      <c r="C45" s="102">
        <v>248836.1069</v>
      </c>
      <c r="D45" s="102">
        <v>14703.52608</v>
      </c>
      <c r="E45" s="102">
        <v>579.5624253</v>
      </c>
      <c r="F45" s="102">
        <v>14123.96365</v>
      </c>
    </row>
    <row r="46" ht="15.0" customHeight="1">
      <c r="A46" s="110">
        <v>44.0</v>
      </c>
      <c r="B46" s="80">
        <v>248256.5445</v>
      </c>
      <c r="C46" s="80">
        <v>263847.0555</v>
      </c>
      <c r="D46" s="80">
        <v>15590.51099</v>
      </c>
      <c r="E46" s="80">
        <v>614.52432</v>
      </c>
      <c r="F46" s="80">
        <v>14975.98667</v>
      </c>
    </row>
    <row r="47" ht="15.0" customHeight="1">
      <c r="A47" s="109">
        <v>45.0</v>
      </c>
      <c r="B47" s="102">
        <v>263232.5312</v>
      </c>
      <c r="C47" s="102">
        <v>279763.5341</v>
      </c>
      <c r="D47" s="102">
        <v>16531.00296</v>
      </c>
      <c r="E47" s="102">
        <v>651.5952784</v>
      </c>
      <c r="F47" s="102">
        <v>15879.40768</v>
      </c>
    </row>
    <row r="48" ht="15.0" customHeight="1">
      <c r="A48" s="110">
        <v>46.0</v>
      </c>
      <c r="B48" s="80">
        <v>279111.9389</v>
      </c>
      <c r="C48" s="80">
        <v>296640.1686</v>
      </c>
      <c r="D48" s="80">
        <v>17528.22976</v>
      </c>
      <c r="E48" s="80">
        <v>690.902529</v>
      </c>
      <c r="F48" s="80">
        <v>16837.32723</v>
      </c>
    </row>
    <row r="49" ht="15.0" customHeight="1">
      <c r="A49" s="109">
        <v>47.0</v>
      </c>
      <c r="B49" s="102">
        <v>295949.2661</v>
      </c>
      <c r="C49" s="102">
        <v>314534.88</v>
      </c>
      <c r="D49" s="102">
        <v>18585.61391</v>
      </c>
      <c r="E49" s="102">
        <v>732.5809753</v>
      </c>
      <c r="F49" s="102">
        <v>17853.03294</v>
      </c>
    </row>
    <row r="50" ht="15.0" customHeight="1">
      <c r="A50" s="110">
        <v>48.0</v>
      </c>
      <c r="B50" s="80">
        <v>313802.299</v>
      </c>
      <c r="C50" s="80">
        <v>333509.0834</v>
      </c>
      <c r="D50" s="80">
        <v>19706.78438</v>
      </c>
      <c r="E50" s="80">
        <v>776.7736589</v>
      </c>
      <c r="F50" s="80">
        <v>18930.01072</v>
      </c>
    </row>
    <row r="51" ht="15.0" customHeight="1">
      <c r="A51" s="109">
        <v>49.0</v>
      </c>
      <c r="B51" s="102">
        <v>332732.3097</v>
      </c>
      <c r="C51" s="102">
        <v>353627.8988</v>
      </c>
      <c r="D51" s="102">
        <v>20895.58905</v>
      </c>
      <c r="E51" s="102">
        <v>823.6322503</v>
      </c>
      <c r="F51" s="102">
        <v>20071.9568</v>
      </c>
    </row>
    <row r="52" ht="15.0" customHeight="1">
      <c r="A52" s="110">
        <v>50.0</v>
      </c>
      <c r="B52" s="80">
        <v>352804.2665</v>
      </c>
      <c r="C52" s="80">
        <v>374960.3745</v>
      </c>
      <c r="D52" s="80">
        <v>22156.10794</v>
      </c>
      <c r="E52" s="80">
        <v>873.3175692</v>
      </c>
      <c r="F52" s="80">
        <v>21282.79037</v>
      </c>
    </row>
    <row r="53" ht="15.0" customHeight="1">
      <c r="A53" s="109">
        <v>51.0</v>
      </c>
      <c r="B53" s="102">
        <v>374087.0569</v>
      </c>
      <c r="C53" s="102">
        <v>397579.7241</v>
      </c>
      <c r="D53" s="102">
        <v>23492.66717</v>
      </c>
      <c r="E53" s="102">
        <v>926.0001372</v>
      </c>
      <c r="F53" s="102">
        <v>22566.66704</v>
      </c>
    </row>
    <row r="54" ht="15.0" customHeight="1">
      <c r="A54" s="110">
        <v>52.0</v>
      </c>
      <c r="B54" s="80">
        <v>396653.724</v>
      </c>
      <c r="C54" s="80">
        <v>421563.5778</v>
      </c>
      <c r="D54" s="80">
        <v>24909.85386</v>
      </c>
      <c r="E54" s="80">
        <v>981.8607621</v>
      </c>
      <c r="F54" s="80">
        <v>23927.9931</v>
      </c>
    </row>
    <row r="55" ht="15.0" customHeight="1">
      <c r="A55" s="109">
        <v>53.0</v>
      </c>
      <c r="B55" s="102">
        <v>420581.7171</v>
      </c>
      <c r="C55" s="102">
        <v>446994.2489</v>
      </c>
      <c r="D55" s="102">
        <v>26412.53183</v>
      </c>
      <c r="E55" s="102">
        <v>1041.091159</v>
      </c>
      <c r="F55" s="102">
        <v>25371.44067</v>
      </c>
    </row>
    <row r="56" ht="15.0" customHeight="1">
      <c r="A56" s="110">
        <v>54.0</v>
      </c>
      <c r="B56" s="80">
        <v>445953.1577</v>
      </c>
      <c r="C56" s="80">
        <v>473959.016</v>
      </c>
      <c r="D56" s="80">
        <v>28005.85831</v>
      </c>
      <c r="E56" s="80">
        <v>1103.894609</v>
      </c>
      <c r="F56" s="80">
        <v>26901.9637</v>
      </c>
    </row>
    <row r="57" ht="15.0" customHeight="1">
      <c r="A57" s="109">
        <v>55.0</v>
      </c>
      <c r="B57" s="102">
        <v>472855.1214</v>
      </c>
      <c r="C57" s="102">
        <v>502550.4231</v>
      </c>
      <c r="D57" s="102">
        <v>29695.30163</v>
      </c>
      <c r="E57" s="102">
        <v>1170.486653</v>
      </c>
      <c r="F57" s="102">
        <v>28524.81497</v>
      </c>
    </row>
    <row r="58" ht="15.0" customHeight="1">
      <c r="A58" s="110">
        <v>56.0</v>
      </c>
      <c r="B58" s="80">
        <v>501379.9364</v>
      </c>
      <c r="C58" s="80">
        <v>532866.5964</v>
      </c>
      <c r="D58" s="80">
        <v>31486.66001</v>
      </c>
      <c r="E58" s="80">
        <v>1241.095839</v>
      </c>
      <c r="F58" s="80">
        <v>30245.56417</v>
      </c>
    </row>
    <row r="59" ht="15.0" customHeight="1">
      <c r="A59" s="109">
        <v>57.0</v>
      </c>
      <c r="B59" s="102">
        <v>531625.5006</v>
      </c>
      <c r="C59" s="102">
        <v>565011.582</v>
      </c>
      <c r="D59" s="102">
        <v>33386.08144</v>
      </c>
      <c r="E59" s="102">
        <v>1315.964499</v>
      </c>
      <c r="F59" s="102">
        <v>32070.11694</v>
      </c>
    </row>
    <row r="60" ht="15.0" customHeight="1">
      <c r="A60" s="110">
        <v>58.0</v>
      </c>
      <c r="B60" s="80">
        <v>563695.6175</v>
      </c>
      <c r="C60" s="80">
        <v>599095.7023</v>
      </c>
      <c r="D60" s="80">
        <v>35400.08478</v>
      </c>
      <c r="E60" s="80">
        <v>1395.349584</v>
      </c>
      <c r="F60" s="80">
        <v>34004.7352</v>
      </c>
    </row>
    <row r="61" ht="15.0" customHeight="1">
      <c r="A61" s="109">
        <v>59.0</v>
      </c>
      <c r="B61" s="102">
        <v>597700.3527</v>
      </c>
      <c r="C61" s="102">
        <v>635235.9348</v>
      </c>
      <c r="D61" s="102">
        <v>37535.58215</v>
      </c>
      <c r="E61" s="102">
        <v>1479.523545</v>
      </c>
      <c r="F61" s="102">
        <v>36056.0586</v>
      </c>
    </row>
    <row r="62" ht="15.0" customHeight="1">
      <c r="A62" s="110">
        <v>60.0</v>
      </c>
      <c r="B62" s="80">
        <v>633756.4113</v>
      </c>
      <c r="C62" s="80">
        <v>673556.3139</v>
      </c>
      <c r="D62" s="80">
        <v>39799.90263</v>
      </c>
      <c r="E62" s="80">
        <v>1568.77527</v>
      </c>
      <c r="F62" s="80">
        <v>38231.12736</v>
      </c>
    </row>
    <row r="63" ht="15.0" customHeight="1">
      <c r="A63" s="109">
        <v>61.0</v>
      </c>
      <c r="B63" s="102">
        <v>671987.5387</v>
      </c>
      <c r="C63" s="102">
        <v>714188.3561</v>
      </c>
      <c r="D63" s="102">
        <v>42200.81743</v>
      </c>
      <c r="E63" s="102">
        <v>1663.411074</v>
      </c>
      <c r="F63" s="102">
        <v>40537.40635</v>
      </c>
    </row>
    <row r="64" ht="15.0" customHeight="1">
      <c r="A64" s="110">
        <v>62.0</v>
      </c>
      <c r="B64" s="80">
        <v>712524.945</v>
      </c>
      <c r="C64" s="80">
        <v>757271.5116</v>
      </c>
      <c r="D64" s="80">
        <v>44746.56655</v>
      </c>
      <c r="E64" s="80">
        <v>1763.755748</v>
      </c>
      <c r="F64" s="80">
        <v>42982.8108</v>
      </c>
    </row>
    <row r="65" ht="15.0" customHeight="1">
      <c r="A65" s="109">
        <v>63.0</v>
      </c>
      <c r="B65" s="102">
        <v>755507.7558</v>
      </c>
      <c r="C65" s="102">
        <v>802953.6429</v>
      </c>
      <c r="D65" s="102">
        <v>47445.88707</v>
      </c>
      <c r="E65" s="102">
        <v>1870.153678</v>
      </c>
      <c r="F65" s="102">
        <v>45575.73339</v>
      </c>
    </row>
    <row r="66" ht="15.0" customHeight="1">
      <c r="A66" s="110">
        <v>64.0</v>
      </c>
      <c r="B66" s="80">
        <v>801083.4892</v>
      </c>
      <c r="C66" s="80">
        <v>851391.5323</v>
      </c>
      <c r="D66" s="80">
        <v>50308.04312</v>
      </c>
      <c r="E66" s="80">
        <v>1982.970026</v>
      </c>
      <c r="F66" s="80">
        <v>48325.0731</v>
      </c>
    </row>
    <row r="67" ht="15.0" customHeight="1">
      <c r="A67" s="109">
        <v>65.0</v>
      </c>
      <c r="B67" s="102">
        <v>849408.5623</v>
      </c>
      <c r="C67" s="102">
        <v>902751.42</v>
      </c>
      <c r="D67" s="102">
        <v>53342.85771</v>
      </c>
      <c r="E67" s="102">
        <v>2102.591979</v>
      </c>
      <c r="F67" s="102">
        <v>51240.26573</v>
      </c>
    </row>
    <row r="68" ht="15.0" customHeight="1">
      <c r="A68" s="110">
        <v>66.0</v>
      </c>
      <c r="B68" s="80">
        <v>900648.828</v>
      </c>
      <c r="C68" s="80">
        <v>957209.5744</v>
      </c>
      <c r="D68" s="80">
        <v>56560.7464</v>
      </c>
      <c r="E68" s="80">
        <v>2229.430083</v>
      </c>
      <c r="F68" s="80">
        <v>54331.31632</v>
      </c>
    </row>
    <row r="69" ht="15.0" customHeight="1">
      <c r="A69" s="109">
        <v>67.0</v>
      </c>
      <c r="B69" s="102">
        <v>954980.1443</v>
      </c>
      <c r="C69" s="102">
        <v>1014952.897</v>
      </c>
      <c r="D69" s="102">
        <v>59972.75307</v>
      </c>
      <c r="E69" s="102">
        <v>2363.91965</v>
      </c>
      <c r="F69" s="102">
        <v>57608.83341</v>
      </c>
    </row>
    <row r="70" ht="15.0" customHeight="1">
      <c r="A70" s="110">
        <v>68.0</v>
      </c>
      <c r="B70" s="80">
        <v>1012588.978</v>
      </c>
      <c r="C70" s="80">
        <v>1076179.566</v>
      </c>
      <c r="D70" s="80">
        <v>63590.5878</v>
      </c>
      <c r="E70" s="80">
        <v>2506.522252</v>
      </c>
      <c r="F70" s="80">
        <v>61084.06555</v>
      </c>
    </row>
    <row r="71" ht="15.0" customHeight="1">
      <c r="A71" s="109">
        <v>69.0</v>
      </c>
      <c r="B71" s="102">
        <v>1073673.043</v>
      </c>
      <c r="C71" s="102">
        <v>1141099.71</v>
      </c>
      <c r="D71" s="102">
        <v>67426.66712</v>
      </c>
      <c r="E71" s="102">
        <v>2657.727304</v>
      </c>
      <c r="F71" s="102">
        <v>64768.93982</v>
      </c>
    </row>
    <row r="72" ht="15.0" customHeight="1">
      <c r="A72" s="110">
        <v>70.0</v>
      </c>
      <c r="B72" s="80">
        <v>1138441.983</v>
      </c>
      <c r="C72" s="80">
        <v>1209936.14</v>
      </c>
      <c r="D72" s="80">
        <v>71494.15654</v>
      </c>
      <c r="E72" s="80">
        <v>2818.053747</v>
      </c>
      <c r="F72" s="80">
        <v>68676.10279</v>
      </c>
    </row>
    <row r="73" ht="15.0" customHeight="1">
      <c r="A73" s="109">
        <v>71.0</v>
      </c>
      <c r="B73" s="102">
        <v>1207118.086</v>
      </c>
      <c r="C73" s="102">
        <v>1282925.102</v>
      </c>
      <c r="D73" s="102">
        <v>75807.0158</v>
      </c>
      <c r="E73" s="102">
        <v>2988.051825</v>
      </c>
      <c r="F73" s="102">
        <v>72818.96397</v>
      </c>
    </row>
    <row r="74" ht="15.0" customHeight="1">
      <c r="A74" s="110">
        <v>72.0</v>
      </c>
      <c r="B74" s="80">
        <v>1279937.05</v>
      </c>
      <c r="C74" s="80">
        <v>1360317.097</v>
      </c>
      <c r="D74" s="80">
        <v>80380.04673</v>
      </c>
      <c r="E74" s="80">
        <v>3168.304976</v>
      </c>
      <c r="F74" s="80">
        <v>77211.74176</v>
      </c>
    </row>
    <row r="75" ht="15.0" customHeight="1">
      <c r="A75" s="109">
        <v>73.0</v>
      </c>
      <c r="B75" s="102">
        <v>1357148.792</v>
      </c>
      <c r="C75" s="102">
        <v>1442377.736</v>
      </c>
      <c r="D75" s="102">
        <v>85228.94412</v>
      </c>
      <c r="E75" s="102">
        <v>3359.431833</v>
      </c>
      <c r="F75" s="102">
        <v>81869.51228</v>
      </c>
    </row>
    <row r="76" ht="15.0" customHeight="1">
      <c r="A76" s="110">
        <v>74.0</v>
      </c>
      <c r="B76" s="80">
        <v>1439018.304</v>
      </c>
      <c r="C76" s="80">
        <v>1529388.653</v>
      </c>
      <c r="D76" s="80">
        <v>90370.34949</v>
      </c>
      <c r="E76" s="80">
        <v>3562.088349</v>
      </c>
      <c r="F76" s="80">
        <v>86808.26114</v>
      </c>
    </row>
    <row r="77" ht="15.0" customHeight="1">
      <c r="A77" s="109">
        <v>75.0</v>
      </c>
      <c r="B77" s="102">
        <v>1525826.565</v>
      </c>
      <c r="C77" s="102">
        <v>1621648.473</v>
      </c>
      <c r="D77" s="102">
        <v>95821.90829</v>
      </c>
      <c r="E77" s="102">
        <v>3776.970046</v>
      </c>
      <c r="F77" s="102">
        <v>92044.93824</v>
      </c>
    </row>
    <row r="78" ht="15.0" customHeight="1">
      <c r="A78" s="110">
        <v>76.0</v>
      </c>
      <c r="B78" s="80">
        <v>1617871.503</v>
      </c>
      <c r="C78" s="80">
        <v>1719473.834</v>
      </c>
      <c r="D78" s="80">
        <v>101602.3304</v>
      </c>
      <c r="E78" s="80">
        <v>4004.814404</v>
      </c>
      <c r="F78" s="80">
        <v>97597.516</v>
      </c>
    </row>
    <row r="79" ht="15.0" customHeight="1">
      <c r="A79" s="109">
        <v>77.0</v>
      </c>
      <c r="B79" s="102">
        <v>1715469.019</v>
      </c>
      <c r="C79" s="102">
        <v>1823200.474</v>
      </c>
      <c r="D79" s="102">
        <v>107731.4544</v>
      </c>
      <c r="E79" s="102">
        <v>4246.403392</v>
      </c>
      <c r="F79" s="102">
        <v>103485.051</v>
      </c>
    </row>
    <row r="80" ht="15.0" customHeight="1">
      <c r="A80" s="110">
        <v>78.0</v>
      </c>
      <c r="B80" s="80">
        <v>1818954.07</v>
      </c>
      <c r="C80" s="80">
        <v>1933184.386</v>
      </c>
      <c r="D80" s="80">
        <v>114230.3156</v>
      </c>
      <c r="E80" s="80">
        <v>4502.566148</v>
      </c>
      <c r="F80" s="80">
        <v>109727.7495</v>
      </c>
    </row>
    <row r="81" ht="15.0" customHeight="1">
      <c r="A81" s="109">
        <v>79.0</v>
      </c>
      <c r="B81" s="102">
        <v>1928681.82</v>
      </c>
      <c r="C81" s="102">
        <v>2049803.038</v>
      </c>
      <c r="D81" s="102">
        <v>121121.2183</v>
      </c>
      <c r="E81" s="102">
        <v>4774.181829</v>
      </c>
      <c r="F81" s="102">
        <v>116347.0365</v>
      </c>
    </row>
    <row r="82" ht="15.0" customHeight="1">
      <c r="A82" s="110">
        <v>80.0</v>
      </c>
      <c r="B82" s="80">
        <v>2045028.856</v>
      </c>
      <c r="C82" s="80">
        <v>2173456.668</v>
      </c>
      <c r="D82" s="80">
        <v>128427.8122</v>
      </c>
      <c r="E82" s="80">
        <v>5062.18263</v>
      </c>
      <c r="F82" s="80">
        <v>123365.6295</v>
      </c>
    </row>
    <row r="83" ht="15.0" customHeight="1">
      <c r="A83" s="109">
        <v>81.0</v>
      </c>
      <c r="B83" s="102">
        <v>2168394.486</v>
      </c>
      <c r="C83" s="102">
        <v>2304569.66</v>
      </c>
      <c r="D83" s="102">
        <v>136175.1737</v>
      </c>
      <c r="E83" s="102">
        <v>5367.556974</v>
      </c>
      <c r="F83" s="102">
        <v>130807.6167</v>
      </c>
    </row>
    <row r="84" ht="15.0" customHeight="1">
      <c r="A84" s="110">
        <v>82.0</v>
      </c>
      <c r="B84" s="80">
        <v>2299202.103</v>
      </c>
      <c r="C84" s="80">
        <v>2443591.995</v>
      </c>
      <c r="D84" s="80">
        <v>144389.892</v>
      </c>
      <c r="E84" s="80">
        <v>5691.352917</v>
      </c>
      <c r="F84" s="80">
        <v>138698.5391</v>
      </c>
    </row>
    <row r="85" ht="15.0" customHeight="1">
      <c r="A85" s="109">
        <v>83.0</v>
      </c>
      <c r="B85" s="102">
        <v>2437900.642</v>
      </c>
      <c r="C85" s="102">
        <v>2591000.802</v>
      </c>
      <c r="D85" s="102">
        <v>153100.1603</v>
      </c>
      <c r="E85" s="102">
        <v>6034.681732</v>
      </c>
      <c r="F85" s="102">
        <v>147065.4786</v>
      </c>
    </row>
    <row r="86" ht="15.0" customHeight="1">
      <c r="A86" s="110">
        <v>84.0</v>
      </c>
      <c r="B86" s="80">
        <v>2584966.12</v>
      </c>
      <c r="C86" s="80">
        <v>2747301.993</v>
      </c>
      <c r="D86" s="80">
        <v>162335.8724</v>
      </c>
      <c r="E86" s="80">
        <v>6398.721735</v>
      </c>
      <c r="F86" s="80">
        <v>155937.1506</v>
      </c>
    </row>
    <row r="87" ht="15.0" customHeight="1">
      <c r="A87" s="109">
        <v>85.0</v>
      </c>
      <c r="B87" s="102">
        <v>2740903.271</v>
      </c>
      <c r="C87" s="102">
        <v>2913031.996</v>
      </c>
      <c r="D87" s="102">
        <v>172128.7254</v>
      </c>
      <c r="E87" s="102">
        <v>6784.722321</v>
      </c>
      <c r="F87" s="102">
        <v>165344.0031</v>
      </c>
    </row>
    <row r="88" ht="15.0" customHeight="1">
      <c r="A88" s="110">
        <v>86.0</v>
      </c>
      <c r="B88" s="80">
        <v>2906247.274</v>
      </c>
      <c r="C88" s="80">
        <v>3088759.603</v>
      </c>
      <c r="D88" s="80">
        <v>182512.3288</v>
      </c>
      <c r="E88" s="80">
        <v>7194.008252</v>
      </c>
      <c r="F88" s="80">
        <v>175318.3206</v>
      </c>
    </row>
    <row r="89" ht="15.0" customHeight="1">
      <c r="A89" s="109">
        <v>87.0</v>
      </c>
      <c r="B89" s="102">
        <v>3081565.594</v>
      </c>
      <c r="C89" s="102">
        <v>3275087.914</v>
      </c>
      <c r="D89" s="102">
        <v>193522.3193</v>
      </c>
      <c r="E89" s="102">
        <v>7627.98421</v>
      </c>
      <c r="F89" s="102">
        <v>185894.3351</v>
      </c>
    </row>
    <row r="90" ht="15.0" customHeight="1">
      <c r="A90" s="110">
        <v>88.0</v>
      </c>
      <c r="B90" s="80">
        <v>3267459.93</v>
      </c>
      <c r="C90" s="80">
        <v>3472656.413</v>
      </c>
      <c r="D90" s="80">
        <v>205196.4836</v>
      </c>
      <c r="E90" s="80">
        <v>8088.139611</v>
      </c>
      <c r="F90" s="80">
        <v>197108.344</v>
      </c>
    </row>
    <row r="91" ht="15.0" customHeight="1">
      <c r="A91" s="109">
        <v>89.0</v>
      </c>
      <c r="B91" s="102">
        <v>3464568.274</v>
      </c>
      <c r="C91" s="102">
        <v>3682143.161</v>
      </c>
      <c r="D91" s="102">
        <v>217574.8876</v>
      </c>
      <c r="E91" s="102">
        <v>8576.053722</v>
      </c>
      <c r="F91" s="102">
        <v>208998.8339</v>
      </c>
    </row>
    <row r="92" ht="15.0" customHeight="1">
      <c r="A92" s="110">
        <v>90.0</v>
      </c>
      <c r="B92" s="80">
        <v>3673567.107</v>
      </c>
      <c r="C92" s="80">
        <v>3904267.122</v>
      </c>
      <c r="D92" s="80">
        <v>230700.0143</v>
      </c>
      <c r="E92" s="80">
        <v>9093.401075</v>
      </c>
      <c r="F92" s="80">
        <v>221606.6133</v>
      </c>
    </row>
    <row r="93" ht="15.0" customHeight="1">
      <c r="A93" s="109">
        <v>91.0</v>
      </c>
      <c r="B93" s="102">
        <v>3895173.721</v>
      </c>
      <c r="C93" s="102">
        <v>4139790.63</v>
      </c>
      <c r="D93" s="102">
        <v>244616.9097</v>
      </c>
      <c r="E93" s="102">
        <v>9641.957221</v>
      </c>
      <c r="F93" s="102">
        <v>234974.9524</v>
      </c>
    </row>
    <row r="94" ht="15.0" customHeight="1">
      <c r="A94" s="110">
        <v>92.0</v>
      </c>
      <c r="B94" s="80">
        <v>4130148.673</v>
      </c>
      <c r="C94" s="80">
        <v>4389522.01</v>
      </c>
      <c r="D94" s="80">
        <v>259373.3367</v>
      </c>
      <c r="E94" s="80">
        <v>10223.60482</v>
      </c>
      <c r="F94" s="80">
        <v>249149.7319</v>
      </c>
    </row>
    <row r="95" ht="15.0" customHeight="1">
      <c r="A95" s="109">
        <v>93.0</v>
      </c>
      <c r="B95" s="102">
        <v>4379298.405</v>
      </c>
      <c r="C95" s="102">
        <v>4654318.345</v>
      </c>
      <c r="D95" s="102">
        <v>275019.9398</v>
      </c>
      <c r="E95" s="102">
        <v>10840.3401</v>
      </c>
      <c r="F95" s="102">
        <v>264179.5997</v>
      </c>
    </row>
    <row r="96" ht="15.0" customHeight="1">
      <c r="A96" s="110">
        <v>94.0</v>
      </c>
      <c r="B96" s="80">
        <v>4643478.005</v>
      </c>
      <c r="C96" s="80">
        <v>4935088.423</v>
      </c>
      <c r="D96" s="80">
        <v>291610.4187</v>
      </c>
      <c r="E96" s="80">
        <v>11494.27971</v>
      </c>
      <c r="F96" s="80">
        <v>280116.139</v>
      </c>
    </row>
    <row r="97" ht="15.0" customHeight="1">
      <c r="A97" s="109">
        <v>95.0</v>
      </c>
      <c r="B97" s="102">
        <v>4923594.144</v>
      </c>
      <c r="C97" s="102">
        <v>5232795.856</v>
      </c>
      <c r="D97" s="102">
        <v>309201.7122</v>
      </c>
      <c r="E97" s="102">
        <v>12187.668</v>
      </c>
      <c r="F97" s="102">
        <v>297014.0442</v>
      </c>
    </row>
    <row r="98" ht="15.0" customHeight="1">
      <c r="A98" s="110">
        <v>96.0</v>
      </c>
      <c r="B98" s="80">
        <v>5220608.188</v>
      </c>
      <c r="C98" s="80">
        <v>5548462.382</v>
      </c>
      <c r="D98" s="80">
        <v>327854.1942</v>
      </c>
      <c r="E98" s="80">
        <v>12922.88468</v>
      </c>
      <c r="F98" s="80">
        <v>314931.3095</v>
      </c>
    </row>
    <row r="99" ht="15.0" customHeight="1">
      <c r="A99" s="109">
        <v>97.0</v>
      </c>
      <c r="B99" s="102">
        <v>5535539.497</v>
      </c>
      <c r="C99" s="102">
        <v>5883171.378</v>
      </c>
      <c r="D99" s="102">
        <v>347631.8804</v>
      </c>
      <c r="E99" s="102">
        <v>13702.45305</v>
      </c>
      <c r="F99" s="102">
        <v>333929.4274</v>
      </c>
    </row>
    <row r="100" ht="15.0" customHeight="1">
      <c r="A100" s="110">
        <v>98.0</v>
      </c>
      <c r="B100" s="80">
        <v>5869468.925</v>
      </c>
      <c r="C100" s="80">
        <v>6238071.573</v>
      </c>
      <c r="D100" s="80">
        <v>368602.6485</v>
      </c>
      <c r="E100" s="80">
        <v>14529.0486</v>
      </c>
      <c r="F100" s="80">
        <v>354073.5999</v>
      </c>
    </row>
    <row r="101" ht="15.0" customHeight="1">
      <c r="A101" s="109">
        <v>99.0</v>
      </c>
      <c r="B101" s="102">
        <v>6223542.525</v>
      </c>
      <c r="C101" s="102">
        <v>6614380.995</v>
      </c>
      <c r="D101" s="102">
        <v>390838.4706</v>
      </c>
      <c r="E101" s="102">
        <v>15405.50822</v>
      </c>
      <c r="F101" s="102">
        <v>375432.9623</v>
      </c>
    </row>
    <row r="102" ht="15.0" customHeight="1">
      <c r="A102" s="110">
        <v>100.0</v>
      </c>
      <c r="B102" s="80">
        <v>6598975.487</v>
      </c>
      <c r="C102" s="80">
        <v>7013391.148</v>
      </c>
      <c r="D102" s="80">
        <v>414415.6606</v>
      </c>
      <c r="E102" s="80">
        <v>16334.83996</v>
      </c>
      <c r="F102" s="80">
        <v>398080.8206</v>
      </c>
    </row>
    <row r="103" ht="15.0" customHeight="1">
      <c r="A103" s="109">
        <v>101.0</v>
      </c>
      <c r="B103" s="102">
        <v>6997056.308</v>
      </c>
      <c r="C103" s="102">
        <v>7436471.444</v>
      </c>
      <c r="D103" s="102">
        <v>439415.1361</v>
      </c>
      <c r="E103" s="102">
        <v>17320.2333</v>
      </c>
      <c r="F103" s="102">
        <v>422094.9028</v>
      </c>
    </row>
    <row r="104" ht="15.0" customHeight="1">
      <c r="A104" s="110">
        <v>102.0</v>
      </c>
      <c r="B104" s="80">
        <v>7419151.211</v>
      </c>
      <c r="C104" s="80">
        <v>7885073.907</v>
      </c>
      <c r="D104" s="80">
        <v>465922.696</v>
      </c>
      <c r="E104" s="80">
        <v>18365.07014</v>
      </c>
      <c r="F104" s="80">
        <v>447557.6259</v>
      </c>
    </row>
    <row r="105" ht="15.0" customHeight="1">
      <c r="A105" s="109">
        <v>103.0</v>
      </c>
      <c r="B105" s="102">
        <v>7866708.836</v>
      </c>
      <c r="C105" s="102">
        <v>8360738.151</v>
      </c>
      <c r="D105" s="102">
        <v>494029.3149</v>
      </c>
      <c r="E105" s="102">
        <v>19472.93639</v>
      </c>
      <c r="F105" s="102">
        <v>474556.3785</v>
      </c>
    </row>
    <row r="106" ht="15.0" customHeight="1">
      <c r="A106" s="110">
        <v>104.0</v>
      </c>
      <c r="B106" s="80">
        <v>8341265.215</v>
      </c>
      <c r="C106" s="80">
        <v>8865096.67</v>
      </c>
      <c r="D106" s="80">
        <v>523831.4555</v>
      </c>
      <c r="E106" s="80">
        <v>20647.63426</v>
      </c>
      <c r="F106" s="80">
        <v>503183.8212</v>
      </c>
    </row>
    <row r="107" ht="15.0" customHeight="1">
      <c r="A107" s="109">
        <v>105.0</v>
      </c>
      <c r="B107" s="102">
        <v>8844449.036</v>
      </c>
      <c r="C107" s="102">
        <v>9399880.436</v>
      </c>
      <c r="D107" s="102">
        <v>555431.3995</v>
      </c>
      <c r="E107" s="102">
        <v>21893.19537</v>
      </c>
      <c r="F107" s="102">
        <v>533538.2041</v>
      </c>
    </row>
    <row r="108" ht="15.0" customHeight="1">
      <c r="A108" s="64">
        <v>106.0</v>
      </c>
      <c r="B108" s="80">
        <v>9377987.24</v>
      </c>
      <c r="C108" s="80">
        <v>9966924.839</v>
      </c>
      <c r="D108" s="80">
        <v>588937.5987</v>
      </c>
      <c r="E108" s="80">
        <v>23213.8945</v>
      </c>
      <c r="F108" s="80">
        <v>565723.7042</v>
      </c>
    </row>
    <row r="109" ht="15.0" customHeight="1">
      <c r="A109" s="64">
        <v>107.0</v>
      </c>
      <c r="B109" s="102">
        <v>9943710.944</v>
      </c>
      <c r="C109" s="102">
        <v>1.056817599E7</v>
      </c>
      <c r="D109" s="102">
        <v>624465.0473</v>
      </c>
      <c r="E109" s="102">
        <v>24614.26432</v>
      </c>
      <c r="F109" s="102">
        <v>599850.783</v>
      </c>
    </row>
    <row r="110" ht="15.0" customHeight="1">
      <c r="A110" s="64">
        <v>108.0</v>
      </c>
      <c r="B110" s="111">
        <v>1.054356173E7</v>
      </c>
      <c r="C110" s="111">
        <v>1.12056974E7</v>
      </c>
      <c r="D110" s="111">
        <v>662135.6765</v>
      </c>
      <c r="E110" s="111">
        <v>26099.11096</v>
      </c>
      <c r="F110" s="111">
        <v>636036.5655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